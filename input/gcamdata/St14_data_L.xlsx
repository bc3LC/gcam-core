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.rodes\Documents\IAM_COMPACT\gcam-core-iamcompact\input\gcamdata\"/>
    </mc:Choice>
  </mc:AlternateContent>
  <xr:revisionPtr revIDLastSave="0" documentId="13_ncr:1_{3B4A3B46-0DDF-4311-95BA-302170CBAC3F}" xr6:coauthVersionLast="47" xr6:coauthVersionMax="47" xr10:uidLastSave="{00000000-0000-0000-0000-000000000000}"/>
  <bookViews>
    <workbookView xWindow="28680" yWindow="-8445" windowWidth="29040" windowHeight="15720" tabRatio="822" firstSheet="5" activeTab="8" xr2:uid="{BB24ACD2-C62D-45CA-BD90-8F4156D716B2}"/>
  </bookViews>
  <sheets>
    <sheet name="TRN-LoadFactor-computation" sheetId="1" r:id="rId1"/>
    <sheet name="TRN-LoadFactor-values" sheetId="2" r:id="rId2"/>
    <sheet name="TRN-Modes-computation-IntAv" sheetId="4" r:id="rId3"/>
    <sheet name="TRN-Modes-values-IntAv" sheetId="6" r:id="rId4"/>
    <sheet name="TRN-Modes-computation-SW" sheetId="12" r:id="rId5"/>
    <sheet name="TRN-Modes-values-SW" sheetId="8" r:id="rId6"/>
    <sheet name="TRN-PassKM-computation" sheetId="9" r:id="rId7"/>
    <sheet name="TRN-PassKM-values" sheetId="10" r:id="rId8"/>
    <sheet name="TRN-CHECK" sheetId="11" r:id="rId9"/>
    <sheet name="BLD-FloorSpace-computation" sheetId="3" r:id="rId10"/>
    <sheet name="BLD-FloorSpace-values" sheetId="16" r:id="rId11"/>
    <sheet name="BLD-EnConsumption-computation" sheetId="14" r:id="rId12"/>
    <sheet name="BLD-EnConsumption-values" sheetId="18" r:id="rId13"/>
    <sheet name="BLD-RefurbishRate-computation" sheetId="15" r:id="rId14"/>
    <sheet name="BLD-HDD-computation" sheetId="13" r:id="rId15"/>
    <sheet name="BLD-HDD-values" sheetId="19" r:id="rId16"/>
    <sheet name="BLD-GCAMEU-FE" sheetId="17" r:id="rId17"/>
  </sheets>
  <externalReferences>
    <externalReference r:id="rId18"/>
  </externalReferences>
  <definedNames>
    <definedName name="_xlnm._FilterDatabase" localSheetId="1" hidden="1">'TRN-LoadFactor-values'!$A$1:$J$151011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14" l="1"/>
  <c r="F70" i="14"/>
  <c r="F69" i="14"/>
  <c r="F68" i="14"/>
  <c r="F67" i="14"/>
  <c r="F66" i="14"/>
  <c r="F65" i="14"/>
  <c r="F61" i="14"/>
  <c r="F62" i="14"/>
  <c r="F60" i="14"/>
  <c r="F59" i="14"/>
  <c r="F58" i="14"/>
  <c r="F57" i="14"/>
  <c r="F56" i="14"/>
  <c r="J88" i="9"/>
  <c r="J87" i="9"/>
  <c r="F106" i="13"/>
  <c r="E106" i="13"/>
  <c r="D106" i="13"/>
  <c r="C106" i="13"/>
  <c r="B106" i="13"/>
  <c r="A106" i="13"/>
  <c r="F105" i="13"/>
  <c r="E105" i="13"/>
  <c r="D105" i="13"/>
  <c r="C105" i="13"/>
  <c r="B105" i="13"/>
  <c r="A105" i="13"/>
  <c r="F104" i="13"/>
  <c r="E104" i="13"/>
  <c r="D104" i="13"/>
  <c r="C104" i="13"/>
  <c r="B104" i="13"/>
  <c r="A104" i="13"/>
  <c r="F103" i="13"/>
  <c r="E103" i="13"/>
  <c r="D103" i="13"/>
  <c r="C103" i="13"/>
  <c r="B103" i="13"/>
  <c r="A103" i="13"/>
  <c r="F102" i="13"/>
  <c r="E102" i="13"/>
  <c r="D102" i="13"/>
  <c r="C102" i="13"/>
  <c r="B102" i="13"/>
  <c r="A102" i="13"/>
  <c r="F101" i="13"/>
  <c r="E101" i="13"/>
  <c r="D101" i="13"/>
  <c r="C101" i="13"/>
  <c r="B101" i="13"/>
  <c r="A101" i="13"/>
  <c r="F100" i="13"/>
  <c r="E100" i="13"/>
  <c r="D100" i="13"/>
  <c r="C100" i="13"/>
  <c r="B100" i="13"/>
  <c r="A100" i="13"/>
  <c r="F99" i="13"/>
  <c r="E99" i="13"/>
  <c r="D99" i="13"/>
  <c r="C99" i="13"/>
  <c r="B99" i="13"/>
  <c r="A99" i="13"/>
  <c r="F98" i="13"/>
  <c r="E98" i="13"/>
  <c r="D98" i="13"/>
  <c r="C98" i="13"/>
  <c r="B98" i="13"/>
  <c r="A98" i="13"/>
  <c r="F97" i="13"/>
  <c r="E97" i="13"/>
  <c r="D97" i="13"/>
  <c r="C97" i="13"/>
  <c r="B97" i="13"/>
  <c r="A97" i="13"/>
  <c r="F96" i="13"/>
  <c r="E96" i="13"/>
  <c r="D96" i="13"/>
  <c r="C96" i="13"/>
  <c r="B96" i="13"/>
  <c r="A96" i="13"/>
  <c r="F95" i="13"/>
  <c r="E95" i="13"/>
  <c r="D95" i="13"/>
  <c r="C95" i="13"/>
  <c r="B95" i="13"/>
  <c r="A95" i="13"/>
  <c r="F94" i="13"/>
  <c r="E94" i="13"/>
  <c r="D94" i="13"/>
  <c r="C94" i="13"/>
  <c r="B94" i="13"/>
  <c r="A94" i="13"/>
  <c r="F93" i="13"/>
  <c r="E93" i="13"/>
  <c r="D93" i="13"/>
  <c r="C93" i="13"/>
  <c r="B93" i="13"/>
  <c r="A93" i="13"/>
  <c r="F92" i="13"/>
  <c r="E92" i="13"/>
  <c r="D92" i="13"/>
  <c r="C92" i="13"/>
  <c r="B92" i="13"/>
  <c r="A92" i="13"/>
  <c r="F91" i="13"/>
  <c r="E91" i="13"/>
  <c r="D91" i="13"/>
  <c r="C91" i="13"/>
  <c r="B91" i="13"/>
  <c r="A91" i="13"/>
  <c r="H90" i="13"/>
  <c r="G90" i="13"/>
  <c r="F90" i="13"/>
  <c r="E90" i="13"/>
  <c r="D90" i="13"/>
  <c r="C90" i="13"/>
  <c r="B90" i="13"/>
  <c r="A90" i="13"/>
  <c r="H89" i="13"/>
  <c r="G89" i="13"/>
  <c r="F89" i="13"/>
  <c r="E89" i="13"/>
  <c r="D89" i="13"/>
  <c r="C89" i="13"/>
  <c r="B89" i="13"/>
  <c r="A89" i="13"/>
  <c r="H88" i="13"/>
  <c r="G88" i="13"/>
  <c r="F88" i="13"/>
  <c r="E88" i="13"/>
  <c r="D88" i="13"/>
  <c r="C88" i="13"/>
  <c r="B88" i="13"/>
  <c r="A88" i="13"/>
  <c r="H87" i="13"/>
  <c r="G87" i="13"/>
  <c r="F87" i="13"/>
  <c r="E87" i="13"/>
  <c r="D87" i="13"/>
  <c r="C87" i="13"/>
  <c r="B87" i="13"/>
  <c r="A87" i="13"/>
  <c r="H86" i="13"/>
  <c r="G86" i="13"/>
  <c r="F86" i="13"/>
  <c r="E86" i="13"/>
  <c r="D86" i="13"/>
  <c r="C86" i="13"/>
  <c r="B86" i="13"/>
  <c r="A86" i="13"/>
  <c r="H85" i="13"/>
  <c r="G85" i="13"/>
  <c r="F85" i="13"/>
  <c r="E85" i="13"/>
  <c r="D85" i="13"/>
  <c r="C85" i="13"/>
  <c r="B85" i="13"/>
  <c r="A85" i="13"/>
  <c r="F84" i="13"/>
  <c r="E84" i="13"/>
  <c r="D84" i="13"/>
  <c r="C84" i="13"/>
  <c r="B84" i="13"/>
  <c r="A84" i="13"/>
  <c r="F83" i="13"/>
  <c r="E83" i="13"/>
  <c r="D83" i="13"/>
  <c r="C83" i="13"/>
  <c r="B83" i="13"/>
  <c r="A83" i="13"/>
  <c r="F82" i="13"/>
  <c r="E82" i="13"/>
  <c r="D82" i="13"/>
  <c r="C82" i="13"/>
  <c r="B82" i="13"/>
  <c r="A82" i="13"/>
  <c r="F81" i="13"/>
  <c r="E81" i="13"/>
  <c r="D81" i="13"/>
  <c r="C81" i="13"/>
  <c r="B81" i="13"/>
  <c r="A81" i="13"/>
  <c r="F80" i="13"/>
  <c r="E80" i="13"/>
  <c r="D80" i="13"/>
  <c r="C80" i="13"/>
  <c r="B80" i="13"/>
  <c r="A80" i="13"/>
  <c r="F79" i="13"/>
  <c r="E79" i="13"/>
  <c r="D79" i="13"/>
  <c r="C79" i="13"/>
  <c r="B79" i="13"/>
  <c r="A79" i="13"/>
  <c r="F78" i="13"/>
  <c r="E78" i="13"/>
  <c r="D78" i="13"/>
  <c r="C78" i="13"/>
  <c r="B78" i="13"/>
  <c r="A78" i="13"/>
  <c r="F77" i="13"/>
  <c r="E77" i="13"/>
  <c r="D77" i="13"/>
  <c r="C77" i="13"/>
  <c r="B77" i="13"/>
  <c r="A77" i="13"/>
  <c r="F76" i="13"/>
  <c r="E76" i="13"/>
  <c r="D76" i="13"/>
  <c r="C76" i="13"/>
  <c r="B76" i="13"/>
  <c r="A76" i="13"/>
  <c r="F75" i="13"/>
  <c r="E75" i="13"/>
  <c r="D75" i="13"/>
  <c r="C75" i="13"/>
  <c r="B75" i="13"/>
  <c r="A75" i="13"/>
  <c r="F74" i="13"/>
  <c r="E74" i="13"/>
  <c r="D74" i="13"/>
  <c r="C74" i="13"/>
  <c r="B74" i="13"/>
  <c r="A74" i="13"/>
  <c r="F73" i="13"/>
  <c r="E73" i="13"/>
  <c r="D73" i="13"/>
  <c r="C73" i="13"/>
  <c r="B73" i="13"/>
  <c r="A73" i="13"/>
  <c r="F72" i="13"/>
  <c r="E72" i="13"/>
  <c r="D72" i="13"/>
  <c r="C72" i="13"/>
  <c r="B72" i="13"/>
  <c r="A72" i="13"/>
  <c r="F71" i="13"/>
  <c r="E71" i="13"/>
  <c r="D71" i="13"/>
  <c r="C71" i="13"/>
  <c r="B71" i="13"/>
  <c r="A71" i="13"/>
  <c r="F70" i="13"/>
  <c r="E70" i="13"/>
  <c r="D70" i="13"/>
  <c r="C70" i="13"/>
  <c r="B70" i="13"/>
  <c r="A70" i="13"/>
  <c r="F69" i="13"/>
  <c r="E69" i="13"/>
  <c r="D69" i="13"/>
  <c r="C69" i="13"/>
  <c r="B69" i="13"/>
  <c r="A69" i="13"/>
  <c r="H68" i="13"/>
  <c r="G68" i="13"/>
  <c r="F68" i="13"/>
  <c r="E68" i="13"/>
  <c r="D68" i="13"/>
  <c r="C68" i="13"/>
  <c r="B68" i="13"/>
  <c r="A68" i="13"/>
  <c r="H67" i="13"/>
  <c r="G67" i="13"/>
  <c r="F67" i="13"/>
  <c r="E67" i="13"/>
  <c r="D67" i="13"/>
  <c r="C67" i="13"/>
  <c r="B67" i="13"/>
  <c r="A67" i="13"/>
  <c r="H66" i="13"/>
  <c r="G66" i="13"/>
  <c r="F66" i="13"/>
  <c r="E66" i="13"/>
  <c r="D66" i="13"/>
  <c r="C66" i="13"/>
  <c r="B66" i="13"/>
  <c r="A66" i="13"/>
  <c r="H65" i="13"/>
  <c r="G65" i="13"/>
  <c r="F65" i="13"/>
  <c r="E65" i="13"/>
  <c r="D65" i="13"/>
  <c r="C65" i="13"/>
  <c r="B65" i="13"/>
  <c r="A65" i="13"/>
  <c r="H64" i="13"/>
  <c r="G64" i="13"/>
  <c r="F64" i="13"/>
  <c r="E64" i="13"/>
  <c r="D64" i="13"/>
  <c r="C64" i="13"/>
  <c r="B64" i="13"/>
  <c r="A64" i="13"/>
  <c r="H63" i="13"/>
  <c r="G63" i="13"/>
  <c r="F63" i="13"/>
  <c r="E63" i="13"/>
  <c r="D63" i="13"/>
  <c r="C63" i="13"/>
  <c r="B63" i="13"/>
  <c r="A63" i="13"/>
  <c r="F62" i="13"/>
  <c r="E62" i="13"/>
  <c r="D62" i="13"/>
  <c r="C62" i="13"/>
  <c r="B62" i="13"/>
  <c r="A62" i="13"/>
  <c r="C57" i="13"/>
  <c r="G96" i="13" s="1"/>
  <c r="C55" i="13"/>
  <c r="G74" i="13" s="1"/>
  <c r="C5" i="18"/>
  <c r="C5" i="18" a="1"/>
  <c r="B5" i="18" a="1"/>
  <c r="B5" i="18" s="1"/>
  <c r="C2" i="18" a="1"/>
  <c r="C2" i="18" s="1"/>
  <c r="B2" i="18" a="1"/>
  <c r="B2" i="18" s="1"/>
  <c r="D70" i="14"/>
  <c r="C70" i="14"/>
  <c r="B70" i="14"/>
  <c r="E70" i="14" s="1"/>
  <c r="G70" i="14" s="1"/>
  <c r="D69" i="14"/>
  <c r="C69" i="14"/>
  <c r="B69" i="14"/>
  <c r="D68" i="14"/>
  <c r="C68" i="14"/>
  <c r="B68" i="14"/>
  <c r="D67" i="14"/>
  <c r="D71" i="14" s="1"/>
  <c r="C67" i="14"/>
  <c r="C71" i="14" s="1"/>
  <c r="B67" i="14"/>
  <c r="G66" i="14"/>
  <c r="L61" i="14" s="1"/>
  <c r="D66" i="14"/>
  <c r="C66" i="14"/>
  <c r="B66" i="14"/>
  <c r="E66" i="14" s="1"/>
  <c r="D65" i="14"/>
  <c r="C65" i="14"/>
  <c r="B65" i="14"/>
  <c r="N62" i="14"/>
  <c r="M61" i="14"/>
  <c r="D61" i="14"/>
  <c r="C61" i="14"/>
  <c r="B61" i="14"/>
  <c r="M60" i="14"/>
  <c r="L60" i="14"/>
  <c r="E60" i="14"/>
  <c r="D60" i="14"/>
  <c r="C60" i="14"/>
  <c r="B60" i="14"/>
  <c r="D59" i="14"/>
  <c r="E59" i="14" s="1"/>
  <c r="C59" i="14"/>
  <c r="B59" i="14"/>
  <c r="N58" i="14"/>
  <c r="D58" i="14"/>
  <c r="C58" i="14"/>
  <c r="C62" i="14" s="1"/>
  <c r="B58" i="14"/>
  <c r="B62" i="14" s="1"/>
  <c r="M57" i="14"/>
  <c r="E57" i="14"/>
  <c r="D57" i="14"/>
  <c r="C57" i="14"/>
  <c r="B57" i="14"/>
  <c r="M56" i="14"/>
  <c r="D56" i="14"/>
  <c r="C56" i="14"/>
  <c r="B56" i="14"/>
  <c r="L51" i="14"/>
  <c r="K51" i="14"/>
  <c r="J51" i="14"/>
  <c r="I51" i="14"/>
  <c r="H51" i="14"/>
  <c r="L50" i="14"/>
  <c r="K50" i="14"/>
  <c r="J50" i="14"/>
  <c r="I50" i="14"/>
  <c r="H50" i="14"/>
  <c r="L49" i="14"/>
  <c r="L52" i="14" s="1"/>
  <c r="K49" i="14"/>
  <c r="J49" i="14"/>
  <c r="I49" i="14"/>
  <c r="H49" i="14"/>
  <c r="L48" i="14"/>
  <c r="K48" i="14"/>
  <c r="K52" i="14" s="1"/>
  <c r="J48" i="14"/>
  <c r="J52" i="14" s="1"/>
  <c r="I48" i="14"/>
  <c r="H48" i="14"/>
  <c r="L46" i="14"/>
  <c r="K46" i="14"/>
  <c r="J46" i="14"/>
  <c r="I46" i="14"/>
  <c r="H46" i="14"/>
  <c r="L45" i="14"/>
  <c r="K45" i="14"/>
  <c r="J45" i="14"/>
  <c r="I45" i="14"/>
  <c r="H45" i="14"/>
  <c r="L44" i="14"/>
  <c r="K44" i="14"/>
  <c r="J44" i="14"/>
  <c r="I44" i="14"/>
  <c r="H44" i="14"/>
  <c r="L43" i="14"/>
  <c r="L47" i="14" s="1"/>
  <c r="K43" i="14"/>
  <c r="K47" i="14" s="1"/>
  <c r="J43" i="14"/>
  <c r="J47" i="14" s="1"/>
  <c r="I43" i="14"/>
  <c r="H43" i="14"/>
  <c r="L42" i="14"/>
  <c r="K42" i="14"/>
  <c r="J42" i="14"/>
  <c r="I42" i="14"/>
  <c r="H42" i="14"/>
  <c r="F108" i="3"/>
  <c r="F107" i="3"/>
  <c r="J108" i="3" a="1"/>
  <c r="D108" i="3"/>
  <c r="E108" i="3" s="1"/>
  <c r="C108" i="3"/>
  <c r="B108" i="3"/>
  <c r="U107" i="3" a="1"/>
  <c r="U107" i="3" s="1"/>
  <c r="T107" i="3"/>
  <c r="V107" i="3" s="1"/>
  <c r="R107" i="3"/>
  <c r="J107" i="3" a="1"/>
  <c r="Q107" i="3" s="1"/>
  <c r="G107" i="3"/>
  <c r="S107" i="3" s="1"/>
  <c r="E107" i="3"/>
  <c r="D107" i="3"/>
  <c r="C107" i="3"/>
  <c r="B107" i="3"/>
  <c r="U106" i="3"/>
  <c r="J106" i="3" a="1"/>
  <c r="J10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C101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F214" i="11"/>
  <c r="F213" i="11"/>
  <c r="F212" i="11"/>
  <c r="F208" i="11"/>
  <c r="F207" i="11"/>
  <c r="F206" i="11"/>
  <c r="B205" i="11"/>
  <c r="K332" i="12"/>
  <c r="K331" i="12"/>
  <c r="K330" i="12"/>
  <c r="K329" i="12"/>
  <c r="K333" i="12" s="1"/>
  <c r="K316" i="12"/>
  <c r="K315" i="12"/>
  <c r="K314" i="12"/>
  <c r="K317" i="12" s="1"/>
  <c r="K313" i="12"/>
  <c r="K185" i="11"/>
  <c r="K184" i="11"/>
  <c r="K183" i="11"/>
  <c r="K182" i="11"/>
  <c r="K169" i="11"/>
  <c r="K166" i="11"/>
  <c r="K167" i="11"/>
  <c r="K168" i="11"/>
  <c r="G57" i="14" l="1"/>
  <c r="L57" i="14" s="1"/>
  <c r="G60" i="14"/>
  <c r="B71" i="14"/>
  <c r="E68" i="14"/>
  <c r="G68" i="14" s="1"/>
  <c r="E56" i="14"/>
  <c r="G56" i="14" s="1"/>
  <c r="L56" i="14" s="1"/>
  <c r="E65" i="14"/>
  <c r="G59" i="14"/>
  <c r="E58" i="14"/>
  <c r="E61" i="14"/>
  <c r="G61" i="14" s="1"/>
  <c r="E69" i="14"/>
  <c r="G75" i="13"/>
  <c r="G76" i="13" s="1"/>
  <c r="G77" i="13" s="1"/>
  <c r="G78" i="13" s="1"/>
  <c r="G79" i="13" s="1"/>
  <c r="G80" i="13" s="1"/>
  <c r="G81" i="13" s="1"/>
  <c r="G82" i="13" s="1"/>
  <c r="G83" i="13" s="1"/>
  <c r="G84" i="13" s="1"/>
  <c r="G73" i="13"/>
  <c r="G71" i="13"/>
  <c r="G69" i="13"/>
  <c r="G97" i="13"/>
  <c r="G98" i="13" s="1"/>
  <c r="G91" i="13"/>
  <c r="G72" i="13"/>
  <c r="C56" i="13"/>
  <c r="H74" i="13" s="1"/>
  <c r="H70" i="13" s="1"/>
  <c r="C58" i="13"/>
  <c r="H96" i="13" s="1"/>
  <c r="G70" i="13"/>
  <c r="E71" i="14"/>
  <c r="G58" i="14"/>
  <c r="G65" i="14"/>
  <c r="G69" i="14"/>
  <c r="D62" i="14"/>
  <c r="E62" i="14" s="1"/>
  <c r="E67" i="14"/>
  <c r="G67" i="14" s="1"/>
  <c r="C100" i="3"/>
  <c r="E101" i="3"/>
  <c r="G108" i="3" s="1"/>
  <c r="O108" i="3" s="1"/>
  <c r="E100" i="3"/>
  <c r="D101" i="3"/>
  <c r="D100" i="3"/>
  <c r="J107" i="3"/>
  <c r="O107" i="3"/>
  <c r="J108" i="3"/>
  <c r="P107" i="3"/>
  <c r="C167" i="11"/>
  <c r="D167" i="11"/>
  <c r="E167" i="11"/>
  <c r="F167" i="11"/>
  <c r="G167" i="11"/>
  <c r="H167" i="11"/>
  <c r="B167" i="11"/>
  <c r="G92" i="13" l="1"/>
  <c r="H97" i="13"/>
  <c r="H91" i="13"/>
  <c r="H75" i="13"/>
  <c r="H76" i="13" s="1"/>
  <c r="H77" i="13" s="1"/>
  <c r="H78" i="13" s="1"/>
  <c r="H79" i="13" s="1"/>
  <c r="H80" i="13" s="1"/>
  <c r="H81" i="13" s="1"/>
  <c r="H82" i="13" s="1"/>
  <c r="H83" i="13" s="1"/>
  <c r="H84" i="13" s="1"/>
  <c r="H73" i="13"/>
  <c r="H71" i="13"/>
  <c r="H69" i="13"/>
  <c r="H72" i="13"/>
  <c r="G99" i="13"/>
  <c r="G93" i="13"/>
  <c r="G71" i="14"/>
  <c r="L62" i="14"/>
  <c r="L58" i="14"/>
  <c r="G62" i="14"/>
  <c r="R108" i="3"/>
  <c r="Q108" i="3"/>
  <c r="T108" i="3"/>
  <c r="V108" i="3" s="1"/>
  <c r="S108" i="3"/>
  <c r="P108" i="3"/>
  <c r="C314" i="12"/>
  <c r="D314" i="12"/>
  <c r="E314" i="12"/>
  <c r="F314" i="12"/>
  <c r="G314" i="12"/>
  <c r="H314" i="12"/>
  <c r="I314" i="12"/>
  <c r="B314" i="12"/>
  <c r="L101" i="11"/>
  <c r="L100" i="11"/>
  <c r="F82" i="9"/>
  <c r="F81" i="9"/>
  <c r="F80" i="9"/>
  <c r="F76" i="9"/>
  <c r="F75" i="9"/>
  <c r="F74" i="9"/>
  <c r="O307" i="12"/>
  <c r="C320" i="12"/>
  <c r="D320" i="12"/>
  <c r="E320" i="12"/>
  <c r="F320" i="12"/>
  <c r="G320" i="12"/>
  <c r="H320" i="12"/>
  <c r="I320" i="12"/>
  <c r="C321" i="12"/>
  <c r="D321" i="12"/>
  <c r="E321" i="12"/>
  <c r="F321" i="12"/>
  <c r="G321" i="12"/>
  <c r="H321" i="12"/>
  <c r="I321" i="12"/>
  <c r="C322" i="12"/>
  <c r="D322" i="12"/>
  <c r="E322" i="12"/>
  <c r="F322" i="12"/>
  <c r="G322" i="12"/>
  <c r="H322" i="12"/>
  <c r="I322" i="12"/>
  <c r="C323" i="12"/>
  <c r="D323" i="12"/>
  <c r="E323" i="12"/>
  <c r="F323" i="12"/>
  <c r="G323" i="12"/>
  <c r="H323" i="12"/>
  <c r="I323" i="12"/>
  <c r="C324" i="12"/>
  <c r="D324" i="12"/>
  <c r="E324" i="12"/>
  <c r="F324" i="12"/>
  <c r="G324" i="12"/>
  <c r="H324" i="12"/>
  <c r="I324" i="12"/>
  <c r="C325" i="12"/>
  <c r="D325" i="12"/>
  <c r="E325" i="12"/>
  <c r="F325" i="12"/>
  <c r="G325" i="12"/>
  <c r="H325" i="12"/>
  <c r="I325" i="12"/>
  <c r="C326" i="12"/>
  <c r="D326" i="12"/>
  <c r="E326" i="12"/>
  <c r="F326" i="12"/>
  <c r="G326" i="12"/>
  <c r="H326" i="12"/>
  <c r="I326" i="12"/>
  <c r="C327" i="12"/>
  <c r="D327" i="12"/>
  <c r="E327" i="12"/>
  <c r="F327" i="12"/>
  <c r="G327" i="12"/>
  <c r="H327" i="12"/>
  <c r="I327" i="12"/>
  <c r="C304" i="12"/>
  <c r="D304" i="12"/>
  <c r="E304" i="12"/>
  <c r="F304" i="12"/>
  <c r="G304" i="12"/>
  <c r="H304" i="12"/>
  <c r="I304" i="12"/>
  <c r="C305" i="12"/>
  <c r="D305" i="12"/>
  <c r="E305" i="12"/>
  <c r="F305" i="12"/>
  <c r="G305" i="12"/>
  <c r="H305" i="12"/>
  <c r="I305" i="12"/>
  <c r="C306" i="12"/>
  <c r="D306" i="12"/>
  <c r="E306" i="12"/>
  <c r="F306" i="12"/>
  <c r="G306" i="12"/>
  <c r="H306" i="12"/>
  <c r="I306" i="12"/>
  <c r="C307" i="12"/>
  <c r="D307" i="12"/>
  <c r="E307" i="12"/>
  <c r="F307" i="12"/>
  <c r="G307" i="12"/>
  <c r="H307" i="12"/>
  <c r="I307" i="12"/>
  <c r="C308" i="12"/>
  <c r="D308" i="12"/>
  <c r="E308" i="12"/>
  <c r="F308" i="12"/>
  <c r="G308" i="12"/>
  <c r="H308" i="12"/>
  <c r="I308" i="12"/>
  <c r="C309" i="12"/>
  <c r="D309" i="12"/>
  <c r="E309" i="12"/>
  <c r="F309" i="12"/>
  <c r="G309" i="12"/>
  <c r="H309" i="12"/>
  <c r="I309" i="12"/>
  <c r="C310" i="12"/>
  <c r="D310" i="12"/>
  <c r="E310" i="12"/>
  <c r="F310" i="12"/>
  <c r="G310" i="12"/>
  <c r="H310" i="12"/>
  <c r="I310" i="12"/>
  <c r="C311" i="12"/>
  <c r="D311" i="12"/>
  <c r="E311" i="12"/>
  <c r="F311" i="12"/>
  <c r="G311" i="12"/>
  <c r="H311" i="12"/>
  <c r="I311" i="12"/>
  <c r="H98" i="13" l="1"/>
  <c r="H92" i="13"/>
  <c r="G100" i="13"/>
  <c r="G94" i="13"/>
  <c r="L248" i="12"/>
  <c r="F290" i="12" s="1"/>
  <c r="L247" i="12"/>
  <c r="L248" i="4"/>
  <c r="L247" i="4"/>
  <c r="D81" i="9"/>
  <c r="C81" i="9"/>
  <c r="B81" i="9"/>
  <c r="D75" i="9"/>
  <c r="C75" i="9"/>
  <c r="B75" i="9"/>
  <c r="E200" i="11"/>
  <c r="D200" i="11"/>
  <c r="C200" i="11"/>
  <c r="E199" i="11"/>
  <c r="D199" i="11"/>
  <c r="C199" i="11"/>
  <c r="D213" i="11"/>
  <c r="D212" i="11"/>
  <c r="D211" i="11"/>
  <c r="C211" i="11"/>
  <c r="C212" i="11"/>
  <c r="C213" i="11"/>
  <c r="B213" i="11"/>
  <c r="B212" i="11"/>
  <c r="D207" i="11"/>
  <c r="C207" i="11"/>
  <c r="B207" i="11"/>
  <c r="B211" i="11"/>
  <c r="D206" i="11"/>
  <c r="D205" i="11"/>
  <c r="C205" i="11"/>
  <c r="C206" i="11"/>
  <c r="B206" i="11"/>
  <c r="D79" i="9"/>
  <c r="C79" i="9"/>
  <c r="B79" i="9"/>
  <c r="D73" i="9"/>
  <c r="C73" i="9"/>
  <c r="B73" i="9"/>
  <c r="B74" i="9"/>
  <c r="C66" i="9"/>
  <c r="D66" i="9"/>
  <c r="E66" i="9"/>
  <c r="P180" i="11"/>
  <c r="O180" i="11"/>
  <c r="I180" i="11"/>
  <c r="I185" i="11" s="1"/>
  <c r="H180" i="11"/>
  <c r="H185" i="11" s="1"/>
  <c r="G180" i="11"/>
  <c r="G185" i="11" s="1"/>
  <c r="F180" i="11"/>
  <c r="F185" i="11" s="1"/>
  <c r="E180" i="11"/>
  <c r="E185" i="11" s="1"/>
  <c r="D180" i="11"/>
  <c r="D185" i="11" s="1"/>
  <c r="C180" i="11"/>
  <c r="C185" i="11" s="1"/>
  <c r="B180" i="11"/>
  <c r="B185" i="11" s="1"/>
  <c r="P179" i="11"/>
  <c r="O179" i="11"/>
  <c r="I179" i="11"/>
  <c r="H179" i="11"/>
  <c r="G179" i="11"/>
  <c r="F179" i="11"/>
  <c r="E179" i="11"/>
  <c r="D179" i="11"/>
  <c r="C179" i="11"/>
  <c r="B179" i="11"/>
  <c r="P178" i="11"/>
  <c r="O178" i="11"/>
  <c r="I178" i="11"/>
  <c r="H178" i="11"/>
  <c r="G178" i="11"/>
  <c r="F178" i="11"/>
  <c r="E178" i="11"/>
  <c r="D178" i="11"/>
  <c r="C178" i="11"/>
  <c r="B178" i="11"/>
  <c r="P177" i="11"/>
  <c r="O177" i="11"/>
  <c r="I177" i="11"/>
  <c r="H177" i="11"/>
  <c r="G177" i="11"/>
  <c r="F177" i="11"/>
  <c r="E177" i="11"/>
  <c r="D177" i="11"/>
  <c r="C177" i="11"/>
  <c r="B177" i="11"/>
  <c r="P176" i="11"/>
  <c r="O176" i="11"/>
  <c r="I176" i="11"/>
  <c r="H176" i="11"/>
  <c r="G176" i="11"/>
  <c r="F176" i="11"/>
  <c r="E176" i="11"/>
  <c r="D176" i="11"/>
  <c r="C176" i="11"/>
  <c r="B176" i="11"/>
  <c r="P175" i="11"/>
  <c r="O175" i="11"/>
  <c r="I175" i="11"/>
  <c r="H175" i="11"/>
  <c r="G175" i="11"/>
  <c r="F175" i="11"/>
  <c r="E175" i="11"/>
  <c r="D175" i="11"/>
  <c r="C175" i="11"/>
  <c r="B175" i="11"/>
  <c r="P174" i="11"/>
  <c r="O174" i="11"/>
  <c r="I174" i="11"/>
  <c r="H174" i="11"/>
  <c r="G174" i="11"/>
  <c r="F174" i="11"/>
  <c r="E174" i="11"/>
  <c r="D174" i="11"/>
  <c r="C174" i="11"/>
  <c r="B174" i="11"/>
  <c r="P173" i="11"/>
  <c r="O173" i="11"/>
  <c r="I173" i="11"/>
  <c r="H173" i="11"/>
  <c r="G173" i="11"/>
  <c r="F173" i="11"/>
  <c r="E173" i="11"/>
  <c r="D173" i="11"/>
  <c r="C173" i="11"/>
  <c r="B173" i="11"/>
  <c r="P164" i="11"/>
  <c r="O164" i="11"/>
  <c r="I164" i="11"/>
  <c r="I169" i="11" s="1"/>
  <c r="H164" i="11"/>
  <c r="H169" i="11" s="1"/>
  <c r="G164" i="11"/>
  <c r="G169" i="11" s="1"/>
  <c r="F164" i="11"/>
  <c r="F169" i="11" s="1"/>
  <c r="E164" i="11"/>
  <c r="E169" i="11" s="1"/>
  <c r="D164" i="11"/>
  <c r="D169" i="11" s="1"/>
  <c r="C164" i="11"/>
  <c r="C169" i="11" s="1"/>
  <c r="B164" i="11"/>
  <c r="B169" i="11" s="1"/>
  <c r="P163" i="11"/>
  <c r="O163" i="11"/>
  <c r="I163" i="11"/>
  <c r="H163" i="11"/>
  <c r="G163" i="11"/>
  <c r="F163" i="11"/>
  <c r="E163" i="11"/>
  <c r="D163" i="11"/>
  <c r="C163" i="11"/>
  <c r="B163" i="11"/>
  <c r="P162" i="11"/>
  <c r="O162" i="11"/>
  <c r="I162" i="11"/>
  <c r="H162" i="11"/>
  <c r="G162" i="11"/>
  <c r="F162" i="11"/>
  <c r="E162" i="11"/>
  <c r="D162" i="11"/>
  <c r="C162" i="11"/>
  <c r="B162" i="11"/>
  <c r="P161" i="11"/>
  <c r="O161" i="11"/>
  <c r="I161" i="11"/>
  <c r="H161" i="11"/>
  <c r="G161" i="11"/>
  <c r="F161" i="11"/>
  <c r="E161" i="11"/>
  <c r="D161" i="11"/>
  <c r="C161" i="11"/>
  <c r="B161" i="11"/>
  <c r="P160" i="11"/>
  <c r="O160" i="11"/>
  <c r="I160" i="11"/>
  <c r="H160" i="11"/>
  <c r="G160" i="11"/>
  <c r="F160" i="11"/>
  <c r="E160" i="11"/>
  <c r="D160" i="11"/>
  <c r="C160" i="11"/>
  <c r="B160" i="11"/>
  <c r="P159" i="11"/>
  <c r="O159" i="11"/>
  <c r="I159" i="11"/>
  <c r="H159" i="11"/>
  <c r="G159" i="11"/>
  <c r="F159" i="11"/>
  <c r="E159" i="11"/>
  <c r="D159" i="11"/>
  <c r="C159" i="11"/>
  <c r="B159" i="11"/>
  <c r="P158" i="11"/>
  <c r="O158" i="11"/>
  <c r="I158" i="11"/>
  <c r="H158" i="11"/>
  <c r="G158" i="11"/>
  <c r="F158" i="11"/>
  <c r="E158" i="11"/>
  <c r="D158" i="11"/>
  <c r="C158" i="11"/>
  <c r="B158" i="11"/>
  <c r="P157" i="11"/>
  <c r="O157" i="11"/>
  <c r="I157" i="11"/>
  <c r="H157" i="11"/>
  <c r="G157" i="11"/>
  <c r="F157" i="11"/>
  <c r="E157" i="11"/>
  <c r="D157" i="11"/>
  <c r="C157" i="11"/>
  <c r="B157" i="11"/>
  <c r="E148" i="11"/>
  <c r="E147" i="11"/>
  <c r="D144" i="11"/>
  <c r="C144" i="11"/>
  <c r="B144" i="11"/>
  <c r="D143" i="11"/>
  <c r="C143" i="11"/>
  <c r="B143" i="11"/>
  <c r="D140" i="11"/>
  <c r="C140" i="11"/>
  <c r="B140" i="11"/>
  <c r="D139" i="11"/>
  <c r="C139" i="11"/>
  <c r="B139" i="11"/>
  <c r="F143" i="11"/>
  <c r="F139" i="11"/>
  <c r="I329" i="12"/>
  <c r="B321" i="12"/>
  <c r="F313" i="12"/>
  <c r="B305" i="12"/>
  <c r="P327" i="12"/>
  <c r="O327" i="12"/>
  <c r="I332" i="12"/>
  <c r="H332" i="12"/>
  <c r="G332" i="12"/>
  <c r="F332" i="12"/>
  <c r="E332" i="12"/>
  <c r="D332" i="12"/>
  <c r="C332" i="12"/>
  <c r="B327" i="12"/>
  <c r="B332" i="12" s="1"/>
  <c r="P326" i="12"/>
  <c r="O326" i="12"/>
  <c r="B326" i="12"/>
  <c r="P325" i="12"/>
  <c r="O325" i="12"/>
  <c r="F331" i="12"/>
  <c r="E331" i="12"/>
  <c r="D331" i="12"/>
  <c r="C331" i="12"/>
  <c r="B325" i="12"/>
  <c r="P324" i="12"/>
  <c r="O324" i="12"/>
  <c r="B324" i="12"/>
  <c r="P323" i="12"/>
  <c r="O323" i="12"/>
  <c r="B323" i="12"/>
  <c r="P322" i="12"/>
  <c r="O322" i="12"/>
  <c r="C330" i="12"/>
  <c r="B322" i="12"/>
  <c r="B330" i="12" s="1"/>
  <c r="P321" i="12"/>
  <c r="O321" i="12"/>
  <c r="P320" i="12"/>
  <c r="O320" i="12"/>
  <c r="G329" i="12"/>
  <c r="F329" i="12"/>
  <c r="B320" i="12"/>
  <c r="P311" i="12"/>
  <c r="O311" i="12"/>
  <c r="I316" i="12"/>
  <c r="H316" i="12"/>
  <c r="G316" i="12"/>
  <c r="F316" i="12"/>
  <c r="E316" i="12"/>
  <c r="D316" i="12"/>
  <c r="C316" i="12"/>
  <c r="B311" i="12"/>
  <c r="B316" i="12" s="1"/>
  <c r="P310" i="12"/>
  <c r="O310" i="12"/>
  <c r="H315" i="12"/>
  <c r="B310" i="12"/>
  <c r="P309" i="12"/>
  <c r="O309" i="12"/>
  <c r="B309" i="12"/>
  <c r="B315" i="12" s="1"/>
  <c r="P308" i="12"/>
  <c r="O308" i="12"/>
  <c r="B308" i="12"/>
  <c r="P307" i="12"/>
  <c r="B307" i="12"/>
  <c r="P306" i="12"/>
  <c r="O306" i="12"/>
  <c r="B306" i="12"/>
  <c r="P305" i="12"/>
  <c r="O305" i="12"/>
  <c r="P304" i="12"/>
  <c r="O304" i="12"/>
  <c r="D313" i="12"/>
  <c r="C313" i="12"/>
  <c r="B304" i="12"/>
  <c r="E295" i="12"/>
  <c r="E294" i="12"/>
  <c r="D291" i="12"/>
  <c r="C291" i="12"/>
  <c r="B291" i="12"/>
  <c r="D290" i="12"/>
  <c r="C290" i="12"/>
  <c r="B290" i="12"/>
  <c r="D287" i="12"/>
  <c r="C287" i="12"/>
  <c r="B287" i="12"/>
  <c r="D286" i="12"/>
  <c r="C286" i="12"/>
  <c r="B286" i="12"/>
  <c r="F286" i="12"/>
  <c r="K82" i="9"/>
  <c r="J82" i="9"/>
  <c r="K76" i="9"/>
  <c r="J76" i="9"/>
  <c r="D67" i="9"/>
  <c r="E67" i="9"/>
  <c r="C67" i="9"/>
  <c r="C1" i="10" a="1"/>
  <c r="C1" i="10" s="1"/>
  <c r="E86" i="9"/>
  <c r="E85" i="9"/>
  <c r="K81" i="9"/>
  <c r="J81" i="9"/>
  <c r="K80" i="9"/>
  <c r="J80" i="9"/>
  <c r="D80" i="9"/>
  <c r="C80" i="9"/>
  <c r="B80" i="9"/>
  <c r="K75" i="9"/>
  <c r="J75" i="9"/>
  <c r="K74" i="9"/>
  <c r="J74" i="9"/>
  <c r="D74" i="9"/>
  <c r="C74" i="9"/>
  <c r="B1" i="6" a="1"/>
  <c r="B1" i="6" s="1"/>
  <c r="E295" i="4"/>
  <c r="E294" i="4"/>
  <c r="F290" i="4"/>
  <c r="F286" i="4"/>
  <c r="D291" i="4"/>
  <c r="C291" i="4"/>
  <c r="B291" i="4"/>
  <c r="B290" i="4"/>
  <c r="D287" i="4"/>
  <c r="D286" i="4"/>
  <c r="C286" i="4"/>
  <c r="C287" i="4"/>
  <c r="B287" i="4"/>
  <c r="D290" i="4"/>
  <c r="C290" i="4"/>
  <c r="B286" i="4"/>
  <c r="A65" i="1" a="1"/>
  <c r="A65" i="1" s="1"/>
  <c r="B65" i="1" a="1"/>
  <c r="B65" i="1"/>
  <c r="B51" i="1" a="1"/>
  <c r="B51" i="1" s="1"/>
  <c r="A64" i="1" a="1"/>
  <c r="A64" i="1" s="1"/>
  <c r="B64" i="1" a="1"/>
  <c r="B64" i="1"/>
  <c r="A52" i="1" a="1"/>
  <c r="A52" i="1" s="1"/>
  <c r="B52" i="1" a="1"/>
  <c r="B52" i="1" s="1"/>
  <c r="A53" i="1" a="1"/>
  <c r="A53" i="1" s="1"/>
  <c r="B53" i="1" a="1"/>
  <c r="B53" i="1" s="1"/>
  <c r="A54" i="1" a="1"/>
  <c r="A54" i="1" s="1"/>
  <c r="B54" i="1" a="1"/>
  <c r="B54" i="1" s="1"/>
  <c r="A55" i="1" a="1"/>
  <c r="A55" i="1" s="1"/>
  <c r="B55" i="1" a="1"/>
  <c r="B55" i="1"/>
  <c r="A56" i="1" a="1"/>
  <c r="A56" i="1" s="1"/>
  <c r="B56" i="1" a="1"/>
  <c r="B56" i="1"/>
  <c r="A57" i="1" a="1"/>
  <c r="A57" i="1"/>
  <c r="B57" i="1" a="1"/>
  <c r="B57" i="1" s="1"/>
  <c r="A58" i="1" a="1"/>
  <c r="A58" i="1"/>
  <c r="B58" i="1" a="1"/>
  <c r="B58" i="1" s="1"/>
  <c r="A59" i="1" a="1"/>
  <c r="A59" i="1" s="1"/>
  <c r="B59" i="1" a="1"/>
  <c r="B59" i="1" s="1"/>
  <c r="A60" i="1" a="1"/>
  <c r="A60" i="1"/>
  <c r="B60" i="1" a="1"/>
  <c r="B60" i="1"/>
  <c r="A61" i="1" a="1"/>
  <c r="A61" i="1" s="1"/>
  <c r="B61" i="1" a="1"/>
  <c r="B61" i="1"/>
  <c r="A62" i="1" a="1"/>
  <c r="A62" i="1" s="1"/>
  <c r="B62" i="1" a="1"/>
  <c r="B62" i="1"/>
  <c r="A63" i="1" a="1"/>
  <c r="A63" i="1" s="1"/>
  <c r="B63" i="1" a="1"/>
  <c r="B63" i="1"/>
  <c r="A51" i="1" a="1"/>
  <c r="A51" i="1" s="1"/>
  <c r="F39" i="1"/>
  <c r="F45" i="1" s="1"/>
  <c r="G39" i="1"/>
  <c r="G45" i="1" s="1"/>
  <c r="H39" i="1"/>
  <c r="H45" i="1" s="1"/>
  <c r="C53" i="1" s="1" a="1"/>
  <c r="C53" i="1" s="1"/>
  <c r="I39" i="1"/>
  <c r="I45" i="1" s="1"/>
  <c r="J39" i="1"/>
  <c r="J45" i="1" s="1"/>
  <c r="C55" i="1" s="1" a="1"/>
  <c r="C55" i="1" s="1"/>
  <c r="K39" i="1"/>
  <c r="K45" i="1" s="1"/>
  <c r="L39" i="1"/>
  <c r="L45" i="1" s="1"/>
  <c r="C57" i="1" s="1" a="1"/>
  <c r="C57" i="1" s="1"/>
  <c r="F40" i="1"/>
  <c r="G40" i="1"/>
  <c r="G46" i="1" s="1"/>
  <c r="H40" i="1"/>
  <c r="H46" i="1" s="1"/>
  <c r="I40" i="1"/>
  <c r="I46" i="1" s="1"/>
  <c r="J40" i="1"/>
  <c r="J46" i="1" s="1"/>
  <c r="K40" i="1"/>
  <c r="L40" i="1"/>
  <c r="E40" i="1"/>
  <c r="E39" i="1"/>
  <c r="G101" i="13" l="1"/>
  <c r="G102" i="13" s="1"/>
  <c r="G103" i="13" s="1"/>
  <c r="G104" i="13" s="1"/>
  <c r="G105" i="13" s="1"/>
  <c r="G106" i="13" s="1"/>
  <c r="G95" i="13"/>
  <c r="H99" i="13"/>
  <c r="H93" i="13"/>
  <c r="B1" i="16" a="1"/>
  <c r="B1" i="16" s="1"/>
  <c r="B82" i="9"/>
  <c r="D82" i="9"/>
  <c r="B329" i="12"/>
  <c r="C82" i="9"/>
  <c r="D76" i="9"/>
  <c r="G313" i="12"/>
  <c r="B331" i="12"/>
  <c r="H313" i="12"/>
  <c r="D329" i="12"/>
  <c r="E329" i="12"/>
  <c r="E333" i="12" s="1"/>
  <c r="I313" i="12"/>
  <c r="C315" i="12"/>
  <c r="B317" i="12"/>
  <c r="C317" i="12"/>
  <c r="E315" i="12"/>
  <c r="C329" i="12"/>
  <c r="C333" i="12" s="1"/>
  <c r="F315" i="12"/>
  <c r="G315" i="12"/>
  <c r="G317" i="12" s="1"/>
  <c r="H329" i="12"/>
  <c r="G331" i="12"/>
  <c r="D315" i="12"/>
  <c r="H331" i="12"/>
  <c r="I331" i="12"/>
  <c r="E313" i="12"/>
  <c r="B313" i="12"/>
  <c r="E213" i="11"/>
  <c r="G213" i="11" s="1"/>
  <c r="B76" i="9"/>
  <c r="C76" i="9"/>
  <c r="E207" i="11"/>
  <c r="G207" i="11" s="1"/>
  <c r="G182" i="11"/>
  <c r="E184" i="11"/>
  <c r="C183" i="11"/>
  <c r="B214" i="11"/>
  <c r="D208" i="11"/>
  <c r="E206" i="11"/>
  <c r="G206" i="11" s="1"/>
  <c r="C214" i="11"/>
  <c r="E212" i="11"/>
  <c r="G212" i="11" s="1"/>
  <c r="F184" i="11"/>
  <c r="D214" i="11"/>
  <c r="E205" i="11"/>
  <c r="F182" i="11"/>
  <c r="D184" i="11"/>
  <c r="C208" i="11"/>
  <c r="B208" i="11"/>
  <c r="E208" i="11" s="1"/>
  <c r="G208" i="11" s="1"/>
  <c r="G184" i="11"/>
  <c r="E73" i="9"/>
  <c r="B183" i="11"/>
  <c r="H184" i="11"/>
  <c r="I184" i="11"/>
  <c r="H166" i="11"/>
  <c r="I166" i="11"/>
  <c r="E82" i="9"/>
  <c r="H168" i="11"/>
  <c r="D166" i="11"/>
  <c r="B168" i="11"/>
  <c r="E166" i="11"/>
  <c r="C168" i="11"/>
  <c r="E139" i="11"/>
  <c r="G139" i="11" s="1"/>
  <c r="H139" i="11" s="1"/>
  <c r="F166" i="11"/>
  <c r="D168" i="11"/>
  <c r="G166" i="11"/>
  <c r="E168" i="11"/>
  <c r="F168" i="11"/>
  <c r="H182" i="11"/>
  <c r="K186" i="11"/>
  <c r="G168" i="11"/>
  <c r="I182" i="11"/>
  <c r="B184" i="11"/>
  <c r="E182" i="11"/>
  <c r="C184" i="11"/>
  <c r="E183" i="11"/>
  <c r="F183" i="11"/>
  <c r="H183" i="11"/>
  <c r="I183" i="11"/>
  <c r="D183" i="11"/>
  <c r="I168" i="11"/>
  <c r="E143" i="11"/>
  <c r="G143" i="11" s="1"/>
  <c r="H143" i="11" s="1"/>
  <c r="G183" i="11"/>
  <c r="K170" i="11"/>
  <c r="B166" i="11"/>
  <c r="B182" i="11"/>
  <c r="C182" i="11"/>
  <c r="D182" i="11"/>
  <c r="C166" i="11"/>
  <c r="B333" i="12"/>
  <c r="D330" i="12"/>
  <c r="E330" i="12"/>
  <c r="F330" i="12"/>
  <c r="F333" i="12" s="1"/>
  <c r="I315" i="12"/>
  <c r="G330" i="12"/>
  <c r="E290" i="12"/>
  <c r="G290" i="12" s="1"/>
  <c r="H290" i="12" s="1"/>
  <c r="N289" i="12" s="1"/>
  <c r="H317" i="12"/>
  <c r="H330" i="12"/>
  <c r="I317" i="12"/>
  <c r="I330" i="12"/>
  <c r="I333" i="12" s="1"/>
  <c r="F317" i="12"/>
  <c r="E286" i="12"/>
  <c r="G286" i="12" s="1"/>
  <c r="H286" i="12" s="1"/>
  <c r="E80" i="9"/>
  <c r="G80" i="9" s="1"/>
  <c r="H80" i="9" s="1"/>
  <c r="E81" i="9"/>
  <c r="G81" i="9" s="1"/>
  <c r="H81" i="9" s="1"/>
  <c r="E75" i="9"/>
  <c r="G75" i="9" s="1"/>
  <c r="H75" i="9" s="1"/>
  <c r="L75" i="9" s="1"/>
  <c r="E74" i="9"/>
  <c r="G74" i="9" s="1"/>
  <c r="H74" i="9" s="1"/>
  <c r="O74" i="9" s="1"/>
  <c r="E290" i="4"/>
  <c r="E286" i="4"/>
  <c r="G286" i="4" s="1"/>
  <c r="H286" i="4" s="1"/>
  <c r="G290" i="4"/>
  <c r="H290" i="4" s="1"/>
  <c r="L46" i="1"/>
  <c r="C65" i="1" s="1" a="1"/>
  <c r="C65" i="1" s="1"/>
  <c r="F46" i="1"/>
  <c r="C54" i="1" a="1"/>
  <c r="C54" i="1" s="1"/>
  <c r="C52" i="1" a="1"/>
  <c r="C52" i="1" s="1"/>
  <c r="C56" i="1" a="1"/>
  <c r="C56" i="1" s="1"/>
  <c r="C51" i="1" a="1"/>
  <c r="C51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K46" i="1"/>
  <c r="C64" i="1" s="1" a="1"/>
  <c r="C64" i="1" s="1"/>
  <c r="H100" i="13" l="1"/>
  <c r="H94" i="13"/>
  <c r="E76" i="9"/>
  <c r="G76" i="9" s="1"/>
  <c r="H76" i="9" s="1"/>
  <c r="E317" i="12"/>
  <c r="D333" i="12"/>
  <c r="H333" i="12"/>
  <c r="G333" i="12"/>
  <c r="D317" i="12"/>
  <c r="C186" i="11"/>
  <c r="E214" i="11"/>
  <c r="G214" i="11" s="1"/>
  <c r="F186" i="11"/>
  <c r="G186" i="11"/>
  <c r="G82" i="9"/>
  <c r="H82" i="9" s="1"/>
  <c r="B186" i="11"/>
  <c r="H170" i="11"/>
  <c r="E186" i="11"/>
  <c r="O75" i="9"/>
  <c r="Q75" i="9"/>
  <c r="P75" i="9"/>
  <c r="Q74" i="9"/>
  <c r="M74" i="9"/>
  <c r="P74" i="9"/>
  <c r="L74" i="9"/>
  <c r="N74" i="9"/>
  <c r="I186" i="11"/>
  <c r="J183" i="11" s="1"/>
  <c r="L183" i="11" s="1"/>
  <c r="D170" i="11"/>
  <c r="E170" i="11"/>
  <c r="B170" i="11"/>
  <c r="Q138" i="11"/>
  <c r="P138" i="11"/>
  <c r="M138" i="11"/>
  <c r="L138" i="11"/>
  <c r="N138" i="11"/>
  <c r="O138" i="11"/>
  <c r="H186" i="11"/>
  <c r="G170" i="11"/>
  <c r="F170" i="11"/>
  <c r="I170" i="11"/>
  <c r="J168" i="11" s="1"/>
  <c r="L168" i="11" s="1"/>
  <c r="C170" i="11"/>
  <c r="Q142" i="11"/>
  <c r="M142" i="11"/>
  <c r="O142" i="11"/>
  <c r="N142" i="11"/>
  <c r="P142" i="11"/>
  <c r="L142" i="11"/>
  <c r="D186" i="11"/>
  <c r="Q285" i="12"/>
  <c r="M285" i="12"/>
  <c r="L285" i="12"/>
  <c r="O285" i="12"/>
  <c r="P285" i="12"/>
  <c r="N285" i="12"/>
  <c r="J329" i="12"/>
  <c r="L329" i="12" s="1"/>
  <c r="V321" i="12" s="1"/>
  <c r="W321" i="12" s="1"/>
  <c r="J332" i="12"/>
  <c r="L332" i="12" s="1"/>
  <c r="J331" i="12"/>
  <c r="L331" i="12" s="1"/>
  <c r="T326" i="12" s="1"/>
  <c r="J330" i="12"/>
  <c r="L330" i="12" s="1"/>
  <c r="S323" i="12" s="1"/>
  <c r="J316" i="12"/>
  <c r="L316" i="12" s="1"/>
  <c r="S311" i="12" s="1"/>
  <c r="J313" i="12"/>
  <c r="J315" i="12"/>
  <c r="L315" i="12" s="1"/>
  <c r="R309" i="12" s="1"/>
  <c r="Q289" i="12"/>
  <c r="L289" i="12"/>
  <c r="M289" i="12"/>
  <c r="O289" i="12"/>
  <c r="P289" i="12"/>
  <c r="J314" i="12"/>
  <c r="L314" i="12" s="1"/>
  <c r="T306" i="12" s="1"/>
  <c r="S324" i="12"/>
  <c r="R322" i="12"/>
  <c r="M75" i="9"/>
  <c r="N75" i="9"/>
  <c r="Q80" i="9"/>
  <c r="P80" i="9"/>
  <c r="M80" i="9"/>
  <c r="L80" i="9"/>
  <c r="O80" i="9"/>
  <c r="N80" i="9"/>
  <c r="Q81" i="9"/>
  <c r="O81" i="9"/>
  <c r="P81" i="9"/>
  <c r="N81" i="9"/>
  <c r="M81" i="9"/>
  <c r="L81" i="9"/>
  <c r="M285" i="4"/>
  <c r="N285" i="4"/>
  <c r="P285" i="4"/>
  <c r="L285" i="4"/>
  <c r="O285" i="4"/>
  <c r="Q285" i="4"/>
  <c r="M289" i="4"/>
  <c r="N289" i="4"/>
  <c r="O289" i="4"/>
  <c r="P289" i="4"/>
  <c r="Q289" i="4"/>
  <c r="L289" i="4"/>
  <c r="C63" i="1" a="1"/>
  <c r="C63" i="1" s="1"/>
  <c r="A1" i="2" s="1" a="1"/>
  <c r="A1" i="2" s="1"/>
  <c r="H101" i="13" l="1"/>
  <c r="H102" i="13" s="1"/>
  <c r="H103" i="13" s="1"/>
  <c r="H104" i="13" s="1"/>
  <c r="H105" i="13" s="1"/>
  <c r="H106" i="13" s="1"/>
  <c r="H95" i="13"/>
  <c r="Q322" i="12"/>
  <c r="R325" i="12"/>
  <c r="Q307" i="12"/>
  <c r="S306" i="12"/>
  <c r="T320" i="12"/>
  <c r="R321" i="12"/>
  <c r="R306" i="12"/>
  <c r="R307" i="12"/>
  <c r="S320" i="12"/>
  <c r="V306" i="12"/>
  <c r="W306" i="12" s="1"/>
  <c r="J185" i="11"/>
  <c r="L185" i="11" s="1"/>
  <c r="S180" i="11" s="1"/>
  <c r="J182" i="11"/>
  <c r="L182" i="11" s="1"/>
  <c r="T173" i="11" s="1"/>
  <c r="B2" i="10" a="1"/>
  <c r="B2" i="10" s="1"/>
  <c r="J184" i="11"/>
  <c r="L184" i="11" s="1"/>
  <c r="V179" i="11" s="1"/>
  <c r="W179" i="11" s="1"/>
  <c r="R175" i="11"/>
  <c r="V177" i="11"/>
  <c r="W177" i="11" s="1"/>
  <c r="R176" i="11"/>
  <c r="T176" i="11"/>
  <c r="Q177" i="11"/>
  <c r="T175" i="11"/>
  <c r="T177" i="11"/>
  <c r="B3" i="10" a="1"/>
  <c r="B3" i="10" s="1"/>
  <c r="Q176" i="11"/>
  <c r="S163" i="11"/>
  <c r="U163" i="11"/>
  <c r="R162" i="11"/>
  <c r="V162" i="11"/>
  <c r="W162" i="11" s="1"/>
  <c r="Q163" i="11"/>
  <c r="V163" i="11"/>
  <c r="W163" i="11" s="1"/>
  <c r="J167" i="11"/>
  <c r="L167" i="11" s="1"/>
  <c r="S160" i="11" s="1"/>
  <c r="J166" i="11"/>
  <c r="L166" i="11" s="1"/>
  <c r="V158" i="11" s="1"/>
  <c r="W158" i="11" s="1"/>
  <c r="J169" i="11"/>
  <c r="R164" i="11" s="1"/>
  <c r="R163" i="11"/>
  <c r="U177" i="11"/>
  <c r="S176" i="11"/>
  <c r="T162" i="11"/>
  <c r="R177" i="11"/>
  <c r="U162" i="11"/>
  <c r="S177" i="11"/>
  <c r="V175" i="11"/>
  <c r="W175" i="11" s="1"/>
  <c r="V176" i="11"/>
  <c r="W176" i="11" s="1"/>
  <c r="T163" i="11"/>
  <c r="Q175" i="11"/>
  <c r="S162" i="11"/>
  <c r="U175" i="11"/>
  <c r="Q162" i="11"/>
  <c r="S175" i="11"/>
  <c r="U176" i="11"/>
  <c r="V322" i="12"/>
  <c r="W322" i="12" s="1"/>
  <c r="T324" i="12"/>
  <c r="U324" i="12"/>
  <c r="V324" i="12"/>
  <c r="W324" i="12" s="1"/>
  <c r="T321" i="12"/>
  <c r="T322" i="12"/>
  <c r="V320" i="12"/>
  <c r="W320" i="12" s="1"/>
  <c r="Q323" i="12"/>
  <c r="U321" i="12"/>
  <c r="U309" i="12"/>
  <c r="R311" i="12"/>
  <c r="V310" i="12"/>
  <c r="W310" i="12" s="1"/>
  <c r="R310" i="12"/>
  <c r="T309" i="12"/>
  <c r="T310" i="12"/>
  <c r="U310" i="12"/>
  <c r="Q310" i="12"/>
  <c r="S310" i="12"/>
  <c r="J317" i="12"/>
  <c r="Q324" i="12"/>
  <c r="S326" i="12"/>
  <c r="V325" i="12"/>
  <c r="W325" i="12" s="1"/>
  <c r="U326" i="12"/>
  <c r="V326" i="12"/>
  <c r="W326" i="12" s="1"/>
  <c r="Q326" i="12"/>
  <c r="R326" i="12"/>
  <c r="S325" i="12"/>
  <c r="T325" i="12"/>
  <c r="U325" i="12"/>
  <c r="L313" i="12"/>
  <c r="V304" i="12" s="1"/>
  <c r="W304" i="12" s="1"/>
  <c r="R324" i="12"/>
  <c r="U311" i="12"/>
  <c r="T327" i="12"/>
  <c r="R327" i="12"/>
  <c r="S327" i="12"/>
  <c r="J333" i="12"/>
  <c r="U322" i="12"/>
  <c r="V311" i="12"/>
  <c r="W311" i="12" s="1"/>
  <c r="Q320" i="12"/>
  <c r="S321" i="12"/>
  <c r="R320" i="12"/>
  <c r="Q321" i="12"/>
  <c r="U320" i="12"/>
  <c r="U323" i="12"/>
  <c r="T311" i="12"/>
  <c r="Q309" i="12"/>
  <c r="S309" i="12"/>
  <c r="S322" i="12"/>
  <c r="Q311" i="12"/>
  <c r="U327" i="12"/>
  <c r="Q325" i="12"/>
  <c r="T323" i="12"/>
  <c r="V327" i="12"/>
  <c r="W327" i="12" s="1"/>
  <c r="V323" i="12"/>
  <c r="W323" i="12" s="1"/>
  <c r="V308" i="12"/>
  <c r="W308" i="12" s="1"/>
  <c r="U307" i="12"/>
  <c r="V307" i="12"/>
  <c r="W307" i="12" s="1"/>
  <c r="R308" i="12"/>
  <c r="Q308" i="12"/>
  <c r="S307" i="12"/>
  <c r="S308" i="12"/>
  <c r="T307" i="12"/>
  <c r="T308" i="12"/>
  <c r="U308" i="12"/>
  <c r="Q327" i="12"/>
  <c r="Q306" i="12"/>
  <c r="R323" i="12"/>
  <c r="V309" i="12"/>
  <c r="W309" i="12" s="1"/>
  <c r="U306" i="12"/>
  <c r="A3" i="6" a="1"/>
  <c r="A3" i="6" s="1"/>
  <c r="A2" i="6" a="1"/>
  <c r="A2" i="6" s="1"/>
  <c r="A1" i="19" l="1" a="1"/>
  <c r="A1" i="19" s="1"/>
  <c r="U305" i="12"/>
  <c r="T304" i="12"/>
  <c r="U180" i="11"/>
  <c r="V180" i="11"/>
  <c r="W180" i="11" s="1"/>
  <c r="R180" i="11"/>
  <c r="T179" i="11"/>
  <c r="V160" i="11"/>
  <c r="W160" i="11" s="1"/>
  <c r="Q179" i="11"/>
  <c r="V178" i="11"/>
  <c r="W178" i="11" s="1"/>
  <c r="Q180" i="11"/>
  <c r="Q178" i="11"/>
  <c r="T180" i="11"/>
  <c r="V305" i="12"/>
  <c r="W305" i="12" s="1"/>
  <c r="S304" i="12"/>
  <c r="Q305" i="12"/>
  <c r="B10" i="8" a="1"/>
  <c r="B10" i="8" s="1"/>
  <c r="S161" i="11"/>
  <c r="U159" i="11"/>
  <c r="J170" i="11"/>
  <c r="S179" i="11"/>
  <c r="R178" i="11"/>
  <c r="R179" i="11"/>
  <c r="Q164" i="11"/>
  <c r="S174" i="11"/>
  <c r="U178" i="11"/>
  <c r="S178" i="11"/>
  <c r="T178" i="11"/>
  <c r="V164" i="11"/>
  <c r="W164" i="11" s="1"/>
  <c r="V161" i="11"/>
  <c r="W161" i="11" s="1"/>
  <c r="U179" i="11"/>
  <c r="J186" i="11"/>
  <c r="T157" i="11"/>
  <c r="R160" i="11"/>
  <c r="U158" i="11"/>
  <c r="V159" i="11"/>
  <c r="W159" i="11" s="1"/>
  <c r="V157" i="11"/>
  <c r="W157" i="11" s="1"/>
  <c r="R161" i="11"/>
  <c r="S158" i="11"/>
  <c r="Q174" i="11"/>
  <c r="U173" i="11"/>
  <c r="V173" i="11"/>
  <c r="W173" i="11" s="1"/>
  <c r="Q161" i="11"/>
  <c r="U174" i="11"/>
  <c r="T159" i="11"/>
  <c r="R173" i="11"/>
  <c r="T174" i="11"/>
  <c r="V174" i="11"/>
  <c r="W174" i="11" s="1"/>
  <c r="S164" i="11"/>
  <c r="Q158" i="11"/>
  <c r="T164" i="11"/>
  <c r="Q157" i="11"/>
  <c r="U164" i="11"/>
  <c r="S159" i="11"/>
  <c r="Q160" i="11"/>
  <c r="T160" i="11"/>
  <c r="U160" i="11"/>
  <c r="R174" i="11"/>
  <c r="S157" i="11"/>
  <c r="T161" i="11"/>
  <c r="R159" i="11"/>
  <c r="T158" i="11"/>
  <c r="Q159" i="11"/>
  <c r="U157" i="11"/>
  <c r="U161" i="11"/>
  <c r="R157" i="11"/>
  <c r="R158" i="11"/>
  <c r="S173" i="11"/>
  <c r="Q173" i="11"/>
  <c r="R305" i="12"/>
  <c r="R304" i="12"/>
  <c r="Q304" i="12"/>
  <c r="T305" i="12"/>
  <c r="S305" i="12"/>
  <c r="U304" i="12"/>
  <c r="B2" i="8" l="1" a="1"/>
  <c r="B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<sst xmlns="http://schemas.openxmlformats.org/spreadsheetml/2006/main" count="16839" uniqueCount="480">
  <si>
    <t>Country</t>
  </si>
  <si>
    <t>Abreviation</t>
  </si>
  <si>
    <t>Vehicle occupancy rate</t>
  </si>
  <si>
    <t xml:space="preserve">Austria </t>
  </si>
  <si>
    <t>AT</t>
  </si>
  <si>
    <t>Average number of people per vehicle</t>
  </si>
  <si>
    <t>Belgium</t>
  </si>
  <si>
    <t>BE</t>
  </si>
  <si>
    <t>Bulgaria</t>
  </si>
  <si>
    <t>BG</t>
  </si>
  <si>
    <t>Switzerland</t>
  </si>
  <si>
    <t>CH</t>
  </si>
  <si>
    <t>Cyprus</t>
  </si>
  <si>
    <t>CY</t>
  </si>
  <si>
    <t>Czech Republic</t>
  </si>
  <si>
    <t>CZ</t>
  </si>
  <si>
    <t>Germany</t>
  </si>
  <si>
    <t>DE</t>
  </si>
  <si>
    <t>Denmark</t>
  </si>
  <si>
    <t>DK</t>
  </si>
  <si>
    <t>Estonia</t>
  </si>
  <si>
    <t>EE</t>
  </si>
  <si>
    <t>Greece</t>
  </si>
  <si>
    <t>EL</t>
  </si>
  <si>
    <t>Spain</t>
  </si>
  <si>
    <t>ES</t>
  </si>
  <si>
    <t>Finland</t>
  </si>
  <si>
    <t>FI</t>
  </si>
  <si>
    <t>France</t>
  </si>
  <si>
    <t>FR</t>
  </si>
  <si>
    <t>Croatia</t>
  </si>
  <si>
    <t>HR</t>
  </si>
  <si>
    <t>Hungary</t>
  </si>
  <si>
    <t>HU</t>
  </si>
  <si>
    <t>Ireland</t>
  </si>
  <si>
    <t>IE</t>
  </si>
  <si>
    <t>Italy</t>
  </si>
  <si>
    <t>IT</t>
  </si>
  <si>
    <t xml:space="preserve">Lithuania </t>
  </si>
  <si>
    <t>LT</t>
  </si>
  <si>
    <t>Luxembourg</t>
  </si>
  <si>
    <t>LU</t>
  </si>
  <si>
    <t>Latvia</t>
  </si>
  <si>
    <t>LV</t>
  </si>
  <si>
    <t>Malta</t>
  </si>
  <si>
    <t>MT</t>
  </si>
  <si>
    <t>Netherlands</t>
  </si>
  <si>
    <t>NL</t>
  </si>
  <si>
    <t>Norway</t>
  </si>
  <si>
    <t>NO</t>
  </si>
  <si>
    <t>Poland</t>
  </si>
  <si>
    <t>PL</t>
  </si>
  <si>
    <t>Portugal</t>
  </si>
  <si>
    <t>PT</t>
  </si>
  <si>
    <t>Romania</t>
  </si>
  <si>
    <t>RO</t>
  </si>
  <si>
    <t>Sweden</t>
  </si>
  <si>
    <t>SE</t>
  </si>
  <si>
    <t>Slovenia</t>
  </si>
  <si>
    <t>SI</t>
  </si>
  <si>
    <t>Slovakia</t>
  </si>
  <si>
    <t>SK</t>
  </si>
  <si>
    <t>United Kingdom</t>
  </si>
  <si>
    <t>UK</t>
  </si>
  <si>
    <t>EU-12</t>
  </si>
  <si>
    <t>EU-15</t>
  </si>
  <si>
    <t>GCAM_region_name</t>
  </si>
  <si>
    <t>LOAD FACTOR COMPUTATION</t>
  </si>
  <si>
    <t>1. Data to be applied</t>
  </si>
  <si>
    <t>2. Average values by GCAM region</t>
  </si>
  <si>
    <t>3. Load factor change by period</t>
  </si>
  <si>
    <t>year</t>
  </si>
  <si>
    <t>4. Reshape</t>
  </si>
  <si>
    <t>region</t>
  </si>
  <si>
    <t>changeRate</t>
  </si>
  <si>
    <t>AUSTRIA</t>
  </si>
  <si>
    <t>BELGIUM</t>
  </si>
  <si>
    <t>BULGARIA</t>
  </si>
  <si>
    <t>CROATIA</t>
  </si>
  <si>
    <t>CYPRUS</t>
  </si>
  <si>
    <t>CZECH_REPUBLIC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</si>
  <si>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</si>
  <si>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</si>
  <si>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</si>
  <si>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</si>
  <si>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</si>
  <si>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</si>
  <si>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</si>
  <si>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</si>
  <si>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</si>
  <si>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</si>
  <si>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</si>
  <si>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</si>
  <si>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</si>
  <si>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</si>
  <si>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</si>
  <si>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</si>
  <si>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</si>
  <si>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</si>
  <si>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</si>
  <si>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</si>
  <si>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</si>
  <si>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ctry</t>
  </si>
  <si>
    <t>unit</t>
  </si>
  <si>
    <t>scenario</t>
  </si>
  <si>
    <t>Units</t>
  </si>
  <si>
    <t>bnm2</t>
  </si>
  <si>
    <t>Austria</t>
  </si>
  <si>
    <t>Lithuania</t>
  </si>
  <si>
    <t>Unit</t>
  </si>
  <si>
    <t>bn m2</t>
  </si>
  <si>
    <t>sector</t>
  </si>
  <si>
    <t>trn_aviation_intl</t>
  </si>
  <si>
    <t>trn_freight</t>
  </si>
  <si>
    <t>trn_pass</t>
  </si>
  <si>
    <t>trn_shipping_intl</t>
  </si>
  <si>
    <t>mode</t>
  </si>
  <si>
    <t>International Aviation</t>
  </si>
  <si>
    <t>Domestic Ship</t>
  </si>
  <si>
    <t>Freight Rail</t>
  </si>
  <si>
    <t>trn_freight_road</t>
  </si>
  <si>
    <t>Heavy truck</t>
  </si>
  <si>
    <t>Light truck</t>
  </si>
  <si>
    <t>Medium truck</t>
  </si>
  <si>
    <t>Domestic Aviation</t>
  </si>
  <si>
    <t>HSR</t>
  </si>
  <si>
    <t>Passenger Rail</t>
  </si>
  <si>
    <t>trn_pass_road</t>
  </si>
  <si>
    <t>Bus</t>
  </si>
  <si>
    <t>trn_pass_road_LDV</t>
  </si>
  <si>
    <t>2W and 3W</t>
  </si>
  <si>
    <t>trn_pass_road_LDV_4W</t>
  </si>
  <si>
    <t>Car</t>
  </si>
  <si>
    <t>Large Car and Truck</t>
  </si>
  <si>
    <t>International Ship</t>
  </si>
  <si>
    <t>income.elasticity</t>
  </si>
  <si>
    <t>unitless</t>
  </si>
  <si>
    <t>MODES COMPUTATION</t>
  </si>
  <si>
    <t>1. Data from GCAM (LoadFactor Hscen)</t>
  </si>
  <si>
    <t>2. Data to be applied</t>
  </si>
  <si>
    <t>NMT</t>
  </si>
  <si>
    <t>trains</t>
  </si>
  <si>
    <t>road (bus + LDV)</t>
  </si>
  <si>
    <t>domestic aviation</t>
  </si>
  <si>
    <t>international aviation</t>
  </si>
  <si>
    <t>GCAM_region_ID</t>
  </si>
  <si>
    <t>Perc</t>
  </si>
  <si>
    <t>3. Average data by GCAM_region</t>
  </si>
  <si>
    <t>4. Rescale modes (not considering international aviation)</t>
  </si>
  <si>
    <t>value-rescaled</t>
  </si>
  <si>
    <t>perc</t>
  </si>
  <si>
    <t>GCAM data</t>
  </si>
  <si>
    <t>GOAL data</t>
  </si>
  <si>
    <t>transport subsector share-weights</t>
  </si>
  <si>
    <t>subsector</t>
  </si>
  <si>
    <t>none</t>
  </si>
  <si>
    <t>road</t>
  </si>
  <si>
    <t>Cycle</t>
  </si>
  <si>
    <t>Walk</t>
  </si>
  <si>
    <t>LDV</t>
  </si>
  <si>
    <t>4W</t>
  </si>
  <si>
    <t>Service Output</t>
  </si>
  <si>
    <t>Income Elasticity</t>
  </si>
  <si>
    <t>Share Weights</t>
  </si>
  <si>
    <t>NMT - Cycling</t>
  </si>
  <si>
    <t>NMT - Walking</t>
  </si>
  <si>
    <t>Dom Av</t>
  </si>
  <si>
    <t>transport service output by mode</t>
  </si>
  <si>
    <t>million pass-km</t>
  </si>
  <si>
    <t>million ton-km</t>
  </si>
  <si>
    <t>road - 4W</t>
  </si>
  <si>
    <t>road - 2-3W</t>
  </si>
  <si>
    <t>road - bus</t>
  </si>
  <si>
    <t>trains - HSR</t>
  </si>
  <si>
    <t>trains - Pass Rail</t>
  </si>
  <si>
    <t>av - Dom Av</t>
  </si>
  <si>
    <t>NMT - total</t>
  </si>
  <si>
    <t>road - total</t>
  </si>
  <si>
    <t>trains - total</t>
  </si>
  <si>
    <t>av - total</t>
  </si>
  <si>
    <t>TOTAL</t>
  </si>
  <si>
    <t>Factor computation</t>
  </si>
  <si>
    <t>Target diff</t>
  </si>
  <si>
    <t>check</t>
  </si>
  <si>
    <t>Int Av</t>
  </si>
  <si>
    <t>Total</t>
  </si>
  <si>
    <t>total</t>
  </si>
  <si>
    <t>int av</t>
  </si>
  <si>
    <t>pass km/year</t>
  </si>
  <si>
    <t>porcentual change with respect 2015</t>
  </si>
  <si>
    <t>GDP - million 1990$</t>
  </si>
  <si>
    <t>Target diff accounting for GDP</t>
  </si>
  <si>
    <t>tranSubsector</t>
  </si>
  <si>
    <t>energy.final.demand</t>
  </si>
  <si>
    <t>6. COMPUTATION: Trn modes - share weights</t>
  </si>
  <si>
    <t>5. COMPUTATION: Int Av income elasticity</t>
  </si>
  <si>
    <t>Pass - noAv - noNMT</t>
  </si>
  <si>
    <t>1. Data from GCAM (LoadFactor + ModalShares Hscen)</t>
  </si>
  <si>
    <t>2. COMPUTATION Pass km - income elasticity</t>
  </si>
  <si>
    <t>PASS KM COMPUTATION</t>
  </si>
  <si>
    <t>Total pass</t>
  </si>
  <si>
    <t>TOTAL pass</t>
  </si>
  <si>
    <t>CHECK</t>
  </si>
  <si>
    <t>Calib_TRN_Modes_ONLYIntAv,date=2025-24-4T15:48:40+02:00</t>
  </si>
  <si>
    <t>building floorspace</t>
  </si>
  <si>
    <t>nodeInput</t>
  </si>
  <si>
    <t>building-node-input</t>
  </si>
  <si>
    <t>building</t>
  </si>
  <si>
    <t>comm</t>
  </si>
  <si>
    <t>comm_building</t>
  </si>
  <si>
    <t>billion m^2</t>
  </si>
  <si>
    <t>resid</t>
  </si>
  <si>
    <t>resid_building</t>
  </si>
  <si>
    <t>1. Data from GCAM</t>
  </si>
  <si>
    <t>FLOORSPACE COMPUTATION</t>
  </si>
  <si>
    <t>m2/ctry</t>
  </si>
  <si>
    <t>m2/person</t>
  </si>
  <si>
    <t>bnm2/ctry</t>
  </si>
  <si>
    <t>thous person</t>
  </si>
  <si>
    <t>4. COMPUTATION: New floorspace values</t>
  </si>
  <si>
    <t>2. GOAL DATA</t>
  </si>
  <si>
    <t>Calib_TRN_Modes_IntAvANDsw,date=2025-25-4T09:02:15+02:00</t>
  </si>
  <si>
    <t>3. COMPUTATION: Total values by GCAM region - Data to be applied</t>
  </si>
  <si>
    <t>Floorspace bnm2/ctry</t>
  </si>
  <si>
    <t>New Floorspace computation</t>
  </si>
  <si>
    <t>Domestic hot water</t>
  </si>
  <si>
    <t>Specific electricity</t>
  </si>
  <si>
    <t>Domestic cooking</t>
  </si>
  <si>
    <t>7. COMPUTATION Pass km - income elasticity</t>
  </si>
  <si>
    <t>DomAv</t>
  </si>
  <si>
    <t>IntAv</t>
  </si>
  <si>
    <t>pass million km/year</t>
  </si>
  <si>
    <t>ENERGY CONSUMPTION COMPUTATION</t>
  </si>
  <si>
    <t>satiation level</t>
  </si>
  <si>
    <t>2. Goal data</t>
  </si>
  <si>
    <t>"resid other" percentages</t>
  </si>
  <si>
    <t>supplysector</t>
  </si>
  <si>
    <t>resid cooking</t>
  </si>
  <si>
    <t>resid hot water</t>
  </si>
  <si>
    <t>resid other appliance</t>
  </si>
  <si>
    <t>resid others</t>
  </si>
  <si>
    <t>Cooling</t>
  </si>
  <si>
    <t>Space heating</t>
  </si>
  <si>
    <t>EJ</t>
  </si>
  <si>
    <t>percent</t>
  </si>
  <si>
    <t>3. COMPUTATION - new satiation level</t>
  </si>
  <si>
    <t>resid heating</t>
  </si>
  <si>
    <t>resid cooling</t>
  </si>
  <si>
    <t>resid others - cooking</t>
  </si>
  <si>
    <t>resid others - hot water</t>
  </si>
  <si>
    <t>resid others - other appliance</t>
  </si>
  <si>
    <t>resid others - other</t>
  </si>
  <si>
    <t>building total final energy by service</t>
  </si>
  <si>
    <t>comm cooling</t>
  </si>
  <si>
    <t>comm heating</t>
  </si>
  <si>
    <t>comm others</t>
  </si>
  <si>
    <t>GCAM - FE</t>
  </si>
  <si>
    <t>baixar-li el percentatge q volem disminuir</t>
  </si>
  <si>
    <t>NOTE: keep ct since the base floorspace is lower than the "expected" one</t>
  </si>
  <si>
    <t>NoPol_wOilCropTax,date=2025-25-4T13:50:48+02:00</t>
  </si>
  <si>
    <t>Albania</t>
  </si>
  <si>
    <t>comm cooling EUR</t>
  </si>
  <si>
    <t>comm heating EUR</t>
  </si>
  <si>
    <t>comm others EUR</t>
  </si>
  <si>
    <t>resid cooking modern EUR_d1</t>
  </si>
  <si>
    <t>resid cooking modern EUR_d10</t>
  </si>
  <si>
    <t>resid cooking modern EUR_d2</t>
  </si>
  <si>
    <t>resid cooking modern EUR_d3</t>
  </si>
  <si>
    <t>resid cooking modern EUR_d4</t>
  </si>
  <si>
    <t>resid cooking modern EUR_d5</t>
  </si>
  <si>
    <t>resid cooking modern EUR_d6</t>
  </si>
  <si>
    <t>resid cooking modern EUR_d7</t>
  </si>
  <si>
    <t>resid cooking modern EUR_d8</t>
  </si>
  <si>
    <t>resid cooking modern EUR_d9</t>
  </si>
  <si>
    <t>resid cooling modern EUR_d1</t>
  </si>
  <si>
    <t>resid cooling modern EUR_d10</t>
  </si>
  <si>
    <t>resid cooling modern EUR_d2</t>
  </si>
  <si>
    <t>resid cooling modern EUR_d3</t>
  </si>
  <si>
    <t>resid cooling modern EUR_d4</t>
  </si>
  <si>
    <t>resid cooling modern EUR_d5</t>
  </si>
  <si>
    <t>resid cooling modern EUR_d6</t>
  </si>
  <si>
    <t>resid cooling modern EUR_d7</t>
  </si>
  <si>
    <t>resid cooling modern EUR_d8</t>
  </si>
  <si>
    <t>resid cooling modern EUR_d9</t>
  </si>
  <si>
    <t>resid heating modern EUR_d1</t>
  </si>
  <si>
    <t>resid heating modern EUR_d10</t>
  </si>
  <si>
    <t>resid heating modern EUR_d2</t>
  </si>
  <si>
    <t>resid heating modern EUR_d3</t>
  </si>
  <si>
    <t>resid heating modern EUR_d4</t>
  </si>
  <si>
    <t>resid heating modern EUR_d5</t>
  </si>
  <si>
    <t>resid heating modern EUR_d6</t>
  </si>
  <si>
    <t>resid heating modern EUR_d7</t>
  </si>
  <si>
    <t>resid heating modern EUR_d8</t>
  </si>
  <si>
    <t>resid heating modern EUR_d9</t>
  </si>
  <si>
    <t>resid hot water modern EUR_d1</t>
  </si>
  <si>
    <t>resid hot water modern EUR_d10</t>
  </si>
  <si>
    <t>resid hot water modern EUR_d2</t>
  </si>
  <si>
    <t>resid hot water modern EUR_d3</t>
  </si>
  <si>
    <t>resid hot water modern EUR_d4</t>
  </si>
  <si>
    <t>resid hot water modern EUR_d5</t>
  </si>
  <si>
    <t>resid hot water modern EUR_d6</t>
  </si>
  <si>
    <t>resid hot water modern EUR_d7</t>
  </si>
  <si>
    <t>resid hot water modern EUR_d8</t>
  </si>
  <si>
    <t>resid hot water modern EUR_d9</t>
  </si>
  <si>
    <t>resid other appliance modern EUR_d1</t>
  </si>
  <si>
    <t>resid other appliance modern EUR_d10</t>
  </si>
  <si>
    <t>resid other appliance modern EUR_d2</t>
  </si>
  <si>
    <t>resid other appliance modern EUR_d3</t>
  </si>
  <si>
    <t>resid other appliance modern EUR_d4</t>
  </si>
  <si>
    <t>resid other appliance modern EUR_d5</t>
  </si>
  <si>
    <t>resid other appliance modern EUR_d6</t>
  </si>
  <si>
    <t>resid other appliance modern EUR_d7</t>
  </si>
  <si>
    <t>resid other appliance modern EUR_d8</t>
  </si>
  <si>
    <t>resid other appliance modern EUR_d9</t>
  </si>
  <si>
    <t>resid others modern EUR_d1</t>
  </si>
  <si>
    <t>resid others modern EUR_d10</t>
  </si>
  <si>
    <t>resid others modern EUR_d2</t>
  </si>
  <si>
    <t>resid others modern EUR_d3</t>
  </si>
  <si>
    <t>resid others modern EUR_d4</t>
  </si>
  <si>
    <t>resid others modern EUR_d5</t>
  </si>
  <si>
    <t>resid others modern EUR_d6</t>
  </si>
  <si>
    <t>resid others modern EUR_d7</t>
  </si>
  <si>
    <t>resid others modern EUR_d8</t>
  </si>
  <si>
    <t>resid others modern EUR_d9</t>
  </si>
  <si>
    <t>resid cooking coal EUR_d1</t>
  </si>
  <si>
    <t>resid cooking coal EUR_d10</t>
  </si>
  <si>
    <t>resid cooking coal EUR_d2</t>
  </si>
  <si>
    <t>resid cooking coal EUR_d3</t>
  </si>
  <si>
    <t>resid cooking coal EUR_d4</t>
  </si>
  <si>
    <t>resid cooking coal EUR_d5</t>
  </si>
  <si>
    <t>resid cooking coal EUR_d6</t>
  </si>
  <si>
    <t>resid cooking coal EUR_d7</t>
  </si>
  <si>
    <t>resid cooking coal EUR_d8</t>
  </si>
  <si>
    <t>resid cooking coal EUR_d9</t>
  </si>
  <si>
    <t>resid heating coal EUR_d1</t>
  </si>
  <si>
    <t>resid heating coal EUR_d10</t>
  </si>
  <si>
    <t>resid heating coal EUR_d2</t>
  </si>
  <si>
    <t>resid heating coal EUR_d3</t>
  </si>
  <si>
    <t>resid heating coal EUR_d4</t>
  </si>
  <si>
    <t>resid heating coal EUR_d5</t>
  </si>
  <si>
    <t>resid heating coal EUR_d6</t>
  </si>
  <si>
    <t>resid heating coal EUR_d7</t>
  </si>
  <si>
    <t>resid heating coal EUR_d8</t>
  </si>
  <si>
    <t>resid heating coal EUR_d9</t>
  </si>
  <si>
    <t>resid hot water coal EUR_d1</t>
  </si>
  <si>
    <t>resid hot water coal EUR_d10</t>
  </si>
  <si>
    <t>resid hot water coal EUR_d2</t>
  </si>
  <si>
    <t>resid hot water coal EUR_d3</t>
  </si>
  <si>
    <t>resid hot water coal EUR_d4</t>
  </si>
  <si>
    <t>resid hot water coal EUR_d5</t>
  </si>
  <si>
    <t>resid hot water coal EUR_d6</t>
  </si>
  <si>
    <t>resid hot water coal EUR_d7</t>
  </si>
  <si>
    <t>resid hot water coal EUR_d8</t>
  </si>
  <si>
    <t>resid hot water coal EUR_d9</t>
  </si>
  <si>
    <t>Belarus</t>
  </si>
  <si>
    <t>resid cooling modern_d1</t>
  </si>
  <si>
    <t>resid cooling modern_d10</t>
  </si>
  <si>
    <t>resid cooling modern_d2</t>
  </si>
  <si>
    <t>resid cooling modern_d3</t>
  </si>
  <si>
    <t>resid cooling modern_d4</t>
  </si>
  <si>
    <t>resid cooling modern_d5</t>
  </si>
  <si>
    <t>resid cooling modern_d6</t>
  </si>
  <si>
    <t>resid cooling modern_d7</t>
  </si>
  <si>
    <t>resid cooling modern_d8</t>
  </si>
  <si>
    <t>resid cooling modern_d9</t>
  </si>
  <si>
    <t>resid heating TradBio_d1</t>
  </si>
  <si>
    <t>resid heating TradBio_d10</t>
  </si>
  <si>
    <t>resid heating TradBio_d2</t>
  </si>
  <si>
    <t>resid heating TradBio_d3</t>
  </si>
  <si>
    <t>resid heating TradBio_d4</t>
  </si>
  <si>
    <t>resid heating TradBio_d5</t>
  </si>
  <si>
    <t>resid heating TradBio_d6</t>
  </si>
  <si>
    <t>resid heating TradBio_d7</t>
  </si>
  <si>
    <t>resid heating TradBio_d8</t>
  </si>
  <si>
    <t>resid heating TradBio_d9</t>
  </si>
  <si>
    <t>resid heating modern_d1</t>
  </si>
  <si>
    <t>resid heating modern_d10</t>
  </si>
  <si>
    <t>resid heating modern_d2</t>
  </si>
  <si>
    <t>resid heating modern_d3</t>
  </si>
  <si>
    <t>resid heating modern_d4</t>
  </si>
  <si>
    <t>resid heating modern_d5</t>
  </si>
  <si>
    <t>resid heating modern_d6</t>
  </si>
  <si>
    <t>resid heating modern_d7</t>
  </si>
  <si>
    <t>resid heating modern_d8</t>
  </si>
  <si>
    <t>resid heating modern_d9</t>
  </si>
  <si>
    <t>resid others TradBio_d1</t>
  </si>
  <si>
    <t>resid others TradBio_d10</t>
  </si>
  <si>
    <t>resid others TradBio_d2</t>
  </si>
  <si>
    <t>resid others TradBio_d3</t>
  </si>
  <si>
    <t>resid others TradBio_d4</t>
  </si>
  <si>
    <t>resid others TradBio_d5</t>
  </si>
  <si>
    <t>resid others TradBio_d6</t>
  </si>
  <si>
    <t>resid others TradBio_d7</t>
  </si>
  <si>
    <t>resid others TradBio_d8</t>
  </si>
  <si>
    <t>resid others TradBio_d9</t>
  </si>
  <si>
    <t>resid others coal_d1</t>
  </si>
  <si>
    <t>resid others coal_d10</t>
  </si>
  <si>
    <t>resid others coal_d2</t>
  </si>
  <si>
    <t>resid others coal_d3</t>
  </si>
  <si>
    <t>resid others coal_d4</t>
  </si>
  <si>
    <t>resid others coal_d5</t>
  </si>
  <si>
    <t>resid others coal_d6</t>
  </si>
  <si>
    <t>resid others coal_d7</t>
  </si>
  <si>
    <t>resid others coal_d8</t>
  </si>
  <si>
    <t>resid others coal_d9</t>
  </si>
  <si>
    <t>resid others modern_d1</t>
  </si>
  <si>
    <t>resid others modern_d10</t>
  </si>
  <si>
    <t>resid others modern_d2</t>
  </si>
  <si>
    <t>resid others modern_d3</t>
  </si>
  <si>
    <t>resid others modern_d4</t>
  </si>
  <si>
    <t>resid others modern_d5</t>
  </si>
  <si>
    <t>resid others modern_d6</t>
  </si>
  <si>
    <t>resid others modern_d7</t>
  </si>
  <si>
    <t>resid others modern_d8</t>
  </si>
  <si>
    <t>resid others modern_d9</t>
  </si>
  <si>
    <t>Bosnia and Herzegovina</t>
  </si>
  <si>
    <t>resid others coal EUR_d1</t>
  </si>
  <si>
    <t>resid others coal EUR_d10</t>
  </si>
  <si>
    <t>resid others coal EUR_d2</t>
  </si>
  <si>
    <t>resid others coal EUR_d3</t>
  </si>
  <si>
    <t>resid others coal EUR_d4</t>
  </si>
  <si>
    <t>resid others coal EUR_d5</t>
  </si>
  <si>
    <t>resid others coal EUR_d6</t>
  </si>
  <si>
    <t>resid others coal EUR_d7</t>
  </si>
  <si>
    <t>resid others coal EUR_d8</t>
  </si>
  <si>
    <t>resid others coal EUR_d9</t>
  </si>
  <si>
    <t>Iceland</t>
  </si>
  <si>
    <t>Macedonia</t>
  </si>
  <si>
    <t>Moldova</t>
  </si>
  <si>
    <t>Serbia and Montenegro</t>
  </si>
  <si>
    <t>Turkey</t>
  </si>
  <si>
    <t>Ukraine</t>
  </si>
  <si>
    <t>new satiation level</t>
  </si>
  <si>
    <t>.-&gt; considering the percentage</t>
  </si>
  <si>
    <t>RESID OTHER TOTAL</t>
  </si>
  <si>
    <t>old</t>
  </si>
  <si>
    <t>new</t>
  </si>
  <si>
    <t>adjusted (no neg)</t>
  </si>
  <si>
    <t>REF</t>
  </si>
  <si>
    <t>NOTE: changeRate for H scenario; halft of the changeRate for low scen</t>
  </si>
  <si>
    <t>Calib_TRN_LoadFactor_L,date=2025-29-4T09:25:57+02:00</t>
  </si>
  <si>
    <t>HALF porcentual change with respect 2015</t>
  </si>
  <si>
    <t>Calib_TRN_IntAv_L,date=2025-29-4T10:22:36+02:00</t>
  </si>
  <si>
    <t>NOTE: HALF porcentual change</t>
  </si>
  <si>
    <t>NOTE: HALF percentage</t>
  </si>
  <si>
    <t>Calib_TRN_SW_PassKm_L4,date=2025-29-4T16:10:05+02:00</t>
  </si>
  <si>
    <t>GOAL data - HALF change</t>
  </si>
  <si>
    <t>NOTE: same porcentual change than resid others</t>
  </si>
  <si>
    <t>NOTE: we do not modify cooling</t>
  </si>
  <si>
    <t>Values that worked</t>
  </si>
  <si>
    <t>Calib_BLD_EnConsumptionH</t>
  </si>
  <si>
    <t>Calib_BLD_EnConsumptionH2</t>
  </si>
  <si>
    <t>REFURBISH RATE COMPUTATION - SHELL CONDUCTANCE - TO BE WRITTEN IN A_building_shell_size.csv</t>
  </si>
  <si>
    <t>Author: Dirk</t>
  </si>
  <si>
    <t>eu-12</t>
  </si>
  <si>
    <t>renov rate 0.5</t>
  </si>
  <si>
    <t>eu-15</t>
  </si>
  <si>
    <t>renov rate 1</t>
  </si>
  <si>
    <t>on top of ref</t>
  </si>
  <si>
    <t>low</t>
  </si>
  <si>
    <t>high</t>
  </si>
  <si>
    <t>on top of ndc_ltt</t>
  </si>
  <si>
    <t>L244.HDDCDD_constdd_no_GCM</t>
  </si>
  <si>
    <t>gcam.consumer</t>
  </si>
  <si>
    <t>building.node.input</t>
  </si>
  <si>
    <t>thermal.building.service.input</t>
  </si>
  <si>
    <t>degree.days</t>
  </si>
  <si>
    <t>2. Conversion factors</t>
  </si>
  <si>
    <t>From Van de Ven 2018</t>
  </si>
  <si>
    <t>HDD</t>
  </si>
  <si>
    <t>1 degree reduction</t>
  </si>
  <si>
    <t>2 degree reduction</t>
  </si>
  <si>
    <t>3. New HDD values</t>
  </si>
  <si>
    <t>degree.days-L</t>
  </si>
  <si>
    <t>degree.days-H</t>
  </si>
  <si>
    <t>PassKm_L5</t>
  </si>
  <si>
    <t>PassKm_L6</t>
  </si>
  <si>
    <t>Calib_BLD_FloorSpace_L,date=2025-30-4T09:12:48+02:00</t>
  </si>
  <si>
    <t>GOAL data - HALF percentage</t>
  </si>
  <si>
    <t>Calib_TRN_SW_PassKm_L6,date=2025-30-4T11:05:45+02:00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</si>
</sst>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Border="1"/>
    <xf numFmtId="0" fontId="0" fillId="0" borderId="0" xfId="0" applyFont="1" applyBorder="1"/>
    <xf numFmtId="0" fontId="1" fillId="2" borderId="0" xfId="0" applyFont="1" applyFill="1" applyBorder="1"/>
    <xf numFmtId="0" fontId="2" fillId="0" borderId="0" xfId="0" applyFont="1" applyBorder="1"/>
    <xf numFmtId="0" fontId="0" fillId="3" borderId="0" xfId="0" applyFont="1" applyFill="1" applyBorder="1"/>
    <xf numFmtId="0" fontId="0" fillId="0" borderId="0" xfId="0" applyFont="1" applyFill="1" applyBorder="1"/>
    <xf numFmtId="0" fontId="5" fillId="0" borderId="0" xfId="0" applyFont="1"/>
    <xf numFmtId="11" fontId="0" fillId="0" borderId="0" xfId="0" applyNumberFormat="1"/>
    <xf numFmtId="0" fontId="0" fillId="0" borderId="0" xfId="0" applyFill="1"/>
    <xf numFmtId="0" fontId="0" fillId="4" borderId="0" xfId="0" applyFill="1"/>
    <xf numFmtId="0" fontId="4" fillId="0" borderId="0" xfId="0" applyFont="1"/>
    <xf numFmtId="0" fontId="8" fillId="0" borderId="0" xfId="0" applyFont="1"/>
    <xf numFmtId="0" fontId="0" fillId="0" borderId="0" xfId="0" applyNumberFormat="1"/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7" fillId="0" borderId="0" xfId="0" applyNumberFormat="1" applyFont="1" applyBorder="1"/>
    <xf numFmtId="0" fontId="1" fillId="0" borderId="0" xfId="0" applyNumberFormat="1" applyFont="1" applyBorder="1"/>
    <xf numFmtId="11" fontId="1" fillId="0" borderId="0" xfId="0" applyNumberFormat="1" applyFont="1" applyBorder="1"/>
    <xf numFmtId="11" fontId="0" fillId="0" borderId="0" xfId="0" applyNumberFormat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0" xfId="0" applyFont="1" applyFill="1"/>
    <xf numFmtId="0" fontId="4" fillId="0" borderId="0" xfId="0" applyFont="1" applyFill="1" applyBorder="1"/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4" borderId="0" xfId="0" applyFill="1" applyBorder="1"/>
    <xf numFmtId="0" fontId="1" fillId="4" borderId="0" xfId="0" applyFont="1" applyFill="1" applyBorder="1" applyAlignment="1">
      <alignment horizontal="left" vertical="top"/>
    </xf>
    <xf numFmtId="0" fontId="7" fillId="4" borderId="0" xfId="0" applyNumberFormat="1" applyFont="1" applyFill="1" applyBorder="1"/>
    <xf numFmtId="11" fontId="1" fillId="4" borderId="0" xfId="0" applyNumberFormat="1" applyFont="1" applyFill="1" applyBorder="1"/>
    <xf numFmtId="0" fontId="1" fillId="4" borderId="0" xfId="0" applyNumberFormat="1" applyFont="1" applyFill="1" applyBorder="1"/>
    <xf numFmtId="0" fontId="0" fillId="4" borderId="0" xfId="0" applyFill="1" applyBorder="1" applyAlignment="1">
      <alignment horizontal="left"/>
    </xf>
    <xf numFmtId="11" fontId="0" fillId="4" borderId="0" xfId="0" applyNumberFormat="1" applyFill="1" applyBorder="1"/>
    <xf numFmtId="0" fontId="0" fillId="0" borderId="0" xfId="0" applyNumberFormat="1" applyBorder="1"/>
    <xf numFmtId="0" fontId="0" fillId="4" borderId="0" xfId="0" applyNumberFormat="1" applyFill="1" applyBorder="1"/>
    <xf numFmtId="0" fontId="0" fillId="5" borderId="0" xfId="0" applyNumberFormat="1" applyFill="1"/>
    <xf numFmtId="0" fontId="9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/>
    </xf>
    <xf numFmtId="0" fontId="7" fillId="0" borderId="0" xfId="0" applyNumberFormat="1" applyFont="1" applyFill="1" applyBorder="1"/>
    <xf numFmtId="0" fontId="1" fillId="0" borderId="0" xfId="0" applyNumberFormat="1" applyFont="1" applyFill="1" applyBorder="1"/>
    <xf numFmtId="0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 wrapText="1"/>
    </xf>
    <xf numFmtId="0" fontId="0" fillId="6" borderId="0" xfId="0" applyFill="1"/>
    <xf numFmtId="0" fontId="0" fillId="6" borderId="0" xfId="0" applyNumberFormat="1" applyFill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/>
    <xf numFmtId="0" fontId="4" fillId="0" borderId="0" xfId="0" applyFont="1" applyFill="1"/>
    <xf numFmtId="0" fontId="0" fillId="0" borderId="0" xfId="0" applyFont="1" applyFill="1"/>
    <xf numFmtId="0" fontId="8" fillId="0" borderId="0" xfId="0" applyFont="1" applyFill="1"/>
    <xf numFmtId="0" fontId="0" fillId="5" borderId="0" xfId="0" applyFill="1"/>
    <xf numFmtId="0" fontId="0" fillId="7" borderId="0" xfId="0" applyFill="1"/>
    <xf numFmtId="0" fontId="4" fillId="0" borderId="0" xfId="0" applyFont="1" applyAlignment="1">
      <alignment horizontal="center" vertical="center" wrapText="1"/>
    </xf>
    <xf numFmtId="0" fontId="0" fillId="0" borderId="0" xfId="0" applyNumberFormat="1" applyFill="1"/>
    <xf numFmtId="0" fontId="0" fillId="3" borderId="0" xfId="0" applyFill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8" borderId="0" xfId="0" applyFill="1"/>
    <xf numFmtId="0" fontId="4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14_data_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N-LoadFactor-computation"/>
      <sheetName val="TRN-LoadFactor-values"/>
      <sheetName val="TRN-Modes-computation-IntAv"/>
      <sheetName val="TRN-Modes-values-IntAv"/>
      <sheetName val="TRN-Modes-computation-SW"/>
      <sheetName val="TRN-Modes-values-SW"/>
      <sheetName val="TRN-PassKM-computation"/>
      <sheetName val="TRN-PassKM-values"/>
      <sheetName val="TRN-CHECK"/>
      <sheetName val="BLD-FloorSpace-computation"/>
      <sheetName val="BLD-FloorSpace-values"/>
      <sheetName val="BLD-EnConsumption-computation"/>
      <sheetName val="BLD-EnConsumption-values"/>
      <sheetName val="BLD-RefurbishRate-computation"/>
      <sheetName val="BLD-HDD-computation"/>
      <sheetName val="BLD-HDD-values"/>
      <sheetName val="BLD-GCAMEU-F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6">
          <cell r="J56" t="str">
            <v>resid heating</v>
          </cell>
          <cell r="M56">
            <v>0.29591469999999997</v>
          </cell>
        </row>
        <row r="57">
          <cell r="J57" t="str">
            <v>resid cooling</v>
          </cell>
          <cell r="M57">
            <v>3.9446500000000002E-2</v>
          </cell>
        </row>
        <row r="58">
          <cell r="J58" t="str">
            <v>resid others</v>
          </cell>
          <cell r="M58">
            <v>0.24159</v>
          </cell>
        </row>
        <row r="60">
          <cell r="J60" t="str">
            <v>resid heating</v>
          </cell>
          <cell r="M60">
            <v>0.28172459999999999</v>
          </cell>
        </row>
        <row r="61">
          <cell r="J61" t="str">
            <v>resid cooling</v>
          </cell>
          <cell r="M61">
            <v>7.3928599999999997E-2</v>
          </cell>
        </row>
        <row r="62">
          <cell r="J62" t="str">
            <v>resid others</v>
          </cell>
          <cell r="M62">
            <v>0.24159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BE72-D6A5-4D29-8DD5-3FC51DDDEB04}">
  <dimension ref="A1:L67"/>
  <sheetViews>
    <sheetView topLeftCell="A33" workbookViewId="0">
      <selection activeCell="H59" sqref="H59"/>
    </sheetView>
  </sheetViews>
  <sheetFormatPr defaultRowHeight="14.4" x14ac:dyDescent="0.3"/>
  <cols>
    <col min="1" max="1" width="14" style="2" bestFit="1" customWidth="1"/>
    <col min="2" max="2" width="18" style="2" bestFit="1" customWidth="1"/>
    <col min="3" max="16384" width="8.88671875" style="2"/>
  </cols>
  <sheetData>
    <row r="1" spans="1:12" x14ac:dyDescent="0.3">
      <c r="A1" s="2" t="s">
        <v>67</v>
      </c>
    </row>
    <row r="3" spans="1:12" s="5" customFormat="1" x14ac:dyDescent="0.3">
      <c r="A3" s="5" t="s">
        <v>68</v>
      </c>
    </row>
    <row r="4" spans="1:12" x14ac:dyDescent="0.3">
      <c r="A4" s="1" t="s">
        <v>0</v>
      </c>
      <c r="B4" s="1" t="s">
        <v>66</v>
      </c>
      <c r="C4" s="1" t="s">
        <v>1</v>
      </c>
      <c r="D4" s="1" t="s">
        <v>2</v>
      </c>
      <c r="E4" s="1">
        <v>2015</v>
      </c>
      <c r="F4" s="1">
        <v>2020</v>
      </c>
      <c r="G4" s="1">
        <v>2025</v>
      </c>
      <c r="H4" s="1">
        <v>2030</v>
      </c>
      <c r="I4" s="1">
        <v>2035</v>
      </c>
      <c r="J4" s="1">
        <v>2040</v>
      </c>
      <c r="K4" s="1">
        <v>2045</v>
      </c>
      <c r="L4" s="1">
        <v>2050</v>
      </c>
    </row>
    <row r="5" spans="1:12" x14ac:dyDescent="0.3">
      <c r="A5" s="1" t="s">
        <v>3</v>
      </c>
      <c r="B5" s="1" t="s">
        <v>65</v>
      </c>
      <c r="C5" s="3" t="s">
        <v>4</v>
      </c>
      <c r="D5" s="1" t="s">
        <v>5</v>
      </c>
      <c r="E5" s="1">
        <v>1.54</v>
      </c>
      <c r="F5" s="1">
        <v>1.58</v>
      </c>
      <c r="G5" s="1">
        <v>1.68</v>
      </c>
      <c r="H5" s="1">
        <v>1.77</v>
      </c>
      <c r="I5" s="1">
        <v>1.87</v>
      </c>
      <c r="J5" s="1">
        <v>1.91</v>
      </c>
      <c r="K5" s="1">
        <v>1.93</v>
      </c>
      <c r="L5" s="1">
        <v>1.95</v>
      </c>
    </row>
    <row r="6" spans="1:12" x14ac:dyDescent="0.3">
      <c r="A6" s="1" t="s">
        <v>6</v>
      </c>
      <c r="B6" s="1" t="s">
        <v>65</v>
      </c>
      <c r="C6" s="3" t="s">
        <v>7</v>
      </c>
      <c r="D6" s="1" t="s">
        <v>5</v>
      </c>
      <c r="E6" s="1">
        <v>1.1599999999999999</v>
      </c>
      <c r="F6" s="1">
        <v>1.25</v>
      </c>
      <c r="G6" s="1">
        <v>1.4</v>
      </c>
      <c r="H6" s="1">
        <v>1.72</v>
      </c>
      <c r="I6" s="1">
        <v>1.82</v>
      </c>
      <c r="J6" s="1">
        <v>1.9</v>
      </c>
      <c r="K6" s="1">
        <v>1.95</v>
      </c>
      <c r="L6" s="1">
        <v>2</v>
      </c>
    </row>
    <row r="7" spans="1:12" x14ac:dyDescent="0.3">
      <c r="A7" s="4" t="s">
        <v>8</v>
      </c>
      <c r="B7" s="4" t="s">
        <v>64</v>
      </c>
      <c r="C7" s="3" t="s">
        <v>9</v>
      </c>
      <c r="D7" s="1" t="s">
        <v>5</v>
      </c>
      <c r="E7" s="1">
        <v>1.54</v>
      </c>
      <c r="F7" s="1">
        <v>1.58</v>
      </c>
      <c r="G7" s="1">
        <v>1.68</v>
      </c>
      <c r="H7" s="1">
        <v>1.77</v>
      </c>
      <c r="I7" s="1">
        <v>1.87</v>
      </c>
      <c r="J7" s="1">
        <v>1.91</v>
      </c>
      <c r="K7" s="1">
        <v>1.93</v>
      </c>
      <c r="L7" s="1">
        <v>1.95</v>
      </c>
    </row>
    <row r="8" spans="1:12" x14ac:dyDescent="0.3">
      <c r="A8" s="1" t="s">
        <v>10</v>
      </c>
      <c r="B8" s="1"/>
      <c r="C8" s="1" t="s">
        <v>11</v>
      </c>
      <c r="D8" s="1" t="s">
        <v>5</v>
      </c>
      <c r="E8" s="1">
        <v>1.54</v>
      </c>
      <c r="F8" s="1">
        <v>1.58</v>
      </c>
      <c r="G8" s="1">
        <v>1.68</v>
      </c>
      <c r="H8" s="1">
        <v>1.77</v>
      </c>
      <c r="I8" s="1">
        <v>1.87</v>
      </c>
      <c r="J8" s="1">
        <v>1.91</v>
      </c>
      <c r="K8" s="1">
        <v>1.93</v>
      </c>
      <c r="L8" s="1">
        <v>1.95</v>
      </c>
    </row>
    <row r="9" spans="1:12" x14ac:dyDescent="0.3">
      <c r="A9" s="4" t="s">
        <v>12</v>
      </c>
      <c r="B9" s="4" t="s">
        <v>64</v>
      </c>
      <c r="C9" s="3" t="s">
        <v>13</v>
      </c>
      <c r="D9" s="1" t="s">
        <v>5</v>
      </c>
      <c r="E9" s="1">
        <v>1.54</v>
      </c>
      <c r="F9" s="1">
        <v>1.58</v>
      </c>
      <c r="G9" s="1">
        <v>1.68</v>
      </c>
      <c r="H9" s="1">
        <v>1.77</v>
      </c>
      <c r="I9" s="1">
        <v>1.87</v>
      </c>
      <c r="J9" s="1">
        <v>1.91</v>
      </c>
      <c r="K9" s="1">
        <v>1.93</v>
      </c>
      <c r="L9" s="1">
        <v>1.95</v>
      </c>
    </row>
    <row r="10" spans="1:12" x14ac:dyDescent="0.3">
      <c r="A10" s="4" t="s">
        <v>14</v>
      </c>
      <c r="B10" s="4" t="s">
        <v>64</v>
      </c>
      <c r="C10" s="3" t="s">
        <v>15</v>
      </c>
      <c r="D10" s="1" t="s">
        <v>5</v>
      </c>
      <c r="E10" s="1">
        <v>1.54</v>
      </c>
      <c r="F10" s="1">
        <v>1.58</v>
      </c>
      <c r="G10" s="1">
        <v>1.68</v>
      </c>
      <c r="H10" s="1">
        <v>1.77</v>
      </c>
      <c r="I10" s="1">
        <v>1.87</v>
      </c>
      <c r="J10" s="1">
        <v>1.91</v>
      </c>
      <c r="K10" s="1">
        <v>1.93</v>
      </c>
      <c r="L10" s="1">
        <v>1.95</v>
      </c>
    </row>
    <row r="11" spans="1:12" x14ac:dyDescent="0.3">
      <c r="A11" s="1" t="s">
        <v>16</v>
      </c>
      <c r="B11" s="1" t="s">
        <v>65</v>
      </c>
      <c r="C11" s="3" t="s">
        <v>17</v>
      </c>
      <c r="D11" s="1" t="s">
        <v>5</v>
      </c>
      <c r="E11" s="1">
        <v>1.5</v>
      </c>
      <c r="F11" s="1">
        <v>1.58</v>
      </c>
      <c r="G11" s="1">
        <v>1.69</v>
      </c>
      <c r="H11" s="1">
        <v>1.8</v>
      </c>
      <c r="I11" s="1">
        <v>1.88</v>
      </c>
      <c r="J11" s="1">
        <v>1.91</v>
      </c>
      <c r="K11" s="1">
        <v>1.93</v>
      </c>
      <c r="L11" s="1">
        <v>1.95</v>
      </c>
    </row>
    <row r="12" spans="1:12" x14ac:dyDescent="0.3">
      <c r="A12" s="1" t="s">
        <v>18</v>
      </c>
      <c r="B12" s="1" t="s">
        <v>65</v>
      </c>
      <c r="C12" s="3" t="s">
        <v>19</v>
      </c>
      <c r="D12" s="1" t="s">
        <v>5</v>
      </c>
      <c r="E12" s="1">
        <v>1.49</v>
      </c>
      <c r="F12" s="1">
        <v>1.5</v>
      </c>
      <c r="G12" s="1">
        <v>1.5</v>
      </c>
      <c r="H12" s="1">
        <v>1.5</v>
      </c>
      <c r="I12" s="1">
        <v>1.58</v>
      </c>
      <c r="J12" s="1">
        <v>1.65</v>
      </c>
      <c r="K12" s="1">
        <v>1.72</v>
      </c>
      <c r="L12" s="1">
        <v>1.8</v>
      </c>
    </row>
    <row r="13" spans="1:12" x14ac:dyDescent="0.3">
      <c r="A13" s="4" t="s">
        <v>20</v>
      </c>
      <c r="B13" s="4" t="s">
        <v>64</v>
      </c>
      <c r="C13" s="3" t="s">
        <v>21</v>
      </c>
      <c r="D13" s="1" t="s">
        <v>5</v>
      </c>
      <c r="E13" s="1">
        <v>1.54</v>
      </c>
      <c r="F13" s="1">
        <v>1.58</v>
      </c>
      <c r="G13" s="1">
        <v>1.68</v>
      </c>
      <c r="H13" s="1">
        <v>1.77</v>
      </c>
      <c r="I13" s="1">
        <v>1.87</v>
      </c>
      <c r="J13" s="1">
        <v>1.91</v>
      </c>
      <c r="K13" s="1">
        <v>1.93</v>
      </c>
      <c r="L13" s="1">
        <v>1.95</v>
      </c>
    </row>
    <row r="14" spans="1:12" x14ac:dyDescent="0.3">
      <c r="A14" s="1" t="s">
        <v>22</v>
      </c>
      <c r="B14" s="1" t="s">
        <v>65</v>
      </c>
      <c r="C14" s="3" t="s">
        <v>23</v>
      </c>
      <c r="D14" s="1" t="s">
        <v>5</v>
      </c>
      <c r="E14" s="1">
        <v>2.1</v>
      </c>
      <c r="F14" s="1">
        <v>2.1</v>
      </c>
      <c r="G14" s="1">
        <v>2.1</v>
      </c>
      <c r="H14" s="1">
        <v>2.1</v>
      </c>
      <c r="I14" s="1">
        <v>2.1</v>
      </c>
      <c r="J14" s="1">
        <v>2.1</v>
      </c>
      <c r="K14" s="1">
        <v>2.1</v>
      </c>
      <c r="L14" s="1">
        <v>2.1</v>
      </c>
    </row>
    <row r="15" spans="1:12" x14ac:dyDescent="0.3">
      <c r="A15" s="1" t="s">
        <v>24</v>
      </c>
      <c r="B15" s="1" t="s">
        <v>65</v>
      </c>
      <c r="C15" s="3" t="s">
        <v>25</v>
      </c>
      <c r="D15" s="1" t="s">
        <v>5</v>
      </c>
      <c r="E15" s="1">
        <v>1.45</v>
      </c>
      <c r="F15" s="1">
        <v>1.45</v>
      </c>
      <c r="G15" s="1">
        <v>1.61</v>
      </c>
      <c r="H15" s="1">
        <v>1.72</v>
      </c>
      <c r="I15" s="1">
        <v>1.83</v>
      </c>
      <c r="J15" s="1">
        <v>1.88</v>
      </c>
      <c r="K15" s="1">
        <v>1.9</v>
      </c>
      <c r="L15" s="1">
        <v>1.9</v>
      </c>
    </row>
    <row r="16" spans="1:12" x14ac:dyDescent="0.3">
      <c r="A16" s="1" t="s">
        <v>26</v>
      </c>
      <c r="B16" s="1" t="s">
        <v>65</v>
      </c>
      <c r="C16" s="3" t="s">
        <v>27</v>
      </c>
      <c r="D16" s="1" t="s">
        <v>5</v>
      </c>
      <c r="E16" s="1">
        <v>1.54</v>
      </c>
      <c r="F16" s="1">
        <v>1.58</v>
      </c>
      <c r="G16" s="1">
        <v>1.68</v>
      </c>
      <c r="H16" s="1">
        <v>1.77</v>
      </c>
      <c r="I16" s="1">
        <v>1.87</v>
      </c>
      <c r="J16" s="1">
        <v>1.91</v>
      </c>
      <c r="K16" s="1">
        <v>1.93</v>
      </c>
      <c r="L16" s="1">
        <v>1.95</v>
      </c>
    </row>
    <row r="17" spans="1:12" x14ac:dyDescent="0.3">
      <c r="A17" s="1" t="s">
        <v>28</v>
      </c>
      <c r="B17" s="1" t="s">
        <v>65</v>
      </c>
      <c r="C17" s="3" t="s">
        <v>29</v>
      </c>
      <c r="D17" s="1" t="s">
        <v>5</v>
      </c>
      <c r="E17" s="1">
        <v>1.58</v>
      </c>
      <c r="F17" s="1">
        <v>1.69</v>
      </c>
      <c r="G17" s="1">
        <v>1.83</v>
      </c>
      <c r="H17" s="1">
        <v>1.94</v>
      </c>
      <c r="I17" s="1">
        <v>2.0099999999999998</v>
      </c>
      <c r="J17" s="1">
        <v>2.08</v>
      </c>
      <c r="K17" s="1">
        <v>2.04</v>
      </c>
      <c r="L17" s="1">
        <v>2.0299999999999998</v>
      </c>
    </row>
    <row r="18" spans="1:12" x14ac:dyDescent="0.3">
      <c r="A18" s="4" t="s">
        <v>30</v>
      </c>
      <c r="B18" s="4" t="s">
        <v>64</v>
      </c>
      <c r="C18" s="3" t="s">
        <v>31</v>
      </c>
      <c r="D18" s="1" t="s">
        <v>5</v>
      </c>
      <c r="E18" s="1">
        <v>1.54</v>
      </c>
      <c r="F18" s="1">
        <v>1.58</v>
      </c>
      <c r="G18" s="1">
        <v>1.68</v>
      </c>
      <c r="H18" s="1">
        <v>1.77</v>
      </c>
      <c r="I18" s="1">
        <v>1.87</v>
      </c>
      <c r="J18" s="1">
        <v>1.91</v>
      </c>
      <c r="K18" s="1">
        <v>1.93</v>
      </c>
      <c r="L18" s="1">
        <v>1.95</v>
      </c>
    </row>
    <row r="19" spans="1:12" x14ac:dyDescent="0.3">
      <c r="A19" s="4" t="s">
        <v>32</v>
      </c>
      <c r="B19" s="4" t="s">
        <v>64</v>
      </c>
      <c r="C19" s="3" t="s">
        <v>33</v>
      </c>
      <c r="D19" s="1" t="s">
        <v>5</v>
      </c>
      <c r="E19" s="1">
        <v>1.54</v>
      </c>
      <c r="F19" s="1">
        <v>1.58</v>
      </c>
      <c r="G19" s="1">
        <v>1.68</v>
      </c>
      <c r="H19" s="1">
        <v>1.77</v>
      </c>
      <c r="I19" s="1">
        <v>1.87</v>
      </c>
      <c r="J19" s="1">
        <v>1.91</v>
      </c>
      <c r="K19" s="1">
        <v>1.93</v>
      </c>
      <c r="L19" s="1">
        <v>1.95</v>
      </c>
    </row>
    <row r="20" spans="1:12" x14ac:dyDescent="0.3">
      <c r="A20" s="1" t="s">
        <v>34</v>
      </c>
      <c r="B20" s="1" t="s">
        <v>65</v>
      </c>
      <c r="C20" s="3" t="s">
        <v>35</v>
      </c>
      <c r="D20" s="1" t="s">
        <v>5</v>
      </c>
      <c r="E20" s="1">
        <v>1.54</v>
      </c>
      <c r="F20" s="1">
        <v>1.58</v>
      </c>
      <c r="G20" s="1">
        <v>1.68</v>
      </c>
      <c r="H20" s="1">
        <v>1.77</v>
      </c>
      <c r="I20" s="1">
        <v>1.87</v>
      </c>
      <c r="J20" s="1">
        <v>1.91</v>
      </c>
      <c r="K20" s="1">
        <v>1.93</v>
      </c>
      <c r="L20" s="1">
        <v>1.95</v>
      </c>
    </row>
    <row r="21" spans="1:12" x14ac:dyDescent="0.3">
      <c r="A21" s="1" t="s">
        <v>36</v>
      </c>
      <c r="B21" s="1" t="s">
        <v>65</v>
      </c>
      <c r="C21" s="3" t="s">
        <v>37</v>
      </c>
      <c r="D21" s="1" t="s">
        <v>5</v>
      </c>
      <c r="E21" s="1">
        <v>1.54</v>
      </c>
      <c r="F21" s="1">
        <v>1.58</v>
      </c>
      <c r="G21" s="1">
        <v>1.68</v>
      </c>
      <c r="H21" s="1">
        <v>1.77</v>
      </c>
      <c r="I21" s="1">
        <v>1.87</v>
      </c>
      <c r="J21" s="1">
        <v>1.91</v>
      </c>
      <c r="K21" s="1">
        <v>1.93</v>
      </c>
      <c r="L21" s="1">
        <v>1.95</v>
      </c>
    </row>
    <row r="22" spans="1:12" x14ac:dyDescent="0.3">
      <c r="A22" s="4" t="s">
        <v>38</v>
      </c>
      <c r="B22" s="4" t="s">
        <v>64</v>
      </c>
      <c r="C22" s="3" t="s">
        <v>39</v>
      </c>
      <c r="D22" s="1" t="s">
        <v>5</v>
      </c>
      <c r="E22" s="1">
        <v>1.65</v>
      </c>
      <c r="F22" s="1">
        <v>1.65</v>
      </c>
      <c r="G22" s="1">
        <v>1.71</v>
      </c>
      <c r="H22" s="1">
        <v>1.8</v>
      </c>
      <c r="I22" s="1">
        <v>1.86</v>
      </c>
      <c r="J22" s="1">
        <v>1.89</v>
      </c>
      <c r="K22" s="1">
        <v>1.9</v>
      </c>
      <c r="L22" s="1">
        <v>1.9</v>
      </c>
    </row>
    <row r="23" spans="1:12" x14ac:dyDescent="0.3">
      <c r="A23" s="1" t="s">
        <v>40</v>
      </c>
      <c r="B23" s="1" t="s">
        <v>65</v>
      </c>
      <c r="C23" s="3" t="s">
        <v>41</v>
      </c>
      <c r="D23" s="1" t="s">
        <v>5</v>
      </c>
      <c r="E23" s="1">
        <v>1.54</v>
      </c>
      <c r="F23" s="1">
        <v>1.58</v>
      </c>
      <c r="G23" s="1">
        <v>1.68</v>
      </c>
      <c r="H23" s="1">
        <v>1.77</v>
      </c>
      <c r="I23" s="1">
        <v>1.87</v>
      </c>
      <c r="J23" s="1">
        <v>1.91</v>
      </c>
      <c r="K23" s="1">
        <v>1.93</v>
      </c>
      <c r="L23" s="1">
        <v>1.95</v>
      </c>
    </row>
    <row r="24" spans="1:12" x14ac:dyDescent="0.3">
      <c r="A24" s="4" t="s">
        <v>42</v>
      </c>
      <c r="B24" s="4" t="s">
        <v>64</v>
      </c>
      <c r="C24" s="3" t="s">
        <v>43</v>
      </c>
      <c r="D24" s="1" t="s">
        <v>5</v>
      </c>
      <c r="E24" s="1">
        <v>1.54</v>
      </c>
      <c r="F24" s="1">
        <v>1.58</v>
      </c>
      <c r="G24" s="1">
        <v>1.68</v>
      </c>
      <c r="H24" s="1">
        <v>1.77</v>
      </c>
      <c r="I24" s="1">
        <v>1.87</v>
      </c>
      <c r="J24" s="1">
        <v>1.91</v>
      </c>
      <c r="K24" s="1">
        <v>1.93</v>
      </c>
      <c r="L24" s="1">
        <v>1.95</v>
      </c>
    </row>
    <row r="25" spans="1:12" x14ac:dyDescent="0.3">
      <c r="A25" s="4" t="s">
        <v>44</v>
      </c>
      <c r="B25" s="4" t="s">
        <v>64</v>
      </c>
      <c r="C25" s="3" t="s">
        <v>45</v>
      </c>
      <c r="D25" s="1" t="s">
        <v>5</v>
      </c>
      <c r="E25" s="1">
        <v>1.54</v>
      </c>
      <c r="F25" s="1">
        <v>1.58</v>
      </c>
      <c r="G25" s="1">
        <v>1.68</v>
      </c>
      <c r="H25" s="1">
        <v>1.77</v>
      </c>
      <c r="I25" s="1">
        <v>1.87</v>
      </c>
      <c r="J25" s="1">
        <v>1.91</v>
      </c>
      <c r="K25" s="1">
        <v>1.93</v>
      </c>
      <c r="L25" s="1">
        <v>1.95</v>
      </c>
    </row>
    <row r="26" spans="1:12" x14ac:dyDescent="0.3">
      <c r="A26" s="1" t="s">
        <v>46</v>
      </c>
      <c r="B26" s="1" t="s">
        <v>65</v>
      </c>
      <c r="C26" s="3" t="s">
        <v>47</v>
      </c>
      <c r="D26" s="1" t="s">
        <v>5</v>
      </c>
      <c r="E26" s="1">
        <v>1.54</v>
      </c>
      <c r="F26" s="1">
        <v>1.58</v>
      </c>
      <c r="G26" s="1">
        <v>1.68</v>
      </c>
      <c r="H26" s="1">
        <v>1.77</v>
      </c>
      <c r="I26" s="1">
        <v>1.87</v>
      </c>
      <c r="J26" s="1">
        <v>1.91</v>
      </c>
      <c r="K26" s="1">
        <v>1.93</v>
      </c>
      <c r="L26" s="1">
        <v>1.95</v>
      </c>
    </row>
    <row r="27" spans="1:12" x14ac:dyDescent="0.3">
      <c r="A27" s="1" t="s">
        <v>48</v>
      </c>
      <c r="B27" s="4"/>
      <c r="C27" s="1" t="s">
        <v>49</v>
      </c>
      <c r="D27" s="1" t="s">
        <v>5</v>
      </c>
      <c r="E27" s="1">
        <v>1.54</v>
      </c>
      <c r="F27" s="1">
        <v>1.58</v>
      </c>
      <c r="G27" s="1">
        <v>1.68</v>
      </c>
      <c r="H27" s="1">
        <v>1.77</v>
      </c>
      <c r="I27" s="1">
        <v>1.87</v>
      </c>
      <c r="J27" s="1">
        <v>1.91</v>
      </c>
      <c r="K27" s="1">
        <v>1.93</v>
      </c>
      <c r="L27" s="1">
        <v>1.95</v>
      </c>
    </row>
    <row r="28" spans="1:12" x14ac:dyDescent="0.3">
      <c r="A28" s="4" t="s">
        <v>50</v>
      </c>
      <c r="B28" s="4" t="s">
        <v>64</v>
      </c>
      <c r="C28" s="3" t="s">
        <v>51</v>
      </c>
      <c r="D28" s="1" t="s">
        <v>5</v>
      </c>
      <c r="E28" s="1">
        <v>1.54</v>
      </c>
      <c r="F28" s="1">
        <v>1.58</v>
      </c>
      <c r="G28" s="1">
        <v>1.68</v>
      </c>
      <c r="H28" s="1">
        <v>1.77</v>
      </c>
      <c r="I28" s="1">
        <v>1.87</v>
      </c>
      <c r="J28" s="1">
        <v>1.91</v>
      </c>
      <c r="K28" s="1">
        <v>1.93</v>
      </c>
      <c r="L28" s="1">
        <v>1.95</v>
      </c>
    </row>
    <row r="29" spans="1:12" x14ac:dyDescent="0.3">
      <c r="A29" s="1" t="s">
        <v>52</v>
      </c>
      <c r="B29" s="1" t="s">
        <v>65</v>
      </c>
      <c r="C29" s="3" t="s">
        <v>53</v>
      </c>
      <c r="D29" s="1" t="s">
        <v>5</v>
      </c>
      <c r="E29" s="1">
        <v>1.54</v>
      </c>
      <c r="F29" s="1">
        <v>1.58</v>
      </c>
      <c r="G29" s="1">
        <v>1.68</v>
      </c>
      <c r="H29" s="1">
        <v>1.77</v>
      </c>
      <c r="I29" s="1">
        <v>1.87</v>
      </c>
      <c r="J29" s="1">
        <v>1.91</v>
      </c>
      <c r="K29" s="1">
        <v>1.93</v>
      </c>
      <c r="L29" s="1">
        <v>1.95</v>
      </c>
    </row>
    <row r="30" spans="1:12" x14ac:dyDescent="0.3">
      <c r="A30" s="4" t="s">
        <v>54</v>
      </c>
      <c r="B30" s="4" t="s">
        <v>64</v>
      </c>
      <c r="C30" s="3" t="s">
        <v>55</v>
      </c>
      <c r="D30" s="1" t="s">
        <v>5</v>
      </c>
      <c r="E30" s="1">
        <v>1.54</v>
      </c>
      <c r="F30" s="1">
        <v>1.58</v>
      </c>
      <c r="G30" s="1">
        <v>1.68</v>
      </c>
      <c r="H30" s="1">
        <v>1.77</v>
      </c>
      <c r="I30" s="1">
        <v>1.87</v>
      </c>
      <c r="J30" s="1">
        <v>1.91</v>
      </c>
      <c r="K30" s="1">
        <v>1.93</v>
      </c>
      <c r="L30" s="1">
        <v>1.95</v>
      </c>
    </row>
    <row r="31" spans="1:12" x14ac:dyDescent="0.3">
      <c r="A31" s="1" t="s">
        <v>56</v>
      </c>
      <c r="B31" s="1" t="s">
        <v>65</v>
      </c>
      <c r="C31" s="3" t="s">
        <v>57</v>
      </c>
      <c r="D31" s="1" t="s">
        <v>5</v>
      </c>
      <c r="E31" s="1">
        <v>1.39</v>
      </c>
      <c r="F31" s="1">
        <v>1.41</v>
      </c>
      <c r="G31" s="1">
        <v>1.56</v>
      </c>
      <c r="H31" s="1">
        <v>1.75</v>
      </c>
      <c r="I31" s="1">
        <v>1.85</v>
      </c>
      <c r="J31" s="1">
        <v>1.9</v>
      </c>
      <c r="K31" s="1">
        <v>1.9</v>
      </c>
      <c r="L31" s="1">
        <v>1.9</v>
      </c>
    </row>
    <row r="32" spans="1:12" x14ac:dyDescent="0.3">
      <c r="A32" s="4" t="s">
        <v>58</v>
      </c>
      <c r="B32" s="4" t="s">
        <v>64</v>
      </c>
      <c r="C32" s="3" t="s">
        <v>59</v>
      </c>
      <c r="D32" s="1" t="s">
        <v>5</v>
      </c>
      <c r="E32" s="1">
        <v>1.54</v>
      </c>
      <c r="F32" s="1">
        <v>1.58</v>
      </c>
      <c r="G32" s="1">
        <v>1.68</v>
      </c>
      <c r="H32" s="1">
        <v>1.77</v>
      </c>
      <c r="I32" s="1">
        <v>1.87</v>
      </c>
      <c r="J32" s="1">
        <v>1.91</v>
      </c>
      <c r="K32" s="1">
        <v>1.93</v>
      </c>
      <c r="L32" s="1">
        <v>1.95</v>
      </c>
    </row>
    <row r="33" spans="1:12" x14ac:dyDescent="0.3">
      <c r="A33" s="4" t="s">
        <v>60</v>
      </c>
      <c r="B33" s="4" t="s">
        <v>64</v>
      </c>
      <c r="C33" s="3" t="s">
        <v>61</v>
      </c>
      <c r="D33" s="1" t="s">
        <v>5</v>
      </c>
      <c r="E33" s="1">
        <v>1.54</v>
      </c>
      <c r="F33" s="1">
        <v>1.58</v>
      </c>
      <c r="G33" s="1">
        <v>1.68</v>
      </c>
      <c r="H33" s="1">
        <v>1.77</v>
      </c>
      <c r="I33" s="1">
        <v>1.87</v>
      </c>
      <c r="J33" s="1">
        <v>1.91</v>
      </c>
      <c r="K33" s="1">
        <v>1.93</v>
      </c>
      <c r="L33" s="1">
        <v>1.95</v>
      </c>
    </row>
    <row r="34" spans="1:12" x14ac:dyDescent="0.3">
      <c r="A34" s="1" t="s">
        <v>62</v>
      </c>
      <c r="B34" s="4"/>
      <c r="C34" s="1" t="s">
        <v>63</v>
      </c>
      <c r="D34" s="1" t="s">
        <v>5</v>
      </c>
      <c r="E34" s="1">
        <v>1.54</v>
      </c>
      <c r="F34" s="1">
        <v>1.58</v>
      </c>
      <c r="G34" s="1">
        <v>1.68</v>
      </c>
      <c r="H34" s="1">
        <v>1.77</v>
      </c>
      <c r="I34" s="1">
        <v>1.87</v>
      </c>
      <c r="J34" s="1">
        <v>1.91</v>
      </c>
      <c r="K34" s="1">
        <v>1.93</v>
      </c>
      <c r="L34" s="1">
        <v>1.95</v>
      </c>
    </row>
    <row r="37" spans="1:12" s="5" customFormat="1" x14ac:dyDescent="0.3">
      <c r="A37" s="5" t="s">
        <v>69</v>
      </c>
    </row>
    <row r="38" spans="1:12" x14ac:dyDescent="0.3">
      <c r="A38" s="2" t="s">
        <v>66</v>
      </c>
      <c r="E38" s="1">
        <v>2015</v>
      </c>
      <c r="F38" s="1">
        <v>2020</v>
      </c>
      <c r="G38" s="1">
        <v>2025</v>
      </c>
      <c r="H38" s="1">
        <v>2030</v>
      </c>
      <c r="I38" s="1">
        <v>2035</v>
      </c>
      <c r="J38" s="1">
        <v>2040</v>
      </c>
      <c r="K38" s="1">
        <v>2045</v>
      </c>
      <c r="L38" s="1">
        <v>2050</v>
      </c>
    </row>
    <row r="39" spans="1:12" x14ac:dyDescent="0.3">
      <c r="A39" s="6" t="s">
        <v>64</v>
      </c>
      <c r="E39" s="2">
        <f>SUMIF($B$5:$B$34, $A$39, E5:E34)/ COUNTIF($B$5:$B$34, $A$39)</f>
        <v>1.5484615384615381</v>
      </c>
      <c r="F39" s="2">
        <f t="shared" ref="F39:L39" si="0">SUMIF($B$5:$B$34, $A$39, F5:F34)/ COUNTIF($B$5:$B$34, $A$39)</f>
        <v>1.5853846153846154</v>
      </c>
      <c r="G39" s="2">
        <f t="shared" si="0"/>
        <v>1.6823076923076921</v>
      </c>
      <c r="H39" s="2">
        <f t="shared" si="0"/>
        <v>1.7723076923076921</v>
      </c>
      <c r="I39" s="2">
        <f t="shared" si="0"/>
        <v>1.8692307692307699</v>
      </c>
      <c r="J39" s="2">
        <f t="shared" si="0"/>
        <v>1.9084615384615384</v>
      </c>
      <c r="K39" s="2">
        <f t="shared" si="0"/>
        <v>1.9276923076923076</v>
      </c>
      <c r="L39" s="2">
        <f t="shared" si="0"/>
        <v>1.9461538461538459</v>
      </c>
    </row>
    <row r="40" spans="1:12" x14ac:dyDescent="0.3">
      <c r="A40" s="6" t="s">
        <v>65</v>
      </c>
      <c r="E40" s="2">
        <f>SUMIF($B$5:$B$34, $A$40, E6:E35)/COUNTIF($B$5:$B$34, $A$40)</f>
        <v>1.5135714285714283</v>
      </c>
      <c r="F40" s="2">
        <f t="shared" ref="F40:L40" si="1">SUMIF($B$5:$B$34, $A$40, F6:F35)/COUNTIF($B$5:$B$34, $A$40)</f>
        <v>1.554285714285714</v>
      </c>
      <c r="G40" s="2">
        <f t="shared" si="1"/>
        <v>1.6549999999999998</v>
      </c>
      <c r="H40" s="2">
        <f t="shared" si="1"/>
        <v>1.7578571428571426</v>
      </c>
      <c r="I40" s="2">
        <f t="shared" si="1"/>
        <v>1.8521428571428573</v>
      </c>
      <c r="J40" s="2">
        <f t="shared" si="1"/>
        <v>1.8992857142857142</v>
      </c>
      <c r="K40" s="2">
        <f t="shared" si="1"/>
        <v>1.9199999999999997</v>
      </c>
      <c r="L40" s="2">
        <f t="shared" si="1"/>
        <v>1.9414285714285708</v>
      </c>
    </row>
    <row r="43" spans="1:12" s="5" customFormat="1" x14ac:dyDescent="0.3">
      <c r="A43" s="5" t="s">
        <v>70</v>
      </c>
    </row>
    <row r="44" spans="1:12" x14ac:dyDescent="0.3">
      <c r="A44" s="2" t="s">
        <v>66</v>
      </c>
      <c r="E44" s="1">
        <v>2015</v>
      </c>
      <c r="F44" s="1">
        <v>2020</v>
      </c>
      <c r="G44" s="1">
        <v>2025</v>
      </c>
      <c r="H44" s="1">
        <v>2030</v>
      </c>
      <c r="I44" s="1">
        <v>2035</v>
      </c>
      <c r="J44" s="1">
        <v>2040</v>
      </c>
      <c r="K44" s="1">
        <v>2045</v>
      </c>
      <c r="L44" s="1">
        <v>2050</v>
      </c>
    </row>
    <row r="45" spans="1:12" x14ac:dyDescent="0.3">
      <c r="A45" s="6" t="s">
        <v>64</v>
      </c>
      <c r="E45" s="2">
        <v>1</v>
      </c>
      <c r="F45" s="2">
        <f>100*(F39-E39)/E39</f>
        <v>2.3845007451565063</v>
      </c>
      <c r="G45" s="2">
        <f t="shared" ref="G45:L45" si="2">100*(G39-F39)/F39</f>
        <v>6.1135371179039142</v>
      </c>
      <c r="H45" s="2">
        <f t="shared" si="2"/>
        <v>5.349794238683133</v>
      </c>
      <c r="I45" s="2">
        <f t="shared" si="2"/>
        <v>5.4687500000000488</v>
      </c>
      <c r="J45" s="2">
        <f t="shared" si="2"/>
        <v>2.0987654320987263</v>
      </c>
      <c r="K45" s="2">
        <f t="shared" si="2"/>
        <v>1.0076582023377634</v>
      </c>
      <c r="L45" s="2">
        <f t="shared" si="2"/>
        <v>0.95770151636072631</v>
      </c>
    </row>
    <row r="46" spans="1:12" x14ac:dyDescent="0.3">
      <c r="A46" s="6" t="s">
        <v>65</v>
      </c>
      <c r="E46" s="2">
        <v>1</v>
      </c>
      <c r="F46" s="2">
        <f>100*(F40-E40)/E40</f>
        <v>2.6899480887210947</v>
      </c>
      <c r="G46" s="2">
        <f t="shared" ref="G46:L46" si="3">100*(G40-F40)/F40</f>
        <v>6.4797794117647101</v>
      </c>
      <c r="H46" s="2">
        <f>100*(H40-G40)/G40</f>
        <v>6.2149331031506208</v>
      </c>
      <c r="I46" s="2">
        <f t="shared" si="3"/>
        <v>5.363673303535176</v>
      </c>
      <c r="J46" s="2">
        <f t="shared" si="3"/>
        <v>2.5453143077516271</v>
      </c>
      <c r="K46" s="2">
        <f t="shared" si="3"/>
        <v>1.0906355772846803</v>
      </c>
      <c r="L46" s="2">
        <f t="shared" si="3"/>
        <v>1.1160714285714133</v>
      </c>
    </row>
    <row r="49" spans="1:12" s="5" customFormat="1" x14ac:dyDescent="0.3">
      <c r="A49" s="5" t="s">
        <v>72</v>
      </c>
    </row>
    <row r="50" spans="1:12" x14ac:dyDescent="0.3">
      <c r="A50" s="2" t="s">
        <v>73</v>
      </c>
      <c r="B50" s="2" t="s">
        <v>71</v>
      </c>
      <c r="C50" s="2" t="s">
        <v>74</v>
      </c>
      <c r="D50" s="6" t="s">
        <v>439</v>
      </c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6" t="str" cm="1">
        <f t="array" ref="A51">INDEX($A$45:$A$46, INT((ROW()-ROW($A$50))/8)+1)</f>
        <v>EU-12</v>
      </c>
      <c r="B51" s="2" cm="1">
        <f t="array" ref="B51">INDEX($E$44:L$44, MOD(ROW()-ROW($B$50), 8)+1)</f>
        <v>2020</v>
      </c>
      <c r="C51" s="2" cm="1">
        <f t="array" ref="C51">INDEX($E$45:$L$46, INT((ROW()-ROW($C$50))/8)+1, MOD(ROW()-ROW($C$50), 8)+1)</f>
        <v>2.3845007451565063</v>
      </c>
    </row>
    <row r="52" spans="1:12" x14ac:dyDescent="0.3">
      <c r="A52" s="6" t="str" cm="1">
        <f t="array" ref="A52">INDEX($A$45:$A$46, INT((ROW()-ROW($A$50))/8)+1)</f>
        <v>EU-12</v>
      </c>
      <c r="B52" s="2" cm="1">
        <f t="array" ref="B52">INDEX($E$44:L$44, MOD(ROW()-ROW($B$50), 8)+1)</f>
        <v>2025</v>
      </c>
      <c r="C52" s="2" cm="1">
        <f t="array" ref="C52">INDEX($E$45:$L$46, INT((ROW()-ROW($C$50))/8)+1, MOD(ROW()-ROW($C$50), 8)+1)</f>
        <v>6.1135371179039142</v>
      </c>
    </row>
    <row r="53" spans="1:12" x14ac:dyDescent="0.3">
      <c r="A53" s="6" t="str" cm="1">
        <f t="array" ref="A53">INDEX($A$45:$A$46, INT((ROW()-ROW($A$50))/8)+1)</f>
        <v>EU-12</v>
      </c>
      <c r="B53" s="2" cm="1">
        <f t="array" ref="B53">INDEX($E$44:L$44, MOD(ROW()-ROW($B$50), 8)+1)</f>
        <v>2030</v>
      </c>
      <c r="C53" s="2" cm="1">
        <f t="array" ref="C53">INDEX($E$45:$L$46, INT((ROW()-ROW($C$50))/8)+1, MOD(ROW()-ROW($C$50), 8)+1)</f>
        <v>5.349794238683133</v>
      </c>
    </row>
    <row r="54" spans="1:12" x14ac:dyDescent="0.3">
      <c r="A54" s="6" t="str" cm="1">
        <f t="array" ref="A54">INDEX($A$45:$A$46, INT((ROW()-ROW($A$50))/8)+1)</f>
        <v>EU-12</v>
      </c>
      <c r="B54" s="2" cm="1">
        <f t="array" ref="B54">INDEX($E$44:L$44, MOD(ROW()-ROW($B$50), 8)+1)</f>
        <v>2035</v>
      </c>
      <c r="C54" s="2" cm="1">
        <f t="array" ref="C54">INDEX($E$45:$L$46, INT((ROW()-ROW($C$50))/8)+1, MOD(ROW()-ROW($C$50), 8)+1)</f>
        <v>5.4687500000000488</v>
      </c>
    </row>
    <row r="55" spans="1:12" x14ac:dyDescent="0.3">
      <c r="A55" s="6" t="str" cm="1">
        <f t="array" ref="A55">INDEX($A$45:$A$46, INT((ROW()-ROW($A$50))/8)+1)</f>
        <v>EU-12</v>
      </c>
      <c r="B55" s="2" cm="1">
        <f t="array" ref="B55">INDEX($E$44:L$44, MOD(ROW()-ROW($B$50), 8)+1)</f>
        <v>2040</v>
      </c>
      <c r="C55" s="2" cm="1">
        <f t="array" ref="C55">INDEX($E$45:$L$46, INT((ROW()-ROW($C$50))/8)+1, MOD(ROW()-ROW($C$50), 8)+1)</f>
        <v>2.0987654320987263</v>
      </c>
    </row>
    <row r="56" spans="1:12" x14ac:dyDescent="0.3">
      <c r="A56" s="6" t="str" cm="1">
        <f t="array" ref="A56">INDEX($A$45:$A$46, INT((ROW()-ROW($A$50))/8)+1)</f>
        <v>EU-12</v>
      </c>
      <c r="B56" s="2" cm="1">
        <f t="array" ref="B56">INDEX($E$44:L$44, MOD(ROW()-ROW($B$50), 8)+1)</f>
        <v>2045</v>
      </c>
      <c r="C56" s="2" cm="1">
        <f t="array" ref="C56">INDEX($E$45:$L$46, INT((ROW()-ROW($C$50))/8)+1, MOD(ROW()-ROW($C$50), 8)+1)</f>
        <v>1.0076582023377634</v>
      </c>
    </row>
    <row r="57" spans="1:12" x14ac:dyDescent="0.3">
      <c r="A57" s="6" t="str" cm="1">
        <f t="array" ref="A57">INDEX($A$45:$A$46, INT((ROW()-ROW($A$50))/8)+1)</f>
        <v>EU-12</v>
      </c>
      <c r="B57" s="2" cm="1">
        <f t="array" ref="B57">INDEX($E$44:L$44, MOD(ROW()-ROW($B$50), 8)+1)</f>
        <v>2050</v>
      </c>
      <c r="C57" s="2" cm="1">
        <f t="array" ref="C57">INDEX($E$45:$L$46, INT((ROW()-ROW($C$50))/8)+1, MOD(ROW()-ROW($C$50), 8)+1)</f>
        <v>0.95770151636072631</v>
      </c>
    </row>
    <row r="58" spans="1:12" x14ac:dyDescent="0.3">
      <c r="A58" s="6" t="str" cm="1">
        <f t="array" ref="A58">INDEX($A$45:$A$46, INT((ROW()-ROW($A$50))/8)+1)</f>
        <v>EU-15</v>
      </c>
      <c r="B58" s="2" cm="1">
        <f t="array" ref="B58">INDEX($E$44:L$44, MOD(ROW()-ROW($B$50), 8)+1)</f>
        <v>2015</v>
      </c>
      <c r="C58" s="2" cm="1">
        <f t="array" ref="C58">INDEX($E$45:$L$46, INT((ROW()-ROW($C$50))/8)+1, MOD(ROW()-ROW($C$50), 8)+1)</f>
        <v>1</v>
      </c>
    </row>
    <row r="59" spans="1:12" x14ac:dyDescent="0.3">
      <c r="A59" s="6" t="str" cm="1">
        <f t="array" ref="A59">INDEX($A$45:$A$46, INT((ROW()-ROW($A$50))/8)+1)</f>
        <v>EU-15</v>
      </c>
      <c r="B59" s="2" cm="1">
        <f t="array" ref="B59">INDEX($E$44:L$44, MOD(ROW()-ROW($B$50), 8)+1)</f>
        <v>2020</v>
      </c>
      <c r="C59" s="2" cm="1">
        <f t="array" ref="C59">INDEX($E$45:$L$46, INT((ROW()-ROW($C$50))/8)+1, MOD(ROW()-ROW($C$50), 8)+1)</f>
        <v>2.6899480887210947</v>
      </c>
    </row>
    <row r="60" spans="1:12" x14ac:dyDescent="0.3">
      <c r="A60" s="6" t="str" cm="1">
        <f t="array" ref="A60">INDEX($A$45:$A$46, INT((ROW()-ROW($A$50))/8)+1)</f>
        <v>EU-15</v>
      </c>
      <c r="B60" s="2" cm="1">
        <f t="array" ref="B60">INDEX($E$44:L$44, MOD(ROW()-ROW($B$50), 8)+1)</f>
        <v>2025</v>
      </c>
      <c r="C60" s="2" cm="1">
        <f t="array" ref="C60">INDEX($E$45:$L$46, INT((ROW()-ROW($C$50))/8)+1, MOD(ROW()-ROW($C$50), 8)+1)</f>
        <v>6.4797794117647101</v>
      </c>
    </row>
    <row r="61" spans="1:12" x14ac:dyDescent="0.3">
      <c r="A61" s="6" t="str" cm="1">
        <f t="array" ref="A61">INDEX($A$45:$A$46, INT((ROW()-ROW($A$50))/8)+1)</f>
        <v>EU-15</v>
      </c>
      <c r="B61" s="2" cm="1">
        <f t="array" ref="B61">INDEX($E$44:L$44, MOD(ROW()-ROW($B$50), 8)+1)</f>
        <v>2030</v>
      </c>
      <c r="C61" s="2" cm="1">
        <f t="array" ref="C61">INDEX($E$45:$L$46, INT((ROW()-ROW($C$50))/8)+1, MOD(ROW()-ROW($C$50), 8)+1)</f>
        <v>6.2149331031506208</v>
      </c>
    </row>
    <row r="62" spans="1:12" x14ac:dyDescent="0.3">
      <c r="A62" s="6" t="str" cm="1">
        <f t="array" ref="A62">INDEX($A$45:$A$46, INT((ROW()-ROW($A$50))/8)+1)</f>
        <v>EU-15</v>
      </c>
      <c r="B62" s="2" cm="1">
        <f t="array" ref="B62">INDEX($E$44:L$44, MOD(ROW()-ROW($B$50), 8)+1)</f>
        <v>2035</v>
      </c>
      <c r="C62" s="2" cm="1">
        <f t="array" ref="C62">INDEX($E$45:$L$46, INT((ROW()-ROW($C$50))/8)+1, MOD(ROW()-ROW($C$50), 8)+1)</f>
        <v>5.363673303535176</v>
      </c>
    </row>
    <row r="63" spans="1:12" x14ac:dyDescent="0.3">
      <c r="A63" s="6" t="str" cm="1">
        <f t="array" ref="A63">INDEX($A$45:$A$46, INT((ROW()-ROW($A$50))/8)+1)</f>
        <v>EU-15</v>
      </c>
      <c r="B63" s="2" cm="1">
        <f t="array" ref="B63">INDEX($E$44:L$44, MOD(ROW()-ROW($B$50), 8)+1)</f>
        <v>2040</v>
      </c>
      <c r="C63" s="2" cm="1">
        <f t="array" ref="C63">INDEX($E$45:$L$46, INT((ROW()-ROW($C$50))/8)+1, MOD(ROW()-ROW($C$50), 8)+1)</f>
        <v>2.5453143077516271</v>
      </c>
    </row>
    <row r="64" spans="1:12" x14ac:dyDescent="0.3">
      <c r="A64" s="6" t="str" cm="1">
        <f t="array" ref="A64">INDEX($A$45:$A$46, INT((ROW()-ROW($A$50))/8)+1)</f>
        <v>EU-15</v>
      </c>
      <c r="B64" s="2" cm="1">
        <f t="array" ref="B64">INDEX($E$44:L$44, MOD(ROW()-ROW($B$50), 8)+1)</f>
        <v>2045</v>
      </c>
      <c r="C64" s="2" cm="1">
        <f t="array" ref="C64">INDEX($E$45:$L$46, INT((ROW()-ROW($C$50))/8)+1, MOD(ROW()-ROW($C$50), 8)+1)</f>
        <v>1.0906355772846803</v>
      </c>
    </row>
    <row r="65" spans="1:3" x14ac:dyDescent="0.3">
      <c r="A65" s="6" t="str" cm="1">
        <f t="array" ref="A65">INDEX($A$45:$A$46, INT((ROW()-ROW($A$50))/8)+1)</f>
        <v>EU-15</v>
      </c>
      <c r="B65" s="2" cm="1">
        <f t="array" ref="B65">INDEX($E$44:L$44, MOD(ROW()-ROW($B$50), 8)+1)</f>
        <v>2050</v>
      </c>
      <c r="C65" s="2" cm="1">
        <f t="array" ref="C65">INDEX($E$45:$L$46, INT((ROW()-ROW($C$50))/8)+1, MOD(ROW()-ROW($C$50), 8)+1)</f>
        <v>1.1160714285714133</v>
      </c>
    </row>
    <row r="66" spans="1:3" x14ac:dyDescent="0.3">
      <c r="A66" s="6"/>
    </row>
    <row r="67" spans="1:3" x14ac:dyDescent="0.3">
      <c r="A67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EA32-00F0-483D-9357-425E0714EBED}">
  <sheetPr>
    <tabColor theme="9" tint="0.79998168889431442"/>
  </sheetPr>
  <dimension ref="A1:C16"/>
  <sheetViews>
    <sheetView workbookViewId="0">
      <selection activeCell="I348" sqref="I348"/>
    </sheetView>
  </sheetViews>
  <sheetFormatPr defaultRowHeight="14.4" x14ac:dyDescent="0.3"/>
  <cols>
    <col min="1" max="1" width="18" bestFit="1" customWidth="1"/>
    <col min="2" max="2" width="20.88671875" bestFit="1" customWidth="1"/>
    <col min="3" max="3" width="18.88671875" bestFit="1" customWidth="1"/>
    <col min="4" max="4" width="14.109375" bestFit="1" customWidth="1"/>
    <col min="5" max="5" width="11.6640625" customWidth="1"/>
    <col min="6" max="6" width="9.77734375" bestFit="1" customWidth="1"/>
    <col min="7" max="7" width="5.5546875" bestFit="1" customWidth="1"/>
  </cols>
  <sheetData>
    <row r="1" spans="1:3" x14ac:dyDescent="0.3">
      <c r="A1" t="str" cm="1">
        <f t="array" ref="A1:C16">'TRN-LoadFactor-computation'!A50:C65</f>
        <v>region</v>
      </c>
      <c r="B1" t="str">
        <v>year</v>
      </c>
      <c r="C1" t="str">
        <v>changeRate</v>
      </c>
    </row>
    <row r="2" spans="1:3" x14ac:dyDescent="0.3">
      <c r="A2" t="str">
        <v>EU-12</v>
      </c>
      <c r="B2">
        <v>2020</v>
      </c>
      <c r="C2">
        <v>2.3845007451565063</v>
      </c>
    </row>
    <row r="3" spans="1:3" x14ac:dyDescent="0.3">
      <c r="A3" t="str">
        <v>EU-12</v>
      </c>
      <c r="B3">
        <v>2025</v>
      </c>
      <c r="C3">
        <v>6.1135371179039142</v>
      </c>
    </row>
    <row r="4" spans="1:3" x14ac:dyDescent="0.3">
      <c r="A4" t="str">
        <v>EU-12</v>
      </c>
      <c r="B4">
        <v>2030</v>
      </c>
      <c r="C4">
        <v>5.349794238683133</v>
      </c>
    </row>
    <row r="5" spans="1:3" x14ac:dyDescent="0.3">
      <c r="A5" t="str">
        <v>EU-12</v>
      </c>
      <c r="B5">
        <v>2035</v>
      </c>
      <c r="C5">
        <v>5.4687500000000488</v>
      </c>
    </row>
    <row r="6" spans="1:3" x14ac:dyDescent="0.3">
      <c r="A6" t="str">
        <v>EU-12</v>
      </c>
      <c r="B6">
        <v>2040</v>
      </c>
      <c r="C6">
        <v>2.0987654320987263</v>
      </c>
    </row>
    <row r="7" spans="1:3" x14ac:dyDescent="0.3">
      <c r="A7" t="str">
        <v>EU-12</v>
      </c>
      <c r="B7">
        <v>2045</v>
      </c>
      <c r="C7">
        <v>1.0076582023377634</v>
      </c>
    </row>
    <row r="8" spans="1:3" x14ac:dyDescent="0.3">
      <c r="A8" t="str">
        <v>EU-12</v>
      </c>
      <c r="B8">
        <v>2050</v>
      </c>
      <c r="C8">
        <v>0.95770151636072631</v>
      </c>
    </row>
    <row r="9" spans="1:3" x14ac:dyDescent="0.3">
      <c r="A9" t="str">
        <v>EU-15</v>
      </c>
      <c r="B9">
        <v>2015</v>
      </c>
      <c r="C9">
        <v>1</v>
      </c>
    </row>
    <row r="10" spans="1:3" x14ac:dyDescent="0.3">
      <c r="A10" t="str">
        <v>EU-15</v>
      </c>
      <c r="B10">
        <v>2020</v>
      </c>
      <c r="C10">
        <v>2.6899480887210947</v>
      </c>
    </row>
    <row r="11" spans="1:3" x14ac:dyDescent="0.3">
      <c r="A11" t="str">
        <v>EU-15</v>
      </c>
      <c r="B11">
        <v>2025</v>
      </c>
      <c r="C11">
        <v>6.4797794117647101</v>
      </c>
    </row>
    <row r="12" spans="1:3" x14ac:dyDescent="0.3">
      <c r="A12" t="str">
        <v>EU-15</v>
      </c>
      <c r="B12">
        <v>2030</v>
      </c>
      <c r="C12">
        <v>6.2149331031506208</v>
      </c>
    </row>
    <row r="13" spans="1:3" x14ac:dyDescent="0.3">
      <c r="A13" t="str">
        <v>EU-15</v>
      </c>
      <c r="B13">
        <v>2035</v>
      </c>
      <c r="C13">
        <v>5.363673303535176</v>
      </c>
    </row>
    <row r="14" spans="1:3" x14ac:dyDescent="0.3">
      <c r="A14" t="str">
        <v>EU-15</v>
      </c>
      <c r="B14">
        <v>2040</v>
      </c>
      <c r="C14">
        <v>2.5453143077516271</v>
      </c>
    </row>
    <row r="15" spans="1:3" x14ac:dyDescent="0.3">
      <c r="A15" t="str">
        <v>EU-15</v>
      </c>
      <c r="B15">
        <v>2045</v>
      </c>
      <c r="C15">
        <v>1.0906355772846803</v>
      </c>
    </row>
    <row r="16" spans="1:3" x14ac:dyDescent="0.3">
      <c r="A16" t="str">
        <v>EU-15</v>
      </c>
      <c r="B16">
        <v>2050</v>
      </c>
      <c r="C16">
        <v>1.1160714285714133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F629-471C-4615-9490-522A722B073D}">
  <dimension ref="A1:AC295"/>
  <sheetViews>
    <sheetView topLeftCell="A243" workbookViewId="0">
      <selection activeCell="H246" sqref="H246:L248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1" width="10.77734375" customWidth="1"/>
    <col min="12" max="12" width="14.88671875" customWidth="1"/>
    <col min="13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137</v>
      </c>
    </row>
    <row r="2" spans="1:29" s="2" customFormat="1" x14ac:dyDescent="0.3"/>
    <row r="3" spans="1:29" s="5" customFormat="1" x14ac:dyDescent="0.3">
      <c r="A3" s="5" t="s">
        <v>138</v>
      </c>
    </row>
    <row r="4" spans="1:29" s="14" customFormat="1" ht="17.399999999999999" x14ac:dyDescent="0.3">
      <c r="A4" s="26" t="s">
        <v>167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111</v>
      </c>
      <c r="D5" s="19" t="s">
        <v>116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440</v>
      </c>
      <c r="B6" s="27" t="s">
        <v>64</v>
      </c>
      <c r="C6" s="19" t="s">
        <v>112</v>
      </c>
      <c r="D6" s="19" t="s">
        <v>117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51257.599999999999</v>
      </c>
      <c r="J6" s="20">
        <v>64215.1</v>
      </c>
      <c r="K6" s="20">
        <v>74526.8</v>
      </c>
      <c r="L6" s="20">
        <v>80474.945540999994</v>
      </c>
      <c r="M6" s="20">
        <v>84869.262770000001</v>
      </c>
      <c r="N6" s="20">
        <v>87861.080300000001</v>
      </c>
      <c r="O6" s="20">
        <v>90268.745079999993</v>
      </c>
      <c r="P6" s="20">
        <v>0</v>
      </c>
      <c r="Q6" s="20">
        <v>0</v>
      </c>
      <c r="R6" s="20">
        <v>0</v>
      </c>
      <c r="S6" s="20" t="s">
        <v>168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440</v>
      </c>
      <c r="B7" s="27" t="s">
        <v>64</v>
      </c>
      <c r="C7" s="19" t="s">
        <v>113</v>
      </c>
      <c r="D7" s="19" t="s">
        <v>118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18041.2409999999</v>
      </c>
      <c r="J7" s="20">
        <v>21665.5</v>
      </c>
      <c r="K7" s="20">
        <v>26478.3</v>
      </c>
      <c r="L7" s="20">
        <v>32704.991999999998</v>
      </c>
      <c r="M7" s="20">
        <v>36349.689299999998</v>
      </c>
      <c r="N7" s="20">
        <v>38246.963000000003</v>
      </c>
      <c r="O7" s="20">
        <v>39723.06</v>
      </c>
      <c r="P7" s="21">
        <v>0</v>
      </c>
      <c r="Q7" s="21">
        <v>0</v>
      </c>
      <c r="R7" s="21">
        <v>0</v>
      </c>
      <c r="S7" s="21" t="s">
        <v>169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440</v>
      </c>
      <c r="B8" s="28" t="s">
        <v>64</v>
      </c>
      <c r="C8" s="17" t="s">
        <v>113</v>
      </c>
      <c r="D8" s="17" t="s">
        <v>119</v>
      </c>
      <c r="E8" s="36">
        <v>262042.36</v>
      </c>
      <c r="F8" s="36">
        <v>198205.21400000001</v>
      </c>
      <c r="G8" s="36">
        <v>175160.2</v>
      </c>
      <c r="H8" s="36">
        <v>164781.043799999</v>
      </c>
      <c r="I8" s="36">
        <v>183270.9</v>
      </c>
      <c r="J8" s="36">
        <v>203256.74</v>
      </c>
      <c r="K8" s="36">
        <v>200245.7</v>
      </c>
      <c r="L8" s="36">
        <v>178409.99999999901</v>
      </c>
      <c r="M8" s="36">
        <v>171664.7</v>
      </c>
      <c r="N8" s="36">
        <v>175516.79999999999</v>
      </c>
      <c r="O8" s="36">
        <v>181839</v>
      </c>
      <c r="P8" s="17">
        <v>0</v>
      </c>
      <c r="Q8" s="17">
        <v>0</v>
      </c>
      <c r="R8" s="17">
        <v>0</v>
      </c>
      <c r="S8" s="17" t="s">
        <v>169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440</v>
      </c>
      <c r="B9" s="28" t="s">
        <v>64</v>
      </c>
      <c r="C9" s="17" t="s">
        <v>113</v>
      </c>
      <c r="D9" s="17" t="s">
        <v>156</v>
      </c>
      <c r="E9" s="36">
        <v>263310</v>
      </c>
      <c r="F9" s="36">
        <v>397360</v>
      </c>
      <c r="G9" s="36">
        <v>479298</v>
      </c>
      <c r="H9" s="36">
        <v>494165</v>
      </c>
      <c r="I9" s="36">
        <v>545559</v>
      </c>
      <c r="J9" s="36">
        <v>614383</v>
      </c>
      <c r="K9" s="36">
        <v>688777</v>
      </c>
      <c r="L9" s="36">
        <v>758088</v>
      </c>
      <c r="M9" s="36">
        <v>809208</v>
      </c>
      <c r="N9" s="36">
        <v>841895</v>
      </c>
      <c r="O9" s="36">
        <v>866215</v>
      </c>
      <c r="P9" s="17">
        <v>0</v>
      </c>
      <c r="Q9" s="17">
        <v>0</v>
      </c>
      <c r="R9" s="17">
        <v>0</v>
      </c>
      <c r="S9" s="17" t="s">
        <v>169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440</v>
      </c>
      <c r="B10" s="28" t="s">
        <v>64</v>
      </c>
      <c r="C10" s="17" t="s">
        <v>120</v>
      </c>
      <c r="D10" s="17" t="s">
        <v>121</v>
      </c>
      <c r="E10" s="36">
        <v>233530</v>
      </c>
      <c r="F10" s="36">
        <v>354422</v>
      </c>
      <c r="G10" s="36">
        <v>427651</v>
      </c>
      <c r="H10" s="36">
        <v>440708</v>
      </c>
      <c r="I10" s="36">
        <v>486592.3</v>
      </c>
      <c r="J10" s="36">
        <v>547591.38264309999</v>
      </c>
      <c r="K10" s="36">
        <v>613341.80939211999</v>
      </c>
      <c r="L10" s="36">
        <v>674813.25522955996</v>
      </c>
      <c r="M10" s="36">
        <v>720315.35109400004</v>
      </c>
      <c r="N10" s="36">
        <v>749151.134265</v>
      </c>
      <c r="O10" s="36">
        <v>769995.49497999996</v>
      </c>
      <c r="P10" s="17">
        <v>0</v>
      </c>
      <c r="Q10" s="17">
        <v>0</v>
      </c>
      <c r="R10" s="17">
        <v>0</v>
      </c>
      <c r="S10" s="17" t="s">
        <v>169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440</v>
      </c>
      <c r="B11" s="27" t="s">
        <v>64</v>
      </c>
      <c r="C11" s="19" t="s">
        <v>120</v>
      </c>
      <c r="D11" s="19" t="s">
        <v>122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12126.824000000001</v>
      </c>
      <c r="J11" s="20">
        <v>13722.01382</v>
      </c>
      <c r="K11" s="20">
        <v>15470.224850000001</v>
      </c>
      <c r="L11" s="20">
        <v>17081.63596</v>
      </c>
      <c r="M11" s="20">
        <v>18234.816269999999</v>
      </c>
      <c r="N11" s="20">
        <v>18968.231199999998</v>
      </c>
      <c r="O11" s="20">
        <v>19543.096000000001</v>
      </c>
      <c r="P11" s="20">
        <v>0</v>
      </c>
      <c r="Q11" s="20">
        <v>0</v>
      </c>
      <c r="R11" s="20">
        <v>0</v>
      </c>
      <c r="S11" s="20" t="s">
        <v>169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440</v>
      </c>
      <c r="B12" s="27" t="s">
        <v>64</v>
      </c>
      <c r="C12" s="19" t="s">
        <v>120</v>
      </c>
      <c r="D12" s="19" t="s">
        <v>123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46840.1</v>
      </c>
      <c r="J12" s="20">
        <v>53072.8512999999</v>
      </c>
      <c r="K12" s="20">
        <v>59975.5553</v>
      </c>
      <c r="L12" s="20">
        <v>66214.516799999998</v>
      </c>
      <c r="M12" s="20">
        <v>70688.175099999993</v>
      </c>
      <c r="N12" s="20">
        <v>73812.504000000001</v>
      </c>
      <c r="O12" s="20">
        <v>76719.864999999903</v>
      </c>
      <c r="P12" s="20">
        <v>0</v>
      </c>
      <c r="Q12" s="20">
        <v>0</v>
      </c>
      <c r="R12" s="20">
        <v>0</v>
      </c>
      <c r="S12" s="20" t="s">
        <v>169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9" customFormat="1" x14ac:dyDescent="0.3">
      <c r="A13" s="29" t="s">
        <v>440</v>
      </c>
      <c r="B13" s="30" t="s">
        <v>64</v>
      </c>
      <c r="C13" s="31" t="s">
        <v>114</v>
      </c>
      <c r="D13" s="31" t="s">
        <v>157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14530.4</v>
      </c>
      <c r="J13" s="33">
        <v>13040.6</v>
      </c>
      <c r="K13" s="33">
        <v>11654.2</v>
      </c>
      <c r="L13" s="33">
        <v>10622.6</v>
      </c>
      <c r="M13" s="33">
        <v>9916.58</v>
      </c>
      <c r="N13" s="33">
        <v>9355.7800000000007</v>
      </c>
      <c r="O13" s="33">
        <v>8880.15</v>
      </c>
      <c r="P13" s="32">
        <v>0</v>
      </c>
      <c r="Q13" s="32">
        <v>0</v>
      </c>
      <c r="R13" s="32">
        <v>0</v>
      </c>
      <c r="S13" s="32" t="s">
        <v>168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s="29" customFormat="1" x14ac:dyDescent="0.3">
      <c r="A14" s="29" t="s">
        <v>440</v>
      </c>
      <c r="B14" s="30" t="s">
        <v>64</v>
      </c>
      <c r="C14" s="31" t="s">
        <v>114</v>
      </c>
      <c r="D14" s="31" t="s">
        <v>124</v>
      </c>
      <c r="E14" s="33">
        <v>5331.03</v>
      </c>
      <c r="F14" s="33">
        <v>5193.26</v>
      </c>
      <c r="G14" s="33">
        <v>5821.69</v>
      </c>
      <c r="H14" s="33">
        <v>6241.59</v>
      </c>
      <c r="I14" s="33">
        <v>7625.93</v>
      </c>
      <c r="J14" s="33">
        <v>10975</v>
      </c>
      <c r="K14" s="33">
        <v>13988.8</v>
      </c>
      <c r="L14" s="33">
        <v>15728.3915</v>
      </c>
      <c r="M14" s="33">
        <v>17158.6057</v>
      </c>
      <c r="N14" s="33">
        <v>18125.605</v>
      </c>
      <c r="O14" s="33">
        <v>18853.442999999999</v>
      </c>
      <c r="P14" s="33">
        <v>0</v>
      </c>
      <c r="Q14" s="33">
        <v>0</v>
      </c>
      <c r="R14" s="33">
        <v>0</v>
      </c>
      <c r="S14" s="33" t="s">
        <v>168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s="29" customFormat="1" x14ac:dyDescent="0.3">
      <c r="A15" s="29" t="s">
        <v>440</v>
      </c>
      <c r="B15" s="30" t="s">
        <v>64</v>
      </c>
      <c r="C15" s="31" t="s">
        <v>114</v>
      </c>
      <c r="D15" s="31" t="s">
        <v>125</v>
      </c>
      <c r="E15" s="33">
        <v>0</v>
      </c>
      <c r="F15" s="33">
        <v>0</v>
      </c>
      <c r="G15" s="33">
        <v>0</v>
      </c>
      <c r="H15" s="33">
        <v>0</v>
      </c>
      <c r="I15" s="33">
        <v>327.27499999999998</v>
      </c>
      <c r="J15" s="33">
        <v>840.07</v>
      </c>
      <c r="K15" s="33">
        <v>1490</v>
      </c>
      <c r="L15" s="33">
        <v>2258.2399999999998</v>
      </c>
      <c r="M15" s="33">
        <v>3144.18</v>
      </c>
      <c r="N15" s="33">
        <v>4165.96</v>
      </c>
      <c r="O15" s="33">
        <v>5336.91</v>
      </c>
      <c r="P15" s="33">
        <v>0</v>
      </c>
      <c r="Q15" s="33">
        <v>0</v>
      </c>
      <c r="R15" s="33">
        <v>0</v>
      </c>
      <c r="S15" s="33" t="s">
        <v>168</v>
      </c>
      <c r="T15" s="32"/>
      <c r="U15" s="32"/>
      <c r="V15" s="32"/>
      <c r="W15" s="32"/>
      <c r="X15" s="32"/>
      <c r="Y15" s="33"/>
      <c r="Z15" s="33"/>
      <c r="AA15" s="33"/>
      <c r="AB15" s="33"/>
      <c r="AC15" s="33"/>
    </row>
    <row r="16" spans="1:29" s="29" customFormat="1" x14ac:dyDescent="0.3">
      <c r="A16" s="29" t="s">
        <v>440</v>
      </c>
      <c r="B16" s="30" t="s">
        <v>64</v>
      </c>
      <c r="C16" s="31" t="s">
        <v>114</v>
      </c>
      <c r="D16" s="31" t="s">
        <v>126</v>
      </c>
      <c r="E16" s="33">
        <v>88848.87</v>
      </c>
      <c r="F16" s="33">
        <v>70151.399999999994</v>
      </c>
      <c r="G16" s="33">
        <v>61930.3</v>
      </c>
      <c r="H16" s="33">
        <v>57839.1</v>
      </c>
      <c r="I16" s="33">
        <v>60894.8999999999</v>
      </c>
      <c r="J16" s="33">
        <v>64288.7</v>
      </c>
      <c r="K16" s="33">
        <v>64528.5</v>
      </c>
      <c r="L16" s="33">
        <v>63979.5</v>
      </c>
      <c r="M16" s="33">
        <v>62936.7</v>
      </c>
      <c r="N16" s="33">
        <v>61966.7</v>
      </c>
      <c r="O16" s="33">
        <v>61040</v>
      </c>
      <c r="P16" s="33">
        <v>0</v>
      </c>
      <c r="Q16" s="33">
        <v>0</v>
      </c>
      <c r="R16" s="33">
        <v>0</v>
      </c>
      <c r="S16" s="33" t="s">
        <v>168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s="29" customFormat="1" x14ac:dyDescent="0.3">
      <c r="A17" s="29" t="s">
        <v>440</v>
      </c>
      <c r="B17" s="34" t="s">
        <v>64</v>
      </c>
      <c r="C17" s="29" t="s">
        <v>114</v>
      </c>
      <c r="D17" s="29" t="s">
        <v>158</v>
      </c>
      <c r="E17" s="37">
        <v>51798.400000000001</v>
      </c>
      <c r="F17" s="37">
        <v>49595.6</v>
      </c>
      <c r="G17" s="37">
        <v>48833.7</v>
      </c>
      <c r="H17" s="37">
        <v>48072.800000000003</v>
      </c>
      <c r="I17" s="37">
        <v>43592.2</v>
      </c>
      <c r="J17" s="37">
        <v>39122.699999999997</v>
      </c>
      <c r="K17" s="37">
        <v>34963.4</v>
      </c>
      <c r="L17" s="37">
        <v>31868.400000000001</v>
      </c>
      <c r="M17" s="37">
        <v>29750.3</v>
      </c>
      <c r="N17" s="37">
        <v>28067.9</v>
      </c>
      <c r="O17" s="37">
        <v>26641</v>
      </c>
      <c r="P17" s="29">
        <v>0</v>
      </c>
      <c r="Q17" s="29">
        <v>0</v>
      </c>
      <c r="R17" s="29">
        <v>0</v>
      </c>
      <c r="S17" s="29" t="s">
        <v>168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1:29" s="14" customFormat="1" x14ac:dyDescent="0.3">
      <c r="A18" s="14" t="s">
        <v>440</v>
      </c>
      <c r="B18" s="44" t="s">
        <v>64</v>
      </c>
      <c r="C18" s="45" t="s">
        <v>114</v>
      </c>
      <c r="D18" s="45" t="s">
        <v>156</v>
      </c>
      <c r="E18" s="46">
        <v>583892</v>
      </c>
      <c r="F18" s="46">
        <v>863587</v>
      </c>
      <c r="G18" s="46">
        <v>1063160</v>
      </c>
      <c r="H18" s="46">
        <v>1126550</v>
      </c>
      <c r="I18" s="46">
        <v>1205090</v>
      </c>
      <c r="J18" s="46">
        <v>1303140</v>
      </c>
      <c r="K18" s="46">
        <v>1362170</v>
      </c>
      <c r="L18" s="46">
        <v>1397150</v>
      </c>
      <c r="M18" s="46">
        <v>1388690</v>
      </c>
      <c r="N18" s="46">
        <v>1377810</v>
      </c>
      <c r="O18" s="46">
        <v>1368140</v>
      </c>
      <c r="P18" s="46">
        <v>0</v>
      </c>
      <c r="Q18" s="46">
        <v>0</v>
      </c>
      <c r="R18" s="46">
        <v>0</v>
      </c>
      <c r="S18" s="46" t="s">
        <v>168</v>
      </c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 spans="1:29" s="29" customFormat="1" x14ac:dyDescent="0.3">
      <c r="A19" s="29" t="s">
        <v>440</v>
      </c>
      <c r="B19" s="34" t="s">
        <v>64</v>
      </c>
      <c r="C19" s="29" t="s">
        <v>127</v>
      </c>
      <c r="D19" s="29" t="s">
        <v>128</v>
      </c>
      <c r="E19" s="37">
        <v>130827.109</v>
      </c>
      <c r="F19" s="37">
        <v>193847.13</v>
      </c>
      <c r="G19" s="37">
        <v>234020.79</v>
      </c>
      <c r="H19" s="37">
        <v>244407.8</v>
      </c>
      <c r="I19" s="37">
        <v>261289.44999999899</v>
      </c>
      <c r="J19" s="37">
        <v>286999.53999999998</v>
      </c>
      <c r="K19" s="37">
        <v>293065.01</v>
      </c>
      <c r="L19" s="37">
        <v>299553.62</v>
      </c>
      <c r="M19" s="37">
        <v>307421.01</v>
      </c>
      <c r="N19" s="37">
        <v>317160.33</v>
      </c>
      <c r="O19" s="37">
        <v>330572.13999999902</v>
      </c>
      <c r="P19" s="29">
        <v>0</v>
      </c>
      <c r="Q19" s="29">
        <v>0</v>
      </c>
      <c r="R19" s="29">
        <v>0</v>
      </c>
      <c r="S19" s="29" t="s">
        <v>168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s="17" customFormat="1" x14ac:dyDescent="0.3">
      <c r="A20" s="17" t="s">
        <v>440</v>
      </c>
      <c r="B20" s="28" t="s">
        <v>64</v>
      </c>
      <c r="C20" s="17" t="s">
        <v>127</v>
      </c>
      <c r="D20" s="17" t="s">
        <v>159</v>
      </c>
      <c r="E20" s="36">
        <v>453065</v>
      </c>
      <c r="F20" s="36">
        <v>669740</v>
      </c>
      <c r="G20" s="36">
        <v>829140</v>
      </c>
      <c r="H20" s="36">
        <v>882142</v>
      </c>
      <c r="I20" s="36">
        <v>943798</v>
      </c>
      <c r="J20" s="36">
        <v>1016140</v>
      </c>
      <c r="K20" s="36">
        <v>1069100</v>
      </c>
      <c r="L20" s="36">
        <v>1097600</v>
      </c>
      <c r="M20" s="36">
        <v>1081270</v>
      </c>
      <c r="N20" s="36">
        <v>1060640</v>
      </c>
      <c r="O20" s="36">
        <v>1037570</v>
      </c>
      <c r="P20" s="17">
        <v>0</v>
      </c>
      <c r="Q20" s="17">
        <v>0</v>
      </c>
      <c r="R20" s="17">
        <v>0</v>
      </c>
      <c r="S20" s="17" t="s">
        <v>168</v>
      </c>
    </row>
    <row r="21" spans="1:29" s="29" customFormat="1" x14ac:dyDescent="0.3">
      <c r="A21" s="29" t="s">
        <v>440</v>
      </c>
      <c r="B21" s="30" t="s">
        <v>64</v>
      </c>
      <c r="C21" s="31" t="s">
        <v>129</v>
      </c>
      <c r="D21" s="31" t="s">
        <v>130</v>
      </c>
      <c r="E21" s="33">
        <v>22360.7</v>
      </c>
      <c r="F21" s="33">
        <v>31155.7</v>
      </c>
      <c r="G21" s="33">
        <v>38297.300000000003</v>
      </c>
      <c r="H21" s="33">
        <v>40976.699999999997</v>
      </c>
      <c r="I21" s="33">
        <v>40870.699999999997</v>
      </c>
      <c r="J21" s="33">
        <v>41763.800000000003</v>
      </c>
      <c r="K21" s="33">
        <v>39742.5</v>
      </c>
      <c r="L21" s="33">
        <v>37423</v>
      </c>
      <c r="M21" s="33">
        <v>35303.4</v>
      </c>
      <c r="N21" s="33">
        <v>33522.6</v>
      </c>
      <c r="O21" s="33">
        <v>31884.2</v>
      </c>
      <c r="P21" s="33">
        <v>0</v>
      </c>
      <c r="Q21" s="33">
        <v>0</v>
      </c>
      <c r="R21" s="33">
        <v>0</v>
      </c>
      <c r="S21" s="33" t="s">
        <v>168</v>
      </c>
    </row>
    <row r="22" spans="1:29" s="29" customFormat="1" x14ac:dyDescent="0.3">
      <c r="A22" s="29" t="s">
        <v>440</v>
      </c>
      <c r="B22" s="34" t="s">
        <v>64</v>
      </c>
      <c r="C22" s="29" t="s">
        <v>129</v>
      </c>
      <c r="D22" s="29" t="s">
        <v>160</v>
      </c>
      <c r="E22" s="37">
        <v>430704</v>
      </c>
      <c r="F22" s="37">
        <v>638584</v>
      </c>
      <c r="G22" s="37">
        <v>790843</v>
      </c>
      <c r="H22" s="37">
        <v>841165</v>
      </c>
      <c r="I22" s="37">
        <v>902927</v>
      </c>
      <c r="J22" s="37">
        <v>974381</v>
      </c>
      <c r="K22" s="37">
        <v>1029360</v>
      </c>
      <c r="L22" s="37">
        <v>1060180</v>
      </c>
      <c r="M22" s="37">
        <v>1045970</v>
      </c>
      <c r="N22" s="37">
        <v>1027120</v>
      </c>
      <c r="O22" s="37">
        <v>1005680</v>
      </c>
      <c r="P22" s="29">
        <v>0</v>
      </c>
      <c r="Q22" s="29">
        <v>0</v>
      </c>
      <c r="R22" s="29">
        <v>0</v>
      </c>
      <c r="S22" s="29" t="s">
        <v>168</v>
      </c>
    </row>
    <row r="23" spans="1:29" s="17" customFormat="1" x14ac:dyDescent="0.3">
      <c r="A23" s="17" t="s">
        <v>440</v>
      </c>
      <c r="B23" s="28" t="s">
        <v>64</v>
      </c>
      <c r="C23" s="17" t="s">
        <v>131</v>
      </c>
      <c r="D23" s="17" t="s">
        <v>132</v>
      </c>
      <c r="E23" s="36">
        <v>423194.69020000001</v>
      </c>
      <c r="F23" s="36">
        <v>630800.50026</v>
      </c>
      <c r="G23" s="36">
        <v>782030.37889000005</v>
      </c>
      <c r="H23" s="36">
        <v>832141.27720000001</v>
      </c>
      <c r="I23" s="36">
        <v>892879.33719999995</v>
      </c>
      <c r="J23" s="36">
        <v>962862.18180999998</v>
      </c>
      <c r="K23" s="36">
        <v>1015753.93915</v>
      </c>
      <c r="L23" s="36">
        <v>1044631.99751</v>
      </c>
      <c r="M23" s="36">
        <v>1029238.55063</v>
      </c>
      <c r="N23" s="36">
        <v>1009823.91599</v>
      </c>
      <c r="O23" s="36">
        <v>987783.14465999894</v>
      </c>
      <c r="P23" s="17">
        <v>0</v>
      </c>
      <c r="Q23" s="17">
        <v>0</v>
      </c>
      <c r="R23" s="17">
        <v>0</v>
      </c>
      <c r="S23" s="17" t="s">
        <v>168</v>
      </c>
    </row>
    <row r="24" spans="1:29" s="17" customFormat="1" x14ac:dyDescent="0.3">
      <c r="A24" s="17" t="s">
        <v>440</v>
      </c>
      <c r="B24" s="27" t="s">
        <v>64</v>
      </c>
      <c r="C24" s="19" t="s">
        <v>131</v>
      </c>
      <c r="D24" s="19" t="s">
        <v>133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10047.7915999999</v>
      </c>
      <c r="J24" s="20">
        <v>11519.370209999999</v>
      </c>
      <c r="K24" s="20">
        <v>13607.364449999999</v>
      </c>
      <c r="L24" s="20">
        <v>15545.434208000001</v>
      </c>
      <c r="M24" s="20">
        <v>16726.734578</v>
      </c>
      <c r="N24" s="20">
        <v>17299.066742999999</v>
      </c>
      <c r="O24" s="20">
        <v>17900.375059999998</v>
      </c>
      <c r="P24" s="20">
        <v>0</v>
      </c>
      <c r="Q24" s="20">
        <v>0</v>
      </c>
      <c r="R24" s="20">
        <v>0</v>
      </c>
      <c r="S24" s="20" t="s">
        <v>168</v>
      </c>
    </row>
    <row r="25" spans="1:29" s="17" customFormat="1" x14ac:dyDescent="0.3">
      <c r="A25" s="17" t="s">
        <v>440</v>
      </c>
      <c r="B25" s="28" t="s">
        <v>64</v>
      </c>
      <c r="C25" s="17" t="s">
        <v>115</v>
      </c>
      <c r="D25" s="17" t="s">
        <v>134</v>
      </c>
      <c r="E25" s="36">
        <v>318546</v>
      </c>
      <c r="F25" s="36">
        <v>629335</v>
      </c>
      <c r="G25" s="36">
        <v>1326250</v>
      </c>
      <c r="H25" s="36">
        <v>1324840</v>
      </c>
      <c r="I25" s="36">
        <v>1413986.1</v>
      </c>
      <c r="J25" s="36">
        <v>1515229</v>
      </c>
      <c r="K25" s="36">
        <v>1616488</v>
      </c>
      <c r="L25" s="36">
        <v>1742887.4749</v>
      </c>
      <c r="M25" s="36">
        <v>1817682.91</v>
      </c>
      <c r="N25" s="36">
        <v>1866757.041</v>
      </c>
      <c r="O25" s="36">
        <v>1909250.53</v>
      </c>
      <c r="P25" s="17">
        <v>0</v>
      </c>
      <c r="Q25" s="17">
        <v>0</v>
      </c>
      <c r="R25" s="17">
        <v>0</v>
      </c>
      <c r="S25" s="17" t="s">
        <v>169</v>
      </c>
    </row>
    <row r="26" spans="1:29" s="17" customFormat="1" x14ac:dyDescent="0.3">
      <c r="A26" s="17" t="s">
        <v>440</v>
      </c>
      <c r="B26" s="28" t="s">
        <v>65</v>
      </c>
      <c r="C26" s="17" t="s">
        <v>112</v>
      </c>
      <c r="D26" s="17" t="s">
        <v>117</v>
      </c>
      <c r="E26" s="36">
        <v>212576</v>
      </c>
      <c r="F26" s="36">
        <v>353555</v>
      </c>
      <c r="G26" s="36">
        <v>368359</v>
      </c>
      <c r="H26" s="36">
        <v>399505</v>
      </c>
      <c r="I26" s="36">
        <v>411222</v>
      </c>
      <c r="J26" s="36">
        <v>489648</v>
      </c>
      <c r="K26" s="36">
        <v>535394</v>
      </c>
      <c r="L26" s="36">
        <v>564925.31048800005</v>
      </c>
      <c r="M26" s="36">
        <v>593836.57440000004</v>
      </c>
      <c r="N26" s="36">
        <v>621307.45744999999</v>
      </c>
      <c r="O26" s="36">
        <v>648269.4865</v>
      </c>
      <c r="P26" s="17">
        <v>0</v>
      </c>
      <c r="Q26" s="17">
        <v>0</v>
      </c>
      <c r="R26" s="17">
        <v>0</v>
      </c>
      <c r="S26" s="17" t="s">
        <v>168</v>
      </c>
    </row>
    <row r="27" spans="1:29" s="17" customFormat="1" x14ac:dyDescent="0.3">
      <c r="A27" s="17" t="s">
        <v>440</v>
      </c>
      <c r="B27" s="28" t="s">
        <v>65</v>
      </c>
      <c r="C27" s="17" t="s">
        <v>113</v>
      </c>
      <c r="D27" s="17" t="s">
        <v>118</v>
      </c>
      <c r="E27" s="36">
        <v>568313</v>
      </c>
      <c r="F27" s="36">
        <v>667205</v>
      </c>
      <c r="G27" s="36">
        <v>602977</v>
      </c>
      <c r="H27" s="36">
        <v>455554</v>
      </c>
      <c r="I27" s="36">
        <v>462227.20000000001</v>
      </c>
      <c r="J27" s="36">
        <v>535130.4</v>
      </c>
      <c r="K27" s="36">
        <v>611141</v>
      </c>
      <c r="L27" s="36">
        <v>724545.18500000006</v>
      </c>
      <c r="M27" s="36">
        <v>802283.70200000005</v>
      </c>
      <c r="N27" s="36">
        <v>852851.69</v>
      </c>
      <c r="O27" s="36">
        <v>901633.97</v>
      </c>
      <c r="P27" s="17">
        <v>0</v>
      </c>
      <c r="Q27" s="17">
        <v>0</v>
      </c>
      <c r="R27" s="17">
        <v>0</v>
      </c>
      <c r="S27" s="17" t="s">
        <v>169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440</v>
      </c>
      <c r="B28" s="28" t="s">
        <v>65</v>
      </c>
      <c r="C28" s="17" t="s">
        <v>113</v>
      </c>
      <c r="D28" s="17" t="s">
        <v>119</v>
      </c>
      <c r="E28" s="36">
        <v>250445.02100000001</v>
      </c>
      <c r="F28" s="36">
        <v>306181.59999999998</v>
      </c>
      <c r="G28" s="36">
        <v>294236.7</v>
      </c>
      <c r="H28" s="36">
        <v>303575.09999999998</v>
      </c>
      <c r="I28" s="36">
        <v>311916.3</v>
      </c>
      <c r="J28" s="36">
        <v>339875.17</v>
      </c>
      <c r="K28" s="36">
        <v>326953.2</v>
      </c>
      <c r="L28" s="36">
        <v>294558.3</v>
      </c>
      <c r="M28" s="36">
        <v>288765.5</v>
      </c>
      <c r="N28" s="36">
        <v>302093</v>
      </c>
      <c r="O28" s="36">
        <v>320252.7</v>
      </c>
      <c r="P28" s="17">
        <v>0</v>
      </c>
      <c r="Q28" s="17">
        <v>0</v>
      </c>
      <c r="R28" s="17">
        <v>0</v>
      </c>
      <c r="S28" s="17" t="s">
        <v>169</v>
      </c>
    </row>
    <row r="29" spans="1:29" s="17" customFormat="1" x14ac:dyDescent="0.3">
      <c r="A29" s="17" t="s">
        <v>440</v>
      </c>
      <c r="B29" s="28" t="s">
        <v>65</v>
      </c>
      <c r="C29" s="17" t="s">
        <v>113</v>
      </c>
      <c r="D29" s="17" t="s">
        <v>156</v>
      </c>
      <c r="E29" s="36">
        <v>1112710</v>
      </c>
      <c r="F29" s="36">
        <v>1402240</v>
      </c>
      <c r="G29" s="36">
        <v>1362490</v>
      </c>
      <c r="H29" s="36">
        <v>1331530</v>
      </c>
      <c r="I29" s="36">
        <v>1340410</v>
      </c>
      <c r="J29" s="36">
        <v>1470350</v>
      </c>
      <c r="K29" s="36">
        <v>1544390</v>
      </c>
      <c r="L29" s="36">
        <v>1620550</v>
      </c>
      <c r="M29" s="36">
        <v>1702010</v>
      </c>
      <c r="N29" s="36">
        <v>1783500</v>
      </c>
      <c r="O29" s="36">
        <v>1861110</v>
      </c>
      <c r="P29" s="17">
        <v>0</v>
      </c>
      <c r="Q29" s="17">
        <v>0</v>
      </c>
      <c r="R29" s="17">
        <v>0</v>
      </c>
      <c r="S29" s="17" t="s">
        <v>169</v>
      </c>
    </row>
    <row r="30" spans="1:29" s="17" customFormat="1" x14ac:dyDescent="0.3">
      <c r="A30" s="17" t="s">
        <v>440</v>
      </c>
      <c r="B30" s="28" t="s">
        <v>65</v>
      </c>
      <c r="C30" s="17" t="s">
        <v>120</v>
      </c>
      <c r="D30" s="17" t="s">
        <v>121</v>
      </c>
      <c r="E30" s="36">
        <v>1024130</v>
      </c>
      <c r="F30" s="36">
        <v>1290600</v>
      </c>
      <c r="G30" s="36">
        <v>1253810</v>
      </c>
      <c r="H30" s="36">
        <v>1225120</v>
      </c>
      <c r="I30" s="36">
        <v>1233301.45</v>
      </c>
      <c r="J30" s="36">
        <v>1352542.03734676</v>
      </c>
      <c r="K30" s="36">
        <v>1420148.58894979</v>
      </c>
      <c r="L30" s="36">
        <v>1490127.6789553701</v>
      </c>
      <c r="M30" s="36">
        <v>1565302.92438236</v>
      </c>
      <c r="N30" s="36">
        <v>1640160.5041497999</v>
      </c>
      <c r="O30" s="36">
        <v>1710771.6119200001</v>
      </c>
      <c r="P30" s="17">
        <v>0</v>
      </c>
      <c r="Q30" s="17">
        <v>0</v>
      </c>
      <c r="R30" s="17">
        <v>0</v>
      </c>
      <c r="S30" s="17" t="s">
        <v>169</v>
      </c>
    </row>
    <row r="31" spans="1:29" s="17" customFormat="1" x14ac:dyDescent="0.3">
      <c r="A31" s="17" t="s">
        <v>440</v>
      </c>
      <c r="B31" s="27" t="s">
        <v>65</v>
      </c>
      <c r="C31" s="19" t="s">
        <v>120</v>
      </c>
      <c r="D31" s="19" t="s">
        <v>122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</v>
      </c>
      <c r="J31" s="20">
        <v>40149.472999999998</v>
      </c>
      <c r="K31" s="20">
        <v>42334.735699999997</v>
      </c>
      <c r="L31" s="20">
        <v>44495.200700000001</v>
      </c>
      <c r="M31" s="20">
        <v>46673.906289999999</v>
      </c>
      <c r="N31" s="20">
        <v>48872.964</v>
      </c>
      <c r="O31" s="20">
        <v>51054.202999999899</v>
      </c>
      <c r="P31" s="20">
        <v>0</v>
      </c>
      <c r="Q31" s="20">
        <v>0</v>
      </c>
      <c r="R31" s="20">
        <v>0</v>
      </c>
      <c r="S31" s="20" t="s">
        <v>169</v>
      </c>
    </row>
    <row r="32" spans="1:29" s="17" customFormat="1" x14ac:dyDescent="0.3">
      <c r="A32" s="17" t="s">
        <v>440</v>
      </c>
      <c r="B32" s="28" t="s">
        <v>65</v>
      </c>
      <c r="C32" s="17" t="s">
        <v>120</v>
      </c>
      <c r="D32" s="17" t="s">
        <v>123</v>
      </c>
      <c r="E32" s="36">
        <v>58674.9</v>
      </c>
      <c r="F32" s="36">
        <v>73941.7</v>
      </c>
      <c r="G32" s="36">
        <v>71833.600000000006</v>
      </c>
      <c r="H32" s="36">
        <v>70189.600000000006</v>
      </c>
      <c r="I32" s="36">
        <v>70630.070000000007</v>
      </c>
      <c r="J32" s="36">
        <v>77678.482300000003</v>
      </c>
      <c r="K32" s="36">
        <v>81965.759399999995</v>
      </c>
      <c r="L32" s="36">
        <v>86034.930900000007</v>
      </c>
      <c r="M32" s="36">
        <v>90183.608600000007</v>
      </c>
      <c r="N32" s="36">
        <v>94652.963000000003</v>
      </c>
      <c r="O32" s="36">
        <v>99515.205000000002</v>
      </c>
      <c r="P32" s="17">
        <v>0</v>
      </c>
      <c r="Q32" s="17">
        <v>0</v>
      </c>
      <c r="R32" s="17">
        <v>0</v>
      </c>
      <c r="S32" s="17" t="s">
        <v>169</v>
      </c>
    </row>
    <row r="33" spans="1:19" s="29" customFormat="1" x14ac:dyDescent="0.3">
      <c r="A33" s="29" t="s">
        <v>440</v>
      </c>
      <c r="B33" s="30" t="s">
        <v>65</v>
      </c>
      <c r="C33" s="31" t="s">
        <v>114</v>
      </c>
      <c r="D33" s="31" t="s">
        <v>157</v>
      </c>
      <c r="E33" s="33">
        <v>34966.699999999997</v>
      </c>
      <c r="F33" s="33">
        <v>37111.599999999999</v>
      </c>
      <c r="G33" s="33">
        <v>37862.6</v>
      </c>
      <c r="H33" s="33">
        <v>38400.6</v>
      </c>
      <c r="I33" s="33">
        <v>38726.199999999997</v>
      </c>
      <c r="J33" s="33">
        <v>36000.9</v>
      </c>
      <c r="K33" s="33">
        <v>34703</v>
      </c>
      <c r="L33" s="33">
        <v>33539.199999999997</v>
      </c>
      <c r="M33" s="33">
        <v>32525.5</v>
      </c>
      <c r="N33" s="33">
        <v>31561.5</v>
      </c>
      <c r="O33" s="33">
        <v>30653.5</v>
      </c>
      <c r="P33" s="33">
        <v>0</v>
      </c>
      <c r="Q33" s="33">
        <v>0</v>
      </c>
      <c r="R33" s="33">
        <v>0</v>
      </c>
      <c r="S33" s="33" t="s">
        <v>168</v>
      </c>
    </row>
    <row r="34" spans="1:19" s="29" customFormat="1" x14ac:dyDescent="0.3">
      <c r="A34" s="29" t="s">
        <v>440</v>
      </c>
      <c r="B34" s="34" t="s">
        <v>65</v>
      </c>
      <c r="C34" s="29" t="s">
        <v>114</v>
      </c>
      <c r="D34" s="29" t="s">
        <v>124</v>
      </c>
      <c r="E34" s="37">
        <v>147471</v>
      </c>
      <c r="F34" s="37">
        <v>245272</v>
      </c>
      <c r="G34" s="37">
        <v>255527</v>
      </c>
      <c r="H34" s="37">
        <v>277139</v>
      </c>
      <c r="I34" s="37">
        <v>289011</v>
      </c>
      <c r="J34" s="37">
        <v>380849</v>
      </c>
      <c r="K34" s="37">
        <v>441451</v>
      </c>
      <c r="L34" s="37">
        <v>476406.78100000002</v>
      </c>
      <c r="M34" s="37">
        <v>508764.66</v>
      </c>
      <c r="N34" s="37">
        <v>536504.78</v>
      </c>
      <c r="O34" s="37">
        <v>561658.1</v>
      </c>
      <c r="P34" s="35">
        <v>0</v>
      </c>
      <c r="Q34" s="35">
        <v>0</v>
      </c>
      <c r="R34" s="35">
        <v>0</v>
      </c>
      <c r="S34" s="35" t="s">
        <v>168</v>
      </c>
    </row>
    <row r="35" spans="1:19" s="29" customFormat="1" x14ac:dyDescent="0.3">
      <c r="A35" s="29" t="s">
        <v>440</v>
      </c>
      <c r="B35" s="30" t="s">
        <v>65</v>
      </c>
      <c r="C35" s="31" t="s">
        <v>114</v>
      </c>
      <c r="D35" s="31" t="s">
        <v>125</v>
      </c>
      <c r="E35" s="33">
        <v>17093.7</v>
      </c>
      <c r="F35" s="33">
        <v>20739.3</v>
      </c>
      <c r="G35" s="33">
        <v>19886.5</v>
      </c>
      <c r="H35" s="33">
        <v>21065.1</v>
      </c>
      <c r="I35" s="33">
        <v>21008.400000000001</v>
      </c>
      <c r="J35" s="33">
        <v>26881.8</v>
      </c>
      <c r="K35" s="33">
        <v>30754.799999999999</v>
      </c>
      <c r="L35" s="33">
        <v>34765.9</v>
      </c>
      <c r="M35" s="33">
        <v>35084</v>
      </c>
      <c r="N35" s="33">
        <v>35587.599999999999</v>
      </c>
      <c r="O35" s="33">
        <v>36193.4</v>
      </c>
      <c r="P35" s="33">
        <v>0</v>
      </c>
      <c r="Q35" s="33">
        <v>0</v>
      </c>
      <c r="R35" s="33">
        <v>0</v>
      </c>
      <c r="S35" s="33" t="s">
        <v>168</v>
      </c>
    </row>
    <row r="36" spans="1:19" s="29" customFormat="1" x14ac:dyDescent="0.3">
      <c r="A36" s="29" t="s">
        <v>440</v>
      </c>
      <c r="B36" s="34" t="s">
        <v>65</v>
      </c>
      <c r="C36" s="29" t="s">
        <v>114</v>
      </c>
      <c r="D36" s="29" t="s">
        <v>126</v>
      </c>
      <c r="E36" s="37">
        <v>296811</v>
      </c>
      <c r="F36" s="37">
        <v>362300.8</v>
      </c>
      <c r="G36" s="37">
        <v>347860.3</v>
      </c>
      <c r="H36" s="37">
        <v>363805.5</v>
      </c>
      <c r="I36" s="37">
        <v>372521.7</v>
      </c>
      <c r="J36" s="37">
        <v>407493.5</v>
      </c>
      <c r="K36" s="37">
        <v>420975.9</v>
      </c>
      <c r="L36" s="37">
        <v>431520.8</v>
      </c>
      <c r="M36" s="37">
        <v>438852.1</v>
      </c>
      <c r="N36" s="37">
        <v>447770.8</v>
      </c>
      <c r="O36" s="37">
        <v>457793.2</v>
      </c>
      <c r="P36" s="29">
        <v>0</v>
      </c>
      <c r="Q36" s="29">
        <v>0</v>
      </c>
      <c r="R36" s="29">
        <v>0</v>
      </c>
      <c r="S36" s="29" t="s">
        <v>168</v>
      </c>
    </row>
    <row r="37" spans="1:19" s="29" customFormat="1" x14ac:dyDescent="0.3">
      <c r="A37" s="29" t="s">
        <v>440</v>
      </c>
      <c r="B37" s="34" t="s">
        <v>65</v>
      </c>
      <c r="C37" s="29" t="s">
        <v>114</v>
      </c>
      <c r="D37" s="29" t="s">
        <v>158</v>
      </c>
      <c r="E37" s="37">
        <v>104898</v>
      </c>
      <c r="F37" s="37">
        <v>111333</v>
      </c>
      <c r="G37" s="37">
        <v>113588</v>
      </c>
      <c r="H37" s="37">
        <v>115202</v>
      </c>
      <c r="I37" s="37">
        <v>116179</v>
      </c>
      <c r="J37" s="37">
        <v>108003</v>
      </c>
      <c r="K37" s="37">
        <v>104109</v>
      </c>
      <c r="L37" s="37">
        <v>100618</v>
      </c>
      <c r="M37" s="37">
        <v>97576.4</v>
      </c>
      <c r="N37" s="37">
        <v>94684.6</v>
      </c>
      <c r="O37" s="37">
        <v>91960.5</v>
      </c>
      <c r="P37" s="29">
        <v>0</v>
      </c>
      <c r="Q37" s="29">
        <v>0</v>
      </c>
      <c r="R37" s="29">
        <v>0</v>
      </c>
      <c r="S37" s="29" t="s">
        <v>168</v>
      </c>
    </row>
    <row r="38" spans="1:19" s="14" customFormat="1" x14ac:dyDescent="0.3">
      <c r="A38" s="14" t="s">
        <v>440</v>
      </c>
      <c r="B38" s="51" t="s">
        <v>65</v>
      </c>
      <c r="C38" s="14" t="s">
        <v>114</v>
      </c>
      <c r="D38" s="14" t="s">
        <v>156</v>
      </c>
      <c r="E38" s="52">
        <v>4231630</v>
      </c>
      <c r="F38" s="52">
        <v>5349060</v>
      </c>
      <c r="G38" s="52">
        <v>5368570</v>
      </c>
      <c r="H38" s="52">
        <v>5457750</v>
      </c>
      <c r="I38" s="52">
        <v>5546150</v>
      </c>
      <c r="J38" s="52">
        <v>5881810</v>
      </c>
      <c r="K38" s="52">
        <v>6021920</v>
      </c>
      <c r="L38" s="52">
        <v>6164440</v>
      </c>
      <c r="M38" s="52">
        <v>6285480</v>
      </c>
      <c r="N38" s="52">
        <v>6416650</v>
      </c>
      <c r="O38" s="52">
        <v>6556970</v>
      </c>
      <c r="P38" s="14">
        <v>0</v>
      </c>
      <c r="Q38" s="14">
        <v>0</v>
      </c>
      <c r="R38" s="14">
        <v>0</v>
      </c>
      <c r="S38" s="14" t="s">
        <v>168</v>
      </c>
    </row>
    <row r="39" spans="1:19" s="29" customFormat="1" x14ac:dyDescent="0.3">
      <c r="A39" s="29" t="s">
        <v>440</v>
      </c>
      <c r="B39" s="34" t="s">
        <v>65</v>
      </c>
      <c r="C39" s="29" t="s">
        <v>127</v>
      </c>
      <c r="D39" s="29" t="s">
        <v>128</v>
      </c>
      <c r="E39" s="37">
        <v>573900.19999999995</v>
      </c>
      <c r="F39" s="37">
        <v>739489.7</v>
      </c>
      <c r="G39" s="37">
        <v>752113.8</v>
      </c>
      <c r="H39" s="37">
        <v>777922</v>
      </c>
      <c r="I39" s="37">
        <v>777347.799999999</v>
      </c>
      <c r="J39" s="37">
        <v>727456.65</v>
      </c>
      <c r="K39" s="37">
        <v>696820.299999999</v>
      </c>
      <c r="L39" s="37">
        <v>665921.4</v>
      </c>
      <c r="M39" s="37">
        <v>642081.1</v>
      </c>
      <c r="N39" s="37">
        <v>622340.9</v>
      </c>
      <c r="O39" s="37">
        <v>604736.30000000005</v>
      </c>
      <c r="P39" s="29">
        <v>0</v>
      </c>
      <c r="Q39" s="29">
        <v>0</v>
      </c>
      <c r="R39" s="29">
        <v>0</v>
      </c>
      <c r="S39" s="29" t="s">
        <v>168</v>
      </c>
    </row>
    <row r="40" spans="1:19" s="17" customFormat="1" x14ac:dyDescent="0.3">
      <c r="A40" s="17" t="s">
        <v>440</v>
      </c>
      <c r="B40" s="28" t="s">
        <v>65</v>
      </c>
      <c r="C40" s="17" t="s">
        <v>127</v>
      </c>
      <c r="D40" s="17" t="s">
        <v>159</v>
      </c>
      <c r="E40" s="36">
        <v>3657730</v>
      </c>
      <c r="F40" s="36">
        <v>4609570</v>
      </c>
      <c r="G40" s="36">
        <v>4616450</v>
      </c>
      <c r="H40" s="36">
        <v>4679830</v>
      </c>
      <c r="I40" s="36">
        <v>4768810</v>
      </c>
      <c r="J40" s="36">
        <v>5154350</v>
      </c>
      <c r="K40" s="36">
        <v>5325100</v>
      </c>
      <c r="L40" s="36">
        <v>5498520</v>
      </c>
      <c r="M40" s="36">
        <v>5643400</v>
      </c>
      <c r="N40" s="36">
        <v>5794310</v>
      </c>
      <c r="O40" s="36">
        <v>5952230</v>
      </c>
      <c r="P40" s="17">
        <v>0</v>
      </c>
      <c r="Q40" s="17">
        <v>0</v>
      </c>
      <c r="R40" s="17">
        <v>0</v>
      </c>
      <c r="S40" s="17" t="s">
        <v>168</v>
      </c>
    </row>
    <row r="41" spans="1:19" s="29" customFormat="1" x14ac:dyDescent="0.3">
      <c r="A41" s="29" t="s">
        <v>440</v>
      </c>
      <c r="B41" s="34" t="s">
        <v>65</v>
      </c>
      <c r="C41" s="29" t="s">
        <v>129</v>
      </c>
      <c r="D41" s="29" t="s">
        <v>130</v>
      </c>
      <c r="E41" s="37">
        <v>72561.2</v>
      </c>
      <c r="F41" s="37">
        <v>91441</v>
      </c>
      <c r="G41" s="37">
        <v>91678.399999999994</v>
      </c>
      <c r="H41" s="37">
        <v>93044.3</v>
      </c>
      <c r="I41" s="37">
        <v>95684.2</v>
      </c>
      <c r="J41" s="37">
        <v>104006.39999999999</v>
      </c>
      <c r="K41" s="37">
        <v>106868.9</v>
      </c>
      <c r="L41" s="37">
        <v>109253.6</v>
      </c>
      <c r="M41" s="37">
        <v>110558.7</v>
      </c>
      <c r="N41" s="37">
        <v>112366.3</v>
      </c>
      <c r="O41" s="37">
        <v>114562.6</v>
      </c>
      <c r="P41" s="29">
        <v>0</v>
      </c>
      <c r="Q41" s="29">
        <v>0</v>
      </c>
      <c r="R41" s="29">
        <v>0</v>
      </c>
      <c r="S41" s="29" t="s">
        <v>168</v>
      </c>
    </row>
    <row r="42" spans="1:19" s="29" customFormat="1" x14ac:dyDescent="0.3">
      <c r="A42" s="29" t="s">
        <v>440</v>
      </c>
      <c r="B42" s="34" t="s">
        <v>65</v>
      </c>
      <c r="C42" s="29" t="s">
        <v>129</v>
      </c>
      <c r="D42" s="29" t="s">
        <v>160</v>
      </c>
      <c r="E42" s="37">
        <v>3585170</v>
      </c>
      <c r="F42" s="37">
        <v>4518130</v>
      </c>
      <c r="G42" s="37">
        <v>4524770</v>
      </c>
      <c r="H42" s="37">
        <v>4586780</v>
      </c>
      <c r="I42" s="37">
        <v>4673120</v>
      </c>
      <c r="J42" s="37">
        <v>5050350</v>
      </c>
      <c r="K42" s="37">
        <v>5218230</v>
      </c>
      <c r="L42" s="37">
        <v>5389270</v>
      </c>
      <c r="M42" s="37">
        <v>5532840</v>
      </c>
      <c r="N42" s="37">
        <v>5681940</v>
      </c>
      <c r="O42" s="37">
        <v>5837670</v>
      </c>
      <c r="P42" s="29">
        <v>0</v>
      </c>
      <c r="Q42" s="29">
        <v>0</v>
      </c>
      <c r="R42" s="29">
        <v>0</v>
      </c>
      <c r="S42" s="29" t="s">
        <v>168</v>
      </c>
    </row>
    <row r="43" spans="1:19" s="17" customFormat="1" x14ac:dyDescent="0.3">
      <c r="A43" s="17" t="s">
        <v>440</v>
      </c>
      <c r="B43" s="28" t="s">
        <v>65</v>
      </c>
      <c r="C43" s="17" t="s">
        <v>131</v>
      </c>
      <c r="D43" s="17" t="s">
        <v>132</v>
      </c>
      <c r="E43" s="36">
        <v>2925308.7354000001</v>
      </c>
      <c r="F43" s="36">
        <v>3686544.997</v>
      </c>
      <c r="G43" s="36">
        <v>3690967.2480000001</v>
      </c>
      <c r="H43" s="36">
        <v>3740465.5920000002</v>
      </c>
      <c r="I43" s="36">
        <v>3802745.5989999999</v>
      </c>
      <c r="J43" s="36">
        <v>4106365.977</v>
      </c>
      <c r="K43" s="36">
        <v>4207931.5496999901</v>
      </c>
      <c r="L43" s="36">
        <v>4308515.95269999</v>
      </c>
      <c r="M43" s="36">
        <v>4389314.8446000004</v>
      </c>
      <c r="N43" s="36">
        <v>4494998.71749999</v>
      </c>
      <c r="O43" s="36">
        <v>4601073.9752000002</v>
      </c>
      <c r="P43" s="17">
        <v>0</v>
      </c>
      <c r="Q43" s="17">
        <v>0</v>
      </c>
      <c r="R43" s="17">
        <v>0</v>
      </c>
      <c r="S43" s="17" t="s">
        <v>168</v>
      </c>
    </row>
    <row r="44" spans="1:19" s="17" customFormat="1" x14ac:dyDescent="0.3">
      <c r="A44" s="17" t="s">
        <v>440</v>
      </c>
      <c r="B44" s="28" t="s">
        <v>65</v>
      </c>
      <c r="C44" s="17" t="s">
        <v>131</v>
      </c>
      <c r="D44" s="17" t="s">
        <v>133</v>
      </c>
      <c r="E44" s="36">
        <v>659861.15659999999</v>
      </c>
      <c r="F44" s="36">
        <v>831577.60019999999</v>
      </c>
      <c r="G44" s="36">
        <v>833806.93700000003</v>
      </c>
      <c r="H44" s="36">
        <v>846314.39</v>
      </c>
      <c r="I44" s="36">
        <v>870371.68279999995</v>
      </c>
      <c r="J44" s="36">
        <v>943980.456799999</v>
      </c>
      <c r="K44" s="36">
        <v>1010296.5047</v>
      </c>
      <c r="L44" s="36">
        <v>1080753.9612</v>
      </c>
      <c r="M44" s="36">
        <v>1143524.8507099999</v>
      </c>
      <c r="N44" s="36">
        <v>1186945.1725399899</v>
      </c>
      <c r="O44" s="36">
        <v>1236594.6729600001</v>
      </c>
      <c r="P44" s="17">
        <v>0</v>
      </c>
      <c r="Q44" s="17">
        <v>0</v>
      </c>
      <c r="R44" s="17">
        <v>0</v>
      </c>
      <c r="S44" s="17" t="s">
        <v>168</v>
      </c>
    </row>
    <row r="45" spans="1:19" s="17" customFormat="1" x14ac:dyDescent="0.3">
      <c r="A45" s="17" t="s">
        <v>440</v>
      </c>
      <c r="B45" s="28" t="s">
        <v>65</v>
      </c>
      <c r="C45" s="17" t="s">
        <v>115</v>
      </c>
      <c r="D45" s="17" t="s">
        <v>134</v>
      </c>
      <c r="E45" s="22">
        <v>12346400</v>
      </c>
      <c r="F45" s="22">
        <v>18282500</v>
      </c>
      <c r="G45" s="22">
        <v>16574700</v>
      </c>
      <c r="H45" s="22">
        <v>14015900</v>
      </c>
      <c r="I45" s="22">
        <v>14055326</v>
      </c>
      <c r="J45" s="22">
        <v>14856120</v>
      </c>
      <c r="K45" s="22">
        <v>15425600</v>
      </c>
      <c r="L45" s="22">
        <v>16454397.579</v>
      </c>
      <c r="M45" s="22">
        <v>17169591.41</v>
      </c>
      <c r="N45" s="22">
        <v>17740739.91</v>
      </c>
      <c r="O45" s="22">
        <v>18312617.100000001</v>
      </c>
      <c r="P45" s="17">
        <v>0</v>
      </c>
      <c r="Q45" s="17">
        <v>0</v>
      </c>
      <c r="R45" s="17">
        <v>0</v>
      </c>
      <c r="S45" s="17" t="s">
        <v>169</v>
      </c>
    </row>
    <row r="47" spans="1:19" x14ac:dyDescent="0.3">
      <c r="A47" s="11" t="s">
        <v>135</v>
      </c>
      <c r="E47">
        <v>1990</v>
      </c>
      <c r="F47">
        <v>2005</v>
      </c>
      <c r="G47">
        <v>2010</v>
      </c>
      <c r="H47">
        <v>2015</v>
      </c>
      <c r="I47">
        <v>2020</v>
      </c>
      <c r="J47">
        <v>2025</v>
      </c>
      <c r="K47">
        <v>2030</v>
      </c>
      <c r="L47">
        <v>2035</v>
      </c>
      <c r="M47">
        <v>2040</v>
      </c>
      <c r="N47">
        <v>2045</v>
      </c>
      <c r="O47">
        <v>2050</v>
      </c>
      <c r="P47">
        <v>2065</v>
      </c>
      <c r="Q47">
        <v>2080</v>
      </c>
      <c r="R47">
        <v>2095</v>
      </c>
      <c r="S47" t="s">
        <v>105</v>
      </c>
    </row>
    <row r="48" spans="1:19" x14ac:dyDescent="0.3">
      <c r="B48" t="s">
        <v>64</v>
      </c>
      <c r="C48" s="9" t="s">
        <v>112</v>
      </c>
      <c r="D48" s="9" t="s">
        <v>117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S48" t="s">
        <v>136</v>
      </c>
    </row>
    <row r="49" spans="1:29" x14ac:dyDescent="0.3">
      <c r="B49" t="s">
        <v>65</v>
      </c>
      <c r="C49" s="9" t="s">
        <v>112</v>
      </c>
      <c r="D49" s="9" t="s">
        <v>117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S49" t="s">
        <v>136</v>
      </c>
    </row>
    <row r="50" spans="1:29" x14ac:dyDescent="0.3">
      <c r="C50" s="9"/>
      <c r="D50" s="9"/>
    </row>
    <row r="51" spans="1:29" s="14" customFormat="1" ht="17.399999999999999" x14ac:dyDescent="0.3">
      <c r="A51" s="26" t="s">
        <v>153</v>
      </c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s="17" customFormat="1" x14ac:dyDescent="0.3">
      <c r="A52" s="17" t="s">
        <v>104</v>
      </c>
      <c r="B52" s="18" t="s">
        <v>73</v>
      </c>
      <c r="C52" s="19" t="s">
        <v>111</v>
      </c>
      <c r="D52" s="19" t="s">
        <v>154</v>
      </c>
      <c r="E52" s="20">
        <v>1990</v>
      </c>
      <c r="F52" s="20">
        <v>2005</v>
      </c>
      <c r="G52" s="20">
        <v>2010</v>
      </c>
      <c r="H52" s="20">
        <v>2015</v>
      </c>
      <c r="I52" s="20">
        <v>2020</v>
      </c>
      <c r="J52" s="20">
        <v>2025</v>
      </c>
      <c r="K52" s="20">
        <v>2030</v>
      </c>
      <c r="L52" s="20">
        <v>2035</v>
      </c>
      <c r="M52" s="20">
        <v>2040</v>
      </c>
      <c r="N52" s="20">
        <v>2045</v>
      </c>
      <c r="O52" s="20">
        <v>2050</v>
      </c>
      <c r="P52" s="20">
        <v>2055</v>
      </c>
      <c r="Q52" s="20">
        <v>2060</v>
      </c>
      <c r="R52" s="20">
        <v>2065</v>
      </c>
      <c r="S52" s="20">
        <v>2070</v>
      </c>
      <c r="T52" s="20">
        <v>2075</v>
      </c>
      <c r="U52" s="20">
        <v>2080</v>
      </c>
      <c r="V52" s="20">
        <v>2085</v>
      </c>
      <c r="W52" s="20">
        <v>2090</v>
      </c>
      <c r="X52" s="20">
        <v>2095</v>
      </c>
      <c r="Y52" s="20">
        <v>2100</v>
      </c>
      <c r="Z52" s="20" t="s">
        <v>105</v>
      </c>
      <c r="AA52" s="20"/>
      <c r="AB52" s="20"/>
      <c r="AC52" s="20"/>
    </row>
    <row r="53" spans="1:29" s="17" customFormat="1" x14ac:dyDescent="0.3">
      <c r="A53" s="17" t="s">
        <v>440</v>
      </c>
      <c r="B53" s="18" t="s">
        <v>64</v>
      </c>
      <c r="C53" s="19" t="s">
        <v>112</v>
      </c>
      <c r="D53" s="19" t="s">
        <v>117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 t="s">
        <v>155</v>
      </c>
      <c r="AA53" s="20"/>
      <c r="AB53" s="20"/>
      <c r="AC53" s="20"/>
    </row>
    <row r="54" spans="1:29" s="17" customFormat="1" x14ac:dyDescent="0.3">
      <c r="A54" s="17" t="s">
        <v>440</v>
      </c>
      <c r="B54" s="18" t="s">
        <v>64</v>
      </c>
      <c r="C54" s="19" t="s">
        <v>113</v>
      </c>
      <c r="D54" s="19" t="s">
        <v>118</v>
      </c>
      <c r="E54" s="21">
        <v>7.9557499999999997E-4</v>
      </c>
      <c r="F54" s="21">
        <v>1.14108E-4</v>
      </c>
      <c r="G54" s="21">
        <v>2.4071100000000001E-4</v>
      </c>
      <c r="H54" s="21">
        <v>2.29626E-4</v>
      </c>
      <c r="I54" s="21">
        <v>2.29626E-4</v>
      </c>
      <c r="J54" s="21">
        <v>2.29626E-4</v>
      </c>
      <c r="K54" s="21">
        <v>2.29626E-4</v>
      </c>
      <c r="L54" s="21">
        <v>2.29626E-4</v>
      </c>
      <c r="M54" s="21">
        <v>2.29626E-4</v>
      </c>
      <c r="N54" s="21">
        <v>2.29626E-4</v>
      </c>
      <c r="O54" s="21">
        <v>2.29626E-4</v>
      </c>
      <c r="P54" s="21">
        <v>2.29626E-4</v>
      </c>
      <c r="Q54" s="21">
        <v>2.29626E-4</v>
      </c>
      <c r="R54" s="21">
        <v>2.29626E-4</v>
      </c>
      <c r="S54" s="21">
        <v>2.29626E-4</v>
      </c>
      <c r="T54" s="21">
        <v>2.29626E-4</v>
      </c>
      <c r="U54" s="21">
        <v>2.29626E-4</v>
      </c>
      <c r="V54" s="21">
        <v>2.29626E-4</v>
      </c>
      <c r="W54" s="21">
        <v>2.29626E-4</v>
      </c>
      <c r="X54" s="21">
        <v>2.29626E-4</v>
      </c>
      <c r="Y54" s="21">
        <v>2.29626E-4</v>
      </c>
      <c r="Z54" s="20" t="s">
        <v>155</v>
      </c>
      <c r="AA54" s="20"/>
      <c r="AB54" s="20"/>
      <c r="AC54" s="20"/>
    </row>
    <row r="55" spans="1:29" s="17" customFormat="1" x14ac:dyDescent="0.3">
      <c r="A55" s="17" t="s">
        <v>440</v>
      </c>
      <c r="B55" s="18" t="s">
        <v>64</v>
      </c>
      <c r="C55" s="19" t="s">
        <v>113</v>
      </c>
      <c r="D55" s="19" t="s">
        <v>119</v>
      </c>
      <c r="E55" s="20">
        <v>0.201544</v>
      </c>
      <c r="F55" s="20">
        <v>0.110995</v>
      </c>
      <c r="G55" s="20">
        <v>7.1097300000000002E-2</v>
      </c>
      <c r="H55" s="20">
        <v>6.2487000000000001E-2</v>
      </c>
      <c r="I55" s="20">
        <v>6.2487000000000001E-2</v>
      </c>
      <c r="J55" s="20">
        <v>6.2487000000000001E-2</v>
      </c>
      <c r="K55" s="20">
        <v>6.2487000000000001E-2</v>
      </c>
      <c r="L55" s="20">
        <v>6.2487000000000001E-2</v>
      </c>
      <c r="M55" s="20">
        <v>6.2487000000000001E-2</v>
      </c>
      <c r="N55" s="20">
        <v>6.2487000000000001E-2</v>
      </c>
      <c r="O55" s="20">
        <v>6.2487000000000001E-2</v>
      </c>
      <c r="P55" s="20">
        <v>6.2487000000000001E-2</v>
      </c>
      <c r="Q55" s="20">
        <v>6.2487000000000001E-2</v>
      </c>
      <c r="R55" s="20">
        <v>6.2487000000000001E-2</v>
      </c>
      <c r="S55" s="20">
        <v>6.2487000000000001E-2</v>
      </c>
      <c r="T55" s="20">
        <v>6.2487000000000001E-2</v>
      </c>
      <c r="U55" s="20">
        <v>6.2487000000000001E-2</v>
      </c>
      <c r="V55" s="20">
        <v>6.2487000000000001E-2</v>
      </c>
      <c r="W55" s="20">
        <v>6.2487000000000001E-2</v>
      </c>
      <c r="X55" s="20">
        <v>6.2487000000000001E-2</v>
      </c>
      <c r="Y55" s="20">
        <v>6.2487000000000001E-2</v>
      </c>
      <c r="Z55" s="20" t="s">
        <v>155</v>
      </c>
      <c r="AA55" s="20"/>
      <c r="AB55" s="20"/>
      <c r="AC55" s="20"/>
    </row>
    <row r="56" spans="1:29" s="17" customFormat="1" x14ac:dyDescent="0.3">
      <c r="A56" s="17" t="s">
        <v>440</v>
      </c>
      <c r="B56" s="18" t="s">
        <v>64</v>
      </c>
      <c r="C56" s="19" t="s">
        <v>113</v>
      </c>
      <c r="D56" s="19" t="s">
        <v>156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 t="s">
        <v>155</v>
      </c>
      <c r="AA56" s="20"/>
      <c r="AB56" s="20"/>
      <c r="AC56" s="20"/>
    </row>
    <row r="57" spans="1:29" s="17" customFormat="1" x14ac:dyDescent="0.3">
      <c r="A57" s="17" t="s">
        <v>440</v>
      </c>
      <c r="B57" s="18" t="s">
        <v>64</v>
      </c>
      <c r="C57" s="19" t="s">
        <v>120</v>
      </c>
      <c r="D57" s="19" t="s">
        <v>121</v>
      </c>
      <c r="E57" s="20">
        <v>1</v>
      </c>
      <c r="F57" s="20">
        <v>1</v>
      </c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 t="s">
        <v>155</v>
      </c>
      <c r="AA57" s="20"/>
      <c r="AB57" s="20"/>
      <c r="AC57" s="20"/>
    </row>
    <row r="58" spans="1:29" s="17" customFormat="1" x14ac:dyDescent="0.3">
      <c r="A58" s="17" t="s">
        <v>440</v>
      </c>
      <c r="B58" s="18" t="s">
        <v>64</v>
      </c>
      <c r="C58" s="19" t="s">
        <v>120</v>
      </c>
      <c r="D58" s="19" t="s">
        <v>122</v>
      </c>
      <c r="E58" s="20">
        <v>0.388042</v>
      </c>
      <c r="F58" s="20">
        <v>0.32650699999999999</v>
      </c>
      <c r="G58" s="20">
        <v>0.29575200000000001</v>
      </c>
      <c r="H58" s="20">
        <v>0.29556500000000002</v>
      </c>
      <c r="I58" s="20">
        <v>0.29556500000000002</v>
      </c>
      <c r="J58" s="20">
        <v>0.29556500000000002</v>
      </c>
      <c r="K58" s="20">
        <v>0.29556500000000002</v>
      </c>
      <c r="L58" s="20">
        <v>0.29556500000000002</v>
      </c>
      <c r="M58" s="20">
        <v>0.29556500000000002</v>
      </c>
      <c r="N58" s="20">
        <v>0.29556500000000002</v>
      </c>
      <c r="O58" s="20">
        <v>0.29556500000000002</v>
      </c>
      <c r="P58" s="20">
        <v>0.29556500000000002</v>
      </c>
      <c r="Q58" s="20">
        <v>0.29556500000000002</v>
      </c>
      <c r="R58" s="20">
        <v>0.29556500000000002</v>
      </c>
      <c r="S58" s="20">
        <v>0.29556500000000002</v>
      </c>
      <c r="T58" s="20">
        <v>0.29556500000000002</v>
      </c>
      <c r="U58" s="20">
        <v>0.29556500000000002</v>
      </c>
      <c r="V58" s="20">
        <v>0.29556500000000002</v>
      </c>
      <c r="W58" s="20">
        <v>0.29556500000000002</v>
      </c>
      <c r="X58" s="20">
        <v>0.29556500000000002</v>
      </c>
      <c r="Y58" s="20">
        <v>0.29556500000000002</v>
      </c>
      <c r="Z58" s="20" t="s">
        <v>155</v>
      </c>
      <c r="AA58" s="20"/>
      <c r="AB58" s="20"/>
      <c r="AC58" s="20"/>
    </row>
    <row r="59" spans="1:29" s="17" customFormat="1" x14ac:dyDescent="0.3">
      <c r="A59" s="17" t="s">
        <v>440</v>
      </c>
      <c r="B59" s="18" t="s">
        <v>64</v>
      </c>
      <c r="C59" s="19" t="s">
        <v>120</v>
      </c>
      <c r="D59" s="19" t="s">
        <v>123</v>
      </c>
      <c r="E59" s="20">
        <v>0.49975799999999998</v>
      </c>
      <c r="F59" s="20">
        <v>0.48830899999999999</v>
      </c>
      <c r="G59" s="20">
        <v>0.46190100000000001</v>
      </c>
      <c r="H59" s="20">
        <v>0.45769300000000002</v>
      </c>
      <c r="I59" s="20">
        <v>0.45769300000000002</v>
      </c>
      <c r="J59" s="20">
        <v>0.45769300000000002</v>
      </c>
      <c r="K59" s="20">
        <v>0.45769300000000002</v>
      </c>
      <c r="L59" s="20">
        <v>0.45769300000000002</v>
      </c>
      <c r="M59" s="20">
        <v>0.45769300000000002</v>
      </c>
      <c r="N59" s="20">
        <v>0.45769300000000002</v>
      </c>
      <c r="O59" s="20">
        <v>0.45769300000000002</v>
      </c>
      <c r="P59" s="20">
        <v>0.45769300000000002</v>
      </c>
      <c r="Q59" s="20">
        <v>0.45769300000000002</v>
      </c>
      <c r="R59" s="20">
        <v>0.45769300000000002</v>
      </c>
      <c r="S59" s="20">
        <v>0.45769300000000002</v>
      </c>
      <c r="T59" s="20">
        <v>0.45769300000000002</v>
      </c>
      <c r="U59" s="20">
        <v>0.45769300000000002</v>
      </c>
      <c r="V59" s="20">
        <v>0.45769300000000002</v>
      </c>
      <c r="W59" s="20">
        <v>0.45769300000000002</v>
      </c>
      <c r="X59" s="20">
        <v>0.45769300000000002</v>
      </c>
      <c r="Y59" s="20">
        <v>0.45769300000000002</v>
      </c>
      <c r="Z59" s="20" t="s">
        <v>155</v>
      </c>
      <c r="AA59" s="20"/>
      <c r="AB59" s="20"/>
      <c r="AC59" s="20"/>
    </row>
    <row r="60" spans="1:29" s="17" customFormat="1" x14ac:dyDescent="0.3">
      <c r="A60" s="17" t="s">
        <v>440</v>
      </c>
      <c r="B60" s="18" t="s">
        <v>64</v>
      </c>
      <c r="C60" s="19" t="s">
        <v>114</v>
      </c>
      <c r="D60" s="19" t="s">
        <v>157</v>
      </c>
      <c r="E60" s="20">
        <v>1.5098800000000001E-2</v>
      </c>
      <c r="F60" s="20">
        <v>1.40179E-2</v>
      </c>
      <c r="G60" s="20">
        <v>1.2829399999999999E-2</v>
      </c>
      <c r="H60" s="20">
        <v>1.37751E-2</v>
      </c>
      <c r="I60" s="20">
        <v>1.37751E-2</v>
      </c>
      <c r="J60" s="20">
        <v>1.37751E-2</v>
      </c>
      <c r="K60" s="20">
        <v>1.37751E-2</v>
      </c>
      <c r="L60" s="20">
        <v>1.37751E-2</v>
      </c>
      <c r="M60" s="20">
        <v>1.37751E-2</v>
      </c>
      <c r="N60" s="20">
        <v>1.37751E-2</v>
      </c>
      <c r="O60" s="20">
        <v>1.37751E-2</v>
      </c>
      <c r="P60" s="20">
        <v>1.37751E-2</v>
      </c>
      <c r="Q60" s="20">
        <v>1.37751E-2</v>
      </c>
      <c r="R60" s="20">
        <v>1.37751E-2</v>
      </c>
      <c r="S60" s="20">
        <v>1.37751E-2</v>
      </c>
      <c r="T60" s="20">
        <v>1.37751E-2</v>
      </c>
      <c r="U60" s="20">
        <v>1.37751E-2</v>
      </c>
      <c r="V60" s="20">
        <v>1.37751E-2</v>
      </c>
      <c r="W60" s="20">
        <v>1.37751E-2</v>
      </c>
      <c r="X60" s="20">
        <v>1.37751E-2</v>
      </c>
      <c r="Y60" s="20">
        <v>1.37751E-2</v>
      </c>
      <c r="Z60" s="20" t="s">
        <v>155</v>
      </c>
      <c r="AA60" s="20"/>
      <c r="AB60" s="20"/>
      <c r="AC60" s="20"/>
    </row>
    <row r="61" spans="1:29" s="17" customFormat="1" x14ac:dyDescent="0.3">
      <c r="A61" s="17" t="s">
        <v>440</v>
      </c>
      <c r="B61" s="18" t="s">
        <v>64</v>
      </c>
      <c r="C61" s="19" t="s">
        <v>114</v>
      </c>
      <c r="D61" s="19" t="s">
        <v>124</v>
      </c>
      <c r="E61" s="20">
        <v>2.5703499999999999E-3</v>
      </c>
      <c r="F61" s="20">
        <v>1.57745E-3</v>
      </c>
      <c r="G61" s="20">
        <v>1.5847000000000001E-3</v>
      </c>
      <c r="H61" s="20">
        <v>1.4951299999999999E-3</v>
      </c>
      <c r="I61" s="20">
        <v>1.4951299999999999E-3</v>
      </c>
      <c r="J61" s="20">
        <v>1.4951299999999999E-3</v>
      </c>
      <c r="K61" s="20">
        <v>1.4951299999999999E-3</v>
      </c>
      <c r="L61" s="20">
        <v>1.4951299999999999E-3</v>
      </c>
      <c r="M61" s="20">
        <v>1.4951299999999999E-3</v>
      </c>
      <c r="N61" s="20">
        <v>1.4951299999999999E-3</v>
      </c>
      <c r="O61" s="20">
        <v>1.4951299999999999E-3</v>
      </c>
      <c r="P61" s="20">
        <v>1.4951299999999999E-3</v>
      </c>
      <c r="Q61" s="20">
        <v>1.4951299999999999E-3</v>
      </c>
      <c r="R61" s="20">
        <v>1.4951299999999999E-3</v>
      </c>
      <c r="S61" s="20">
        <v>1.4951299999999999E-3</v>
      </c>
      <c r="T61" s="20">
        <v>1.4951299999999999E-3</v>
      </c>
      <c r="U61" s="20">
        <v>1.4951299999999999E-3</v>
      </c>
      <c r="V61" s="20">
        <v>1.4951299999999999E-3</v>
      </c>
      <c r="W61" s="20">
        <v>1.4951299999999999E-3</v>
      </c>
      <c r="X61" s="20">
        <v>1.4951299999999999E-3</v>
      </c>
      <c r="Y61" s="20">
        <v>1.4951299999999999E-3</v>
      </c>
      <c r="Z61" s="20" t="s">
        <v>155</v>
      </c>
      <c r="AA61" s="20"/>
      <c r="AB61" s="20"/>
      <c r="AC61" s="20"/>
    </row>
    <row r="62" spans="1:29" s="17" customFormat="1" x14ac:dyDescent="0.3">
      <c r="A62" s="17" t="s">
        <v>440</v>
      </c>
      <c r="B62" s="18" t="s">
        <v>64</v>
      </c>
      <c r="C62" s="19" t="s">
        <v>114</v>
      </c>
      <c r="D62" s="19" t="s">
        <v>125</v>
      </c>
      <c r="E62" s="20">
        <v>0</v>
      </c>
      <c r="F62" s="20">
        <v>0</v>
      </c>
      <c r="G62" s="20">
        <v>0</v>
      </c>
      <c r="H62" s="20">
        <v>0</v>
      </c>
      <c r="I62" s="21">
        <v>5.8823499999999997E-5</v>
      </c>
      <c r="J62" s="21">
        <v>1.1764699999999999E-4</v>
      </c>
      <c r="K62" s="21">
        <v>1.7647100000000001E-4</v>
      </c>
      <c r="L62" s="21">
        <v>2.3529399999999999E-4</v>
      </c>
      <c r="M62" s="21">
        <v>2.9411800000000001E-4</v>
      </c>
      <c r="N62" s="21">
        <v>3.5294100000000001E-4</v>
      </c>
      <c r="O62" s="21">
        <v>4.1176500000000003E-4</v>
      </c>
      <c r="P62" s="21">
        <v>4.7058799999999997E-4</v>
      </c>
      <c r="Q62" s="21">
        <v>5.2941200000000005E-4</v>
      </c>
      <c r="R62" s="21">
        <v>5.8823499999999999E-4</v>
      </c>
      <c r="S62" s="21">
        <v>6.4705899999999996E-4</v>
      </c>
      <c r="T62" s="21">
        <v>7.0588200000000002E-4</v>
      </c>
      <c r="U62" s="21">
        <v>7.6470599999999998E-4</v>
      </c>
      <c r="V62" s="21">
        <v>8.2352900000000004E-4</v>
      </c>
      <c r="W62" s="21">
        <v>8.82353E-4</v>
      </c>
      <c r="X62" s="21">
        <v>9.4117599999999995E-4</v>
      </c>
      <c r="Y62" s="20">
        <v>1E-3</v>
      </c>
      <c r="Z62" s="20" t="s">
        <v>155</v>
      </c>
      <c r="AA62" s="20"/>
      <c r="AB62" s="20"/>
      <c r="AC62" s="20"/>
    </row>
    <row r="63" spans="1:29" s="17" customFormat="1" x14ac:dyDescent="0.3">
      <c r="A63" s="17" t="s">
        <v>440</v>
      </c>
      <c r="B63" s="18" t="s">
        <v>64</v>
      </c>
      <c r="C63" s="19" t="s">
        <v>114</v>
      </c>
      <c r="D63" s="19" t="s">
        <v>126</v>
      </c>
      <c r="E63" s="20">
        <v>3.5350699999999999E-2</v>
      </c>
      <c r="F63" s="20">
        <v>2.0358000000000001E-2</v>
      </c>
      <c r="G63" s="20">
        <v>1.4702099999999999E-2</v>
      </c>
      <c r="H63" s="20">
        <v>1.32408E-2</v>
      </c>
      <c r="I63" s="20">
        <v>1.32408E-2</v>
      </c>
      <c r="J63" s="20">
        <v>1.32408E-2</v>
      </c>
      <c r="K63" s="20">
        <v>1.32408E-2</v>
      </c>
      <c r="L63" s="20">
        <v>1.32408E-2</v>
      </c>
      <c r="M63" s="20">
        <v>1.32408E-2</v>
      </c>
      <c r="N63" s="20">
        <v>1.32408E-2</v>
      </c>
      <c r="O63" s="20">
        <v>1.32408E-2</v>
      </c>
      <c r="P63" s="20">
        <v>1.32408E-2</v>
      </c>
      <c r="Q63" s="20">
        <v>1.32408E-2</v>
      </c>
      <c r="R63" s="20">
        <v>1.32408E-2</v>
      </c>
      <c r="S63" s="20">
        <v>1.32408E-2</v>
      </c>
      <c r="T63" s="20">
        <v>1.32408E-2</v>
      </c>
      <c r="U63" s="20">
        <v>1.32408E-2</v>
      </c>
      <c r="V63" s="20">
        <v>1.32408E-2</v>
      </c>
      <c r="W63" s="20">
        <v>1.32408E-2</v>
      </c>
      <c r="X63" s="20">
        <v>1.32408E-2</v>
      </c>
      <c r="Y63" s="20">
        <v>1.32408E-2</v>
      </c>
      <c r="Z63" s="20" t="s">
        <v>155</v>
      </c>
      <c r="AA63" s="20"/>
      <c r="AB63" s="20"/>
      <c r="AC63" s="20"/>
    </row>
    <row r="64" spans="1:29" s="17" customFormat="1" x14ac:dyDescent="0.3">
      <c r="A64" s="17" t="s">
        <v>440</v>
      </c>
      <c r="B64" s="18" t="s">
        <v>64</v>
      </c>
      <c r="C64" s="19" t="s">
        <v>114</v>
      </c>
      <c r="D64" s="19" t="s">
        <v>158</v>
      </c>
      <c r="E64" s="20">
        <v>0.442357</v>
      </c>
      <c r="F64" s="20">
        <v>0.41068100000000002</v>
      </c>
      <c r="G64" s="20">
        <v>0.375863</v>
      </c>
      <c r="H64" s="20">
        <v>0.40357500000000002</v>
      </c>
      <c r="I64" s="20">
        <v>0.40357500000000002</v>
      </c>
      <c r="J64" s="20">
        <v>0.40357500000000002</v>
      </c>
      <c r="K64" s="20">
        <v>0.40357500000000002</v>
      </c>
      <c r="L64" s="20">
        <v>0.40357500000000002</v>
      </c>
      <c r="M64" s="20">
        <v>0.40357500000000002</v>
      </c>
      <c r="N64" s="20">
        <v>0.40357500000000002</v>
      </c>
      <c r="O64" s="20">
        <v>0.40357500000000002</v>
      </c>
      <c r="P64" s="20">
        <v>0.40357500000000002</v>
      </c>
      <c r="Q64" s="20">
        <v>0.40357500000000002</v>
      </c>
      <c r="R64" s="20">
        <v>0.40357500000000002</v>
      </c>
      <c r="S64" s="20">
        <v>0.40357500000000002</v>
      </c>
      <c r="T64" s="20">
        <v>0.40357500000000002</v>
      </c>
      <c r="U64" s="20">
        <v>0.40357500000000002</v>
      </c>
      <c r="V64" s="20">
        <v>0.40357500000000002</v>
      </c>
      <c r="W64" s="20">
        <v>0.40357500000000002</v>
      </c>
      <c r="X64" s="20">
        <v>0.40357500000000002</v>
      </c>
      <c r="Y64" s="20">
        <v>0.40357500000000002</v>
      </c>
      <c r="Z64" s="20" t="s">
        <v>155</v>
      </c>
      <c r="AA64" s="20"/>
      <c r="AB64" s="20"/>
      <c r="AC64" s="20"/>
    </row>
    <row r="65" spans="1:29" s="17" customFormat="1" x14ac:dyDescent="0.3">
      <c r="A65" s="17" t="s">
        <v>440</v>
      </c>
      <c r="B65" s="23" t="s">
        <v>64</v>
      </c>
      <c r="C65" s="19" t="s">
        <v>114</v>
      </c>
      <c r="D65" s="19" t="s">
        <v>156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 t="s">
        <v>155</v>
      </c>
      <c r="AA65" s="20"/>
      <c r="AB65" s="20"/>
      <c r="AC65" s="20"/>
    </row>
    <row r="66" spans="1:29" s="17" customFormat="1" x14ac:dyDescent="0.3">
      <c r="A66" s="17" t="s">
        <v>440</v>
      </c>
      <c r="B66" s="23" t="s">
        <v>64</v>
      </c>
      <c r="C66" s="19" t="s">
        <v>127</v>
      </c>
      <c r="D66" s="19" t="s">
        <v>128</v>
      </c>
      <c r="E66" s="20">
        <v>0.384266</v>
      </c>
      <c r="F66" s="20">
        <v>0.44448799999999999</v>
      </c>
      <c r="G66" s="20">
        <v>0.40245900000000001</v>
      </c>
      <c r="H66" s="20">
        <v>0.38813399999999998</v>
      </c>
      <c r="I66" s="20">
        <v>0.38813399999999998</v>
      </c>
      <c r="J66" s="20">
        <v>0.38813399999999998</v>
      </c>
      <c r="K66" s="20">
        <v>0.38813399999999998</v>
      </c>
      <c r="L66" s="20">
        <v>0.38813399999999998</v>
      </c>
      <c r="M66" s="20">
        <v>0.38813399999999998</v>
      </c>
      <c r="N66" s="20">
        <v>0.38813399999999998</v>
      </c>
      <c r="O66" s="20">
        <v>0.38813399999999998</v>
      </c>
      <c r="P66" s="20">
        <v>0.38813399999999998</v>
      </c>
      <c r="Q66" s="20">
        <v>0.38813399999999998</v>
      </c>
      <c r="R66" s="20">
        <v>0.38813399999999998</v>
      </c>
      <c r="S66" s="20">
        <v>0.38813399999999998</v>
      </c>
      <c r="T66" s="20">
        <v>0.38813399999999998</v>
      </c>
      <c r="U66" s="20">
        <v>0.38813399999999998</v>
      </c>
      <c r="V66" s="20">
        <v>0.38813399999999998</v>
      </c>
      <c r="W66" s="20">
        <v>0.38813399999999998</v>
      </c>
      <c r="X66" s="20">
        <v>0.38813399999999998</v>
      </c>
      <c r="Y66" s="20">
        <v>0.38813399999999998</v>
      </c>
      <c r="Z66" s="20" t="s">
        <v>155</v>
      </c>
      <c r="AA66" s="20"/>
      <c r="AB66" s="20"/>
      <c r="AC66" s="20"/>
    </row>
    <row r="67" spans="1:29" s="17" customFormat="1" x14ac:dyDescent="0.3">
      <c r="A67" s="17" t="s">
        <v>440</v>
      </c>
      <c r="B67" s="24" t="s">
        <v>64</v>
      </c>
      <c r="C67" s="17" t="s">
        <v>127</v>
      </c>
      <c r="D67" s="17" t="s">
        <v>159</v>
      </c>
      <c r="E67" s="36">
        <v>1</v>
      </c>
      <c r="F67" s="36">
        <v>1</v>
      </c>
      <c r="G67" s="36">
        <v>1</v>
      </c>
      <c r="H67" s="36">
        <v>1</v>
      </c>
      <c r="I67" s="36">
        <v>1</v>
      </c>
      <c r="J67" s="36">
        <v>1</v>
      </c>
      <c r="K67" s="36">
        <v>1</v>
      </c>
      <c r="L67" s="36">
        <v>1</v>
      </c>
      <c r="M67" s="36">
        <v>1</v>
      </c>
      <c r="N67" s="36">
        <v>1</v>
      </c>
      <c r="O67" s="36">
        <v>1</v>
      </c>
      <c r="P67" s="36">
        <v>1</v>
      </c>
      <c r="Q67" s="36">
        <v>1</v>
      </c>
      <c r="R67" s="36">
        <v>1</v>
      </c>
      <c r="S67" s="36">
        <v>1</v>
      </c>
      <c r="T67" s="36">
        <v>1</v>
      </c>
      <c r="U67" s="36">
        <v>1</v>
      </c>
      <c r="V67" s="36">
        <v>1</v>
      </c>
      <c r="W67" s="36">
        <v>1</v>
      </c>
      <c r="X67" s="36">
        <v>1</v>
      </c>
      <c r="Y67" s="17">
        <v>1</v>
      </c>
      <c r="Z67" s="17" t="s">
        <v>155</v>
      </c>
    </row>
    <row r="68" spans="1:29" s="17" customFormat="1" x14ac:dyDescent="0.3">
      <c r="A68" s="17" t="s">
        <v>440</v>
      </c>
      <c r="B68" s="24" t="s">
        <v>64</v>
      </c>
      <c r="C68" s="17" t="s">
        <v>129</v>
      </c>
      <c r="D68" s="17" t="s">
        <v>130</v>
      </c>
      <c r="E68" s="36">
        <v>1.2316300000000001E-2</v>
      </c>
      <c r="F68" s="36">
        <v>1.07405E-2</v>
      </c>
      <c r="G68" s="36">
        <v>1.1504500000000001E-2</v>
      </c>
      <c r="H68" s="36">
        <v>1.2729000000000001E-2</v>
      </c>
      <c r="I68" s="36">
        <v>1.2729000000000001E-2</v>
      </c>
      <c r="J68" s="36">
        <v>1.2729000000000001E-2</v>
      </c>
      <c r="K68" s="36">
        <v>1.2729000000000001E-2</v>
      </c>
      <c r="L68" s="36">
        <v>1.2729000000000001E-2</v>
      </c>
      <c r="M68" s="36">
        <v>1.2729000000000001E-2</v>
      </c>
      <c r="N68" s="36">
        <v>1.2729000000000001E-2</v>
      </c>
      <c r="O68" s="36">
        <v>1.2729000000000001E-2</v>
      </c>
      <c r="P68" s="36">
        <v>1.2729000000000001E-2</v>
      </c>
      <c r="Q68" s="36">
        <v>1.2729000000000001E-2</v>
      </c>
      <c r="R68" s="36">
        <v>1.2729000000000001E-2</v>
      </c>
      <c r="S68" s="36">
        <v>1.2729000000000001E-2</v>
      </c>
      <c r="T68" s="36">
        <v>1.2729000000000001E-2</v>
      </c>
      <c r="U68" s="36">
        <v>1.2729000000000001E-2</v>
      </c>
      <c r="V68" s="36">
        <v>1.2729000000000001E-2</v>
      </c>
      <c r="W68" s="36">
        <v>1.2729000000000001E-2</v>
      </c>
      <c r="X68" s="36">
        <v>1.2729000000000001E-2</v>
      </c>
      <c r="Y68" s="17">
        <v>1.2729000000000001E-2</v>
      </c>
      <c r="Z68" s="17" t="s">
        <v>155</v>
      </c>
    </row>
    <row r="69" spans="1:29" s="17" customFormat="1" x14ac:dyDescent="0.3">
      <c r="A69" s="17" t="s">
        <v>440</v>
      </c>
      <c r="B69" s="24" t="s">
        <v>64</v>
      </c>
      <c r="C69" s="17" t="s">
        <v>129</v>
      </c>
      <c r="D69" s="17" t="s">
        <v>160</v>
      </c>
      <c r="E69" s="36">
        <v>1</v>
      </c>
      <c r="F69" s="36">
        <v>1</v>
      </c>
      <c r="G69" s="36">
        <v>1</v>
      </c>
      <c r="H69" s="36">
        <v>1</v>
      </c>
      <c r="I69" s="36">
        <v>1</v>
      </c>
      <c r="J69" s="36">
        <v>1</v>
      </c>
      <c r="K69" s="36">
        <v>1</v>
      </c>
      <c r="L69" s="36">
        <v>1</v>
      </c>
      <c r="M69" s="36">
        <v>1</v>
      </c>
      <c r="N69" s="36">
        <v>1</v>
      </c>
      <c r="O69" s="36">
        <v>1</v>
      </c>
      <c r="P69" s="36">
        <v>1</v>
      </c>
      <c r="Q69" s="36">
        <v>1</v>
      </c>
      <c r="R69" s="36">
        <v>1</v>
      </c>
      <c r="S69" s="36">
        <v>1</v>
      </c>
      <c r="T69" s="36">
        <v>1</v>
      </c>
      <c r="U69" s="36">
        <v>1</v>
      </c>
      <c r="V69" s="36">
        <v>1</v>
      </c>
      <c r="W69" s="36">
        <v>1</v>
      </c>
      <c r="X69" s="36">
        <v>1</v>
      </c>
      <c r="Y69" s="17">
        <v>1</v>
      </c>
      <c r="Z69" s="17" t="s">
        <v>155</v>
      </c>
    </row>
    <row r="70" spans="1:29" s="17" customFormat="1" x14ac:dyDescent="0.3">
      <c r="A70" s="17" t="s">
        <v>440</v>
      </c>
      <c r="B70" s="24" t="s">
        <v>64</v>
      </c>
      <c r="C70" s="17" t="s">
        <v>131</v>
      </c>
      <c r="D70" s="17" t="s">
        <v>132</v>
      </c>
      <c r="E70" s="36">
        <v>1</v>
      </c>
      <c r="F70" s="36">
        <v>1</v>
      </c>
      <c r="G70" s="36">
        <v>1</v>
      </c>
      <c r="H70" s="36">
        <v>1</v>
      </c>
      <c r="I70" s="36">
        <v>1</v>
      </c>
      <c r="J70" s="36">
        <v>1</v>
      </c>
      <c r="K70" s="36">
        <v>1</v>
      </c>
      <c r="L70" s="36">
        <v>1</v>
      </c>
      <c r="M70" s="36">
        <v>1</v>
      </c>
      <c r="N70" s="36">
        <v>1</v>
      </c>
      <c r="O70" s="36">
        <v>1</v>
      </c>
      <c r="P70" s="36">
        <v>1</v>
      </c>
      <c r="Q70" s="36">
        <v>1</v>
      </c>
      <c r="R70" s="36">
        <v>1</v>
      </c>
      <c r="S70" s="36">
        <v>1</v>
      </c>
      <c r="T70" s="36">
        <v>1</v>
      </c>
      <c r="U70" s="36">
        <v>1</v>
      </c>
      <c r="V70" s="36">
        <v>1</v>
      </c>
      <c r="W70" s="36">
        <v>1</v>
      </c>
      <c r="X70" s="36">
        <v>1</v>
      </c>
      <c r="Y70" s="17">
        <v>1</v>
      </c>
      <c r="Z70" s="17" t="s">
        <v>155</v>
      </c>
    </row>
    <row r="71" spans="1:29" s="17" customFormat="1" x14ac:dyDescent="0.3">
      <c r="A71" s="17" t="s">
        <v>440</v>
      </c>
      <c r="B71" s="24" t="s">
        <v>64</v>
      </c>
      <c r="C71" s="17" t="s">
        <v>131</v>
      </c>
      <c r="D71" s="17" t="s">
        <v>133</v>
      </c>
      <c r="E71" s="36">
        <v>0.359823</v>
      </c>
      <c r="F71" s="36">
        <v>0.26042300000000002</v>
      </c>
      <c r="G71" s="36">
        <v>0.208065</v>
      </c>
      <c r="H71" s="36">
        <v>0.175646</v>
      </c>
      <c r="I71" s="36">
        <v>0.175646</v>
      </c>
      <c r="J71" s="36">
        <v>0.175646</v>
      </c>
      <c r="K71" s="36">
        <v>0.175646</v>
      </c>
      <c r="L71" s="36">
        <v>0.175646</v>
      </c>
      <c r="M71" s="36">
        <v>0.175646</v>
      </c>
      <c r="N71" s="36">
        <v>0.175646</v>
      </c>
      <c r="O71" s="36">
        <v>0.175646</v>
      </c>
      <c r="P71" s="36">
        <v>0.175646</v>
      </c>
      <c r="Q71" s="36">
        <v>0.175646</v>
      </c>
      <c r="R71" s="36">
        <v>0.175646</v>
      </c>
      <c r="S71" s="36">
        <v>0.175646</v>
      </c>
      <c r="T71" s="36">
        <v>0.175646</v>
      </c>
      <c r="U71" s="36">
        <v>0.175646</v>
      </c>
      <c r="V71" s="36">
        <v>0.175646</v>
      </c>
      <c r="W71" s="36">
        <v>0.175646</v>
      </c>
      <c r="X71" s="36">
        <v>0.175646</v>
      </c>
      <c r="Y71" s="17">
        <v>0.175646</v>
      </c>
      <c r="Z71" s="17" t="s">
        <v>155</v>
      </c>
    </row>
    <row r="72" spans="1:29" s="17" customFormat="1" x14ac:dyDescent="0.3">
      <c r="A72" s="17" t="s">
        <v>440</v>
      </c>
      <c r="B72" s="24" t="s">
        <v>64</v>
      </c>
      <c r="C72" s="17" t="s">
        <v>115</v>
      </c>
      <c r="D72" s="17" t="s">
        <v>134</v>
      </c>
      <c r="E72" s="36">
        <v>1</v>
      </c>
      <c r="F72" s="36">
        <v>1</v>
      </c>
      <c r="G72" s="36">
        <v>1</v>
      </c>
      <c r="H72" s="36">
        <v>1</v>
      </c>
      <c r="I72" s="36">
        <v>1</v>
      </c>
      <c r="J72" s="36">
        <v>1</v>
      </c>
      <c r="K72" s="36">
        <v>1</v>
      </c>
      <c r="L72" s="36">
        <v>1</v>
      </c>
      <c r="M72" s="36">
        <v>1</v>
      </c>
      <c r="N72" s="36">
        <v>1</v>
      </c>
      <c r="O72" s="36">
        <v>1</v>
      </c>
      <c r="P72" s="36">
        <v>1</v>
      </c>
      <c r="Q72" s="36">
        <v>1</v>
      </c>
      <c r="R72" s="36">
        <v>1</v>
      </c>
      <c r="S72" s="36">
        <v>1</v>
      </c>
      <c r="T72" s="36">
        <v>1</v>
      </c>
      <c r="U72" s="36">
        <v>1</v>
      </c>
      <c r="V72" s="36">
        <v>1</v>
      </c>
      <c r="W72" s="36">
        <v>1</v>
      </c>
      <c r="X72" s="36">
        <v>1</v>
      </c>
      <c r="Y72" s="17">
        <v>1</v>
      </c>
      <c r="Z72" s="17" t="s">
        <v>155</v>
      </c>
    </row>
    <row r="73" spans="1:29" s="17" customFormat="1" x14ac:dyDescent="0.3">
      <c r="A73" s="17" t="s">
        <v>440</v>
      </c>
      <c r="B73" s="24" t="s">
        <v>65</v>
      </c>
      <c r="C73" s="17" t="s">
        <v>112</v>
      </c>
      <c r="D73" s="17" t="s">
        <v>117</v>
      </c>
      <c r="E73" s="36">
        <v>1</v>
      </c>
      <c r="F73" s="36">
        <v>1</v>
      </c>
      <c r="G73" s="36">
        <v>1</v>
      </c>
      <c r="H73" s="36">
        <v>1</v>
      </c>
      <c r="I73" s="36">
        <v>1</v>
      </c>
      <c r="J73" s="36">
        <v>1</v>
      </c>
      <c r="K73" s="36">
        <v>1</v>
      </c>
      <c r="L73" s="36">
        <v>1</v>
      </c>
      <c r="M73" s="36">
        <v>1</v>
      </c>
      <c r="N73" s="36">
        <v>1</v>
      </c>
      <c r="O73" s="36">
        <v>1</v>
      </c>
      <c r="P73" s="36">
        <v>1</v>
      </c>
      <c r="Q73" s="36">
        <v>1</v>
      </c>
      <c r="R73" s="36">
        <v>1</v>
      </c>
      <c r="S73" s="36">
        <v>1</v>
      </c>
      <c r="T73" s="36">
        <v>1</v>
      </c>
      <c r="U73" s="36">
        <v>1</v>
      </c>
      <c r="V73" s="36">
        <v>1</v>
      </c>
      <c r="W73" s="36">
        <v>1</v>
      </c>
      <c r="X73" s="36">
        <v>1</v>
      </c>
      <c r="Y73" s="17">
        <v>1</v>
      </c>
      <c r="Z73" s="17" t="s">
        <v>155</v>
      </c>
    </row>
    <row r="74" spans="1:29" s="17" customFormat="1" x14ac:dyDescent="0.3">
      <c r="A74" s="17" t="s">
        <v>440</v>
      </c>
      <c r="B74" s="24" t="s">
        <v>65</v>
      </c>
      <c r="C74" s="17" t="s">
        <v>113</v>
      </c>
      <c r="D74" s="17" t="s">
        <v>118</v>
      </c>
      <c r="E74" s="22">
        <v>4.7439200000000002E-4</v>
      </c>
      <c r="F74" s="22">
        <v>4.8746199999999998E-4</v>
      </c>
      <c r="G74" s="22">
        <v>9.3373000000000002E-4</v>
      </c>
      <c r="H74" s="22">
        <v>8.18087E-4</v>
      </c>
      <c r="I74" s="22">
        <v>8.18087E-4</v>
      </c>
      <c r="J74" s="22">
        <v>8.18087E-4</v>
      </c>
      <c r="K74" s="22">
        <v>8.18087E-4</v>
      </c>
      <c r="L74" s="22">
        <v>8.18087E-4</v>
      </c>
      <c r="M74" s="22">
        <v>8.18087E-4</v>
      </c>
      <c r="N74" s="22">
        <v>8.18087E-4</v>
      </c>
      <c r="O74" s="22">
        <v>8.18087E-4</v>
      </c>
      <c r="P74" s="22">
        <v>8.18087E-4</v>
      </c>
      <c r="Q74" s="22">
        <v>8.18087E-4</v>
      </c>
      <c r="R74" s="22">
        <v>8.18087E-4</v>
      </c>
      <c r="S74" s="22">
        <v>8.18087E-4</v>
      </c>
      <c r="T74" s="22">
        <v>8.18087E-4</v>
      </c>
      <c r="U74" s="22">
        <v>8.18087E-4</v>
      </c>
      <c r="V74" s="22">
        <v>8.18087E-4</v>
      </c>
      <c r="W74" s="22">
        <v>8.18087E-4</v>
      </c>
      <c r="X74" s="22">
        <v>8.18087E-4</v>
      </c>
      <c r="Y74" s="22">
        <v>8.18087E-4</v>
      </c>
      <c r="Z74" s="17" t="s">
        <v>155</v>
      </c>
    </row>
    <row r="75" spans="1:29" s="17" customFormat="1" x14ac:dyDescent="0.3">
      <c r="A75" s="17" t="s">
        <v>440</v>
      </c>
      <c r="B75" s="24" t="s">
        <v>65</v>
      </c>
      <c r="C75" s="17" t="s">
        <v>113</v>
      </c>
      <c r="D75" s="17" t="s">
        <v>119</v>
      </c>
      <c r="E75" s="36">
        <v>1.54354E-2</v>
      </c>
      <c r="F75" s="36">
        <v>1.49341E-2</v>
      </c>
      <c r="G75" s="36">
        <v>1.4138100000000001E-2</v>
      </c>
      <c r="H75" s="36">
        <v>1.46433E-2</v>
      </c>
      <c r="I75" s="36">
        <v>1.46433E-2</v>
      </c>
      <c r="J75" s="36">
        <v>1.46433E-2</v>
      </c>
      <c r="K75" s="36">
        <v>1.46433E-2</v>
      </c>
      <c r="L75" s="36">
        <v>1.46433E-2</v>
      </c>
      <c r="M75" s="36">
        <v>1.46433E-2</v>
      </c>
      <c r="N75" s="36">
        <v>1.46433E-2</v>
      </c>
      <c r="O75" s="36">
        <v>1.46433E-2</v>
      </c>
      <c r="P75" s="36">
        <v>1.46433E-2</v>
      </c>
      <c r="Q75" s="36">
        <v>1.46433E-2</v>
      </c>
      <c r="R75" s="36">
        <v>1.46433E-2</v>
      </c>
      <c r="S75" s="36">
        <v>1.46433E-2</v>
      </c>
      <c r="T75" s="36">
        <v>1.46433E-2</v>
      </c>
      <c r="U75" s="36">
        <v>1.46433E-2</v>
      </c>
      <c r="V75" s="36">
        <v>1.46433E-2</v>
      </c>
      <c r="W75" s="36">
        <v>1.46433E-2</v>
      </c>
      <c r="X75" s="36">
        <v>1.46433E-2</v>
      </c>
      <c r="Y75" s="17">
        <v>1.46433E-2</v>
      </c>
      <c r="Z75" s="17" t="s">
        <v>155</v>
      </c>
    </row>
    <row r="76" spans="1:29" s="17" customFormat="1" x14ac:dyDescent="0.3">
      <c r="A76" s="17" t="s">
        <v>440</v>
      </c>
      <c r="B76" s="24" t="s">
        <v>65</v>
      </c>
      <c r="C76" s="17" t="s">
        <v>113</v>
      </c>
      <c r="D76" s="17" t="s">
        <v>156</v>
      </c>
      <c r="E76" s="36">
        <v>1</v>
      </c>
      <c r="F76" s="36">
        <v>1</v>
      </c>
      <c r="G76" s="36">
        <v>1</v>
      </c>
      <c r="H76" s="36">
        <v>1</v>
      </c>
      <c r="I76" s="36">
        <v>1</v>
      </c>
      <c r="J76" s="36">
        <v>1</v>
      </c>
      <c r="K76" s="36">
        <v>1</v>
      </c>
      <c r="L76" s="36">
        <v>1</v>
      </c>
      <c r="M76" s="36">
        <v>1</v>
      </c>
      <c r="N76" s="36">
        <v>1</v>
      </c>
      <c r="O76" s="36">
        <v>1</v>
      </c>
      <c r="P76" s="36">
        <v>1</v>
      </c>
      <c r="Q76" s="36">
        <v>1</v>
      </c>
      <c r="R76" s="36">
        <v>1</v>
      </c>
      <c r="S76" s="36">
        <v>1</v>
      </c>
      <c r="T76" s="36">
        <v>1</v>
      </c>
      <c r="U76" s="36">
        <v>1</v>
      </c>
      <c r="V76" s="36">
        <v>1</v>
      </c>
      <c r="W76" s="36">
        <v>1</v>
      </c>
      <c r="X76" s="36">
        <v>1</v>
      </c>
      <c r="Y76" s="17">
        <v>1</v>
      </c>
      <c r="Z76" s="17" t="s">
        <v>155</v>
      </c>
    </row>
    <row r="77" spans="1:29" s="17" customFormat="1" x14ac:dyDescent="0.3">
      <c r="A77" s="17" t="s">
        <v>440</v>
      </c>
      <c r="B77" s="24" t="s">
        <v>65</v>
      </c>
      <c r="C77" s="17" t="s">
        <v>120</v>
      </c>
      <c r="D77" s="17" t="s">
        <v>121</v>
      </c>
      <c r="E77" s="36">
        <v>1</v>
      </c>
      <c r="F77" s="36">
        <v>1</v>
      </c>
      <c r="G77" s="36">
        <v>1</v>
      </c>
      <c r="H77" s="36">
        <v>1</v>
      </c>
      <c r="I77" s="36">
        <v>1</v>
      </c>
      <c r="J77" s="36">
        <v>1</v>
      </c>
      <c r="K77" s="36">
        <v>1</v>
      </c>
      <c r="L77" s="36">
        <v>1</v>
      </c>
      <c r="M77" s="36">
        <v>1</v>
      </c>
      <c r="N77" s="36">
        <v>1</v>
      </c>
      <c r="O77" s="36">
        <v>1</v>
      </c>
      <c r="P77" s="36">
        <v>1</v>
      </c>
      <c r="Q77" s="36">
        <v>1</v>
      </c>
      <c r="R77" s="36">
        <v>1</v>
      </c>
      <c r="S77" s="36">
        <v>1</v>
      </c>
      <c r="T77" s="36">
        <v>1</v>
      </c>
      <c r="U77" s="36">
        <v>1</v>
      </c>
      <c r="V77" s="36">
        <v>1</v>
      </c>
      <c r="W77" s="36">
        <v>1</v>
      </c>
      <c r="X77" s="36">
        <v>1</v>
      </c>
      <c r="Y77" s="17">
        <v>1</v>
      </c>
      <c r="Z77" s="17" t="s">
        <v>155</v>
      </c>
    </row>
    <row r="78" spans="1:29" s="17" customFormat="1" x14ac:dyDescent="0.3">
      <c r="A78" s="17" t="s">
        <v>440</v>
      </c>
      <c r="B78" s="24" t="s">
        <v>65</v>
      </c>
      <c r="C78" s="17" t="s">
        <v>120</v>
      </c>
      <c r="D78" s="17" t="s">
        <v>122</v>
      </c>
      <c r="E78" s="36">
        <v>0.423821</v>
      </c>
      <c r="F78" s="36">
        <v>0.42169499999999999</v>
      </c>
      <c r="G78" s="36">
        <v>0.40509299999999998</v>
      </c>
      <c r="H78" s="36">
        <v>0.40347699999999997</v>
      </c>
      <c r="I78" s="36">
        <v>0.40347699999999997</v>
      </c>
      <c r="J78" s="36">
        <v>0.40347699999999997</v>
      </c>
      <c r="K78" s="36">
        <v>0.40347699999999997</v>
      </c>
      <c r="L78" s="36">
        <v>0.40347699999999997</v>
      </c>
      <c r="M78" s="36">
        <v>0.40347699999999997</v>
      </c>
      <c r="N78" s="36">
        <v>0.40347699999999997</v>
      </c>
      <c r="O78" s="36">
        <v>0.40347699999999997</v>
      </c>
      <c r="P78" s="36">
        <v>0.40347699999999997</v>
      </c>
      <c r="Q78" s="36">
        <v>0.40347699999999997</v>
      </c>
      <c r="R78" s="36">
        <v>0.40347699999999997</v>
      </c>
      <c r="S78" s="36">
        <v>0.40347699999999997</v>
      </c>
      <c r="T78" s="36">
        <v>0.40347699999999997</v>
      </c>
      <c r="U78" s="36">
        <v>0.40347699999999997</v>
      </c>
      <c r="V78" s="36">
        <v>0.40347699999999997</v>
      </c>
      <c r="W78" s="36">
        <v>0.40347699999999997</v>
      </c>
      <c r="X78" s="36">
        <v>0.40347699999999997</v>
      </c>
      <c r="Y78" s="17">
        <v>0.40347699999999997</v>
      </c>
      <c r="Z78" s="17" t="s">
        <v>155</v>
      </c>
    </row>
    <row r="79" spans="1:29" s="17" customFormat="1" x14ac:dyDescent="0.3">
      <c r="A79" s="17" t="s">
        <v>440</v>
      </c>
      <c r="B79" s="24" t="s">
        <v>65</v>
      </c>
      <c r="C79" s="17" t="s">
        <v>120</v>
      </c>
      <c r="D79" s="17" t="s">
        <v>123</v>
      </c>
      <c r="E79" s="36">
        <v>0.35778700000000002</v>
      </c>
      <c r="F79" s="36">
        <v>0.35619699999999999</v>
      </c>
      <c r="G79" s="36">
        <v>0.34202900000000003</v>
      </c>
      <c r="H79" s="36">
        <v>0.33907500000000002</v>
      </c>
      <c r="I79" s="36">
        <v>0.33907500000000002</v>
      </c>
      <c r="J79" s="36">
        <v>0.33907500000000002</v>
      </c>
      <c r="K79" s="36">
        <v>0.33907500000000002</v>
      </c>
      <c r="L79" s="36">
        <v>0.33907500000000002</v>
      </c>
      <c r="M79" s="36">
        <v>0.33907500000000002</v>
      </c>
      <c r="N79" s="36">
        <v>0.33907500000000002</v>
      </c>
      <c r="O79" s="36">
        <v>0.33907500000000002</v>
      </c>
      <c r="P79" s="36">
        <v>0.33907500000000002</v>
      </c>
      <c r="Q79" s="36">
        <v>0.33907500000000002</v>
      </c>
      <c r="R79" s="36">
        <v>0.33907500000000002</v>
      </c>
      <c r="S79" s="36">
        <v>0.33907500000000002</v>
      </c>
      <c r="T79" s="36">
        <v>0.33907500000000002</v>
      </c>
      <c r="U79" s="36">
        <v>0.33907500000000002</v>
      </c>
      <c r="V79" s="36">
        <v>0.33907500000000002</v>
      </c>
      <c r="W79" s="36">
        <v>0.33907500000000002</v>
      </c>
      <c r="X79" s="36">
        <v>0.33907500000000002</v>
      </c>
      <c r="Y79" s="17">
        <v>0.33907500000000002</v>
      </c>
      <c r="Z79" s="17" t="s">
        <v>155</v>
      </c>
    </row>
    <row r="80" spans="1:29" s="17" customFormat="1" x14ac:dyDescent="0.3">
      <c r="A80" s="17" t="s">
        <v>440</v>
      </c>
      <c r="B80" s="24" t="s">
        <v>65</v>
      </c>
      <c r="C80" s="17" t="s">
        <v>114</v>
      </c>
      <c r="D80" s="17" t="s">
        <v>157</v>
      </c>
      <c r="E80" s="36">
        <v>2.1260299999999999E-2</v>
      </c>
      <c r="F80" s="36">
        <v>2.3236E-2</v>
      </c>
      <c r="G80" s="36">
        <v>2.3265500000000001E-2</v>
      </c>
      <c r="H80" s="36">
        <v>2.39423E-2</v>
      </c>
      <c r="I80" s="36">
        <v>2.39423E-2</v>
      </c>
      <c r="J80" s="36">
        <v>2.39423E-2</v>
      </c>
      <c r="K80" s="36">
        <v>2.39423E-2</v>
      </c>
      <c r="L80" s="36">
        <v>2.39423E-2</v>
      </c>
      <c r="M80" s="36">
        <v>2.39423E-2</v>
      </c>
      <c r="N80" s="36">
        <v>2.39423E-2</v>
      </c>
      <c r="O80" s="36">
        <v>2.39423E-2</v>
      </c>
      <c r="P80" s="36">
        <v>2.39423E-2</v>
      </c>
      <c r="Q80" s="36">
        <v>2.39423E-2</v>
      </c>
      <c r="R80" s="36">
        <v>2.39423E-2</v>
      </c>
      <c r="S80" s="36">
        <v>2.39423E-2</v>
      </c>
      <c r="T80" s="36">
        <v>2.39423E-2</v>
      </c>
      <c r="U80" s="36">
        <v>2.39423E-2</v>
      </c>
      <c r="V80" s="36">
        <v>2.39423E-2</v>
      </c>
      <c r="W80" s="36">
        <v>2.39423E-2</v>
      </c>
      <c r="X80" s="36">
        <v>2.39423E-2</v>
      </c>
      <c r="Y80" s="17">
        <v>2.39423E-2</v>
      </c>
      <c r="Z80" s="17" t="s">
        <v>155</v>
      </c>
    </row>
    <row r="81" spans="1:26" s="17" customFormat="1" x14ac:dyDescent="0.3">
      <c r="A81" s="17" t="s">
        <v>440</v>
      </c>
      <c r="B81" s="24" t="s">
        <v>65</v>
      </c>
      <c r="C81" s="17" t="s">
        <v>114</v>
      </c>
      <c r="D81" s="17" t="s">
        <v>124</v>
      </c>
      <c r="E81" s="36">
        <v>5.0770099999999999E-3</v>
      </c>
      <c r="F81" s="36">
        <v>6.2876900000000003E-3</v>
      </c>
      <c r="G81" s="36">
        <v>7.5431500000000002E-3</v>
      </c>
      <c r="H81" s="36">
        <v>8.0709300000000005E-3</v>
      </c>
      <c r="I81" s="36">
        <v>8.0709300000000005E-3</v>
      </c>
      <c r="J81" s="36">
        <v>8.0709300000000005E-3</v>
      </c>
      <c r="K81" s="36">
        <v>8.0709300000000005E-3</v>
      </c>
      <c r="L81" s="36">
        <v>8.0709300000000005E-3</v>
      </c>
      <c r="M81" s="36">
        <v>8.0709300000000005E-3</v>
      </c>
      <c r="N81" s="36">
        <v>8.0709300000000005E-3</v>
      </c>
      <c r="O81" s="36">
        <v>8.0709300000000005E-3</v>
      </c>
      <c r="P81" s="36">
        <v>8.0709300000000005E-3</v>
      </c>
      <c r="Q81" s="36">
        <v>8.0709300000000005E-3</v>
      </c>
      <c r="R81" s="36">
        <v>8.0709300000000005E-3</v>
      </c>
      <c r="S81" s="36">
        <v>8.0709300000000005E-3</v>
      </c>
      <c r="T81" s="36">
        <v>8.0709300000000005E-3</v>
      </c>
      <c r="U81" s="36">
        <v>8.0709300000000005E-3</v>
      </c>
      <c r="V81" s="36">
        <v>8.0709300000000005E-3</v>
      </c>
      <c r="W81" s="36">
        <v>8.0709300000000005E-3</v>
      </c>
      <c r="X81" s="36">
        <v>8.0709300000000005E-3</v>
      </c>
      <c r="Y81" s="17">
        <v>8.0709300000000005E-3</v>
      </c>
      <c r="Z81" s="17" t="s">
        <v>155</v>
      </c>
    </row>
    <row r="82" spans="1:26" s="17" customFormat="1" x14ac:dyDescent="0.3">
      <c r="A82" s="17" t="s">
        <v>440</v>
      </c>
      <c r="B82" s="24" t="s">
        <v>65</v>
      </c>
      <c r="C82" s="17" t="s">
        <v>114</v>
      </c>
      <c r="D82" s="17" t="s">
        <v>125</v>
      </c>
      <c r="E82" s="36">
        <v>3.1317300000000001E-3</v>
      </c>
      <c r="F82" s="36">
        <v>2.5906100000000001E-3</v>
      </c>
      <c r="G82" s="36">
        <v>2.3641000000000001E-3</v>
      </c>
      <c r="H82" s="36">
        <v>2.40216E-3</v>
      </c>
      <c r="I82" s="36">
        <v>2.3196800000000002E-3</v>
      </c>
      <c r="J82" s="36">
        <v>2.2372E-3</v>
      </c>
      <c r="K82" s="36">
        <v>2.1547200000000002E-3</v>
      </c>
      <c r="L82" s="36">
        <v>2.0722399999999999E-3</v>
      </c>
      <c r="M82" s="36">
        <v>1.9897600000000001E-3</v>
      </c>
      <c r="N82" s="36">
        <v>1.9072799999999999E-3</v>
      </c>
      <c r="O82" s="36">
        <v>1.8247999999999999E-3</v>
      </c>
      <c r="P82" s="36">
        <v>1.7423199999999999E-3</v>
      </c>
      <c r="Q82" s="36">
        <v>1.6598400000000001E-3</v>
      </c>
      <c r="R82" s="36">
        <v>1.5773600000000001E-3</v>
      </c>
      <c r="S82" s="36">
        <v>1.4948800000000001E-3</v>
      </c>
      <c r="T82" s="36">
        <v>1.4124000000000001E-3</v>
      </c>
      <c r="U82" s="36">
        <v>1.3299200000000001E-3</v>
      </c>
      <c r="V82" s="36">
        <v>1.2474400000000001E-3</v>
      </c>
      <c r="W82" s="36">
        <v>1.16496E-3</v>
      </c>
      <c r="X82" s="36">
        <v>1.08248E-3</v>
      </c>
      <c r="Y82" s="17">
        <v>1E-3</v>
      </c>
      <c r="Z82" s="17" t="s">
        <v>155</v>
      </c>
    </row>
    <row r="83" spans="1:26" s="17" customFormat="1" x14ac:dyDescent="0.3">
      <c r="A83" s="17" t="s">
        <v>440</v>
      </c>
      <c r="B83" s="24" t="s">
        <v>65</v>
      </c>
      <c r="C83" s="17" t="s">
        <v>114</v>
      </c>
      <c r="D83" s="17" t="s">
        <v>126</v>
      </c>
      <c r="E83" s="36">
        <v>5.5995400000000001E-2</v>
      </c>
      <c r="F83" s="36">
        <v>5.3605899999999998E-2</v>
      </c>
      <c r="G83" s="36">
        <v>4.9826000000000002E-2</v>
      </c>
      <c r="H83" s="36">
        <v>5.0963399999999999E-2</v>
      </c>
      <c r="I83" s="36">
        <v>5.0963399999999999E-2</v>
      </c>
      <c r="J83" s="36">
        <v>5.0963399999999999E-2</v>
      </c>
      <c r="K83" s="36">
        <v>5.0963399999999999E-2</v>
      </c>
      <c r="L83" s="36">
        <v>5.0963399999999999E-2</v>
      </c>
      <c r="M83" s="36">
        <v>5.0963399999999999E-2</v>
      </c>
      <c r="N83" s="36">
        <v>5.0963399999999999E-2</v>
      </c>
      <c r="O83" s="36">
        <v>5.0963399999999999E-2</v>
      </c>
      <c r="P83" s="36">
        <v>5.0963399999999999E-2</v>
      </c>
      <c r="Q83" s="36">
        <v>5.0963399999999999E-2</v>
      </c>
      <c r="R83" s="36">
        <v>5.0963399999999999E-2</v>
      </c>
      <c r="S83" s="36">
        <v>5.0963399999999999E-2</v>
      </c>
      <c r="T83" s="36">
        <v>5.0963399999999999E-2</v>
      </c>
      <c r="U83" s="36">
        <v>5.0963399999999999E-2</v>
      </c>
      <c r="V83" s="36">
        <v>5.0963399999999999E-2</v>
      </c>
      <c r="W83" s="36">
        <v>5.0963399999999999E-2</v>
      </c>
      <c r="X83" s="36">
        <v>5.0963399999999999E-2</v>
      </c>
      <c r="Y83" s="17">
        <v>5.0963399999999999E-2</v>
      </c>
      <c r="Z83" s="17" t="s">
        <v>155</v>
      </c>
    </row>
    <row r="84" spans="1:26" s="17" customFormat="1" x14ac:dyDescent="0.3">
      <c r="A84" s="17" t="s">
        <v>440</v>
      </c>
      <c r="B84" s="24" t="s">
        <v>65</v>
      </c>
      <c r="C84" s="17" t="s">
        <v>114</v>
      </c>
      <c r="D84" s="17" t="s">
        <v>158</v>
      </c>
      <c r="E84" s="17">
        <v>0.62284799999999996</v>
      </c>
      <c r="F84" s="17">
        <v>0.68072999999999995</v>
      </c>
      <c r="G84" s="17">
        <v>0.68160699999999996</v>
      </c>
      <c r="H84" s="17">
        <v>0.701434</v>
      </c>
      <c r="I84" s="17">
        <v>0.701434</v>
      </c>
      <c r="J84" s="17">
        <v>0.701434</v>
      </c>
      <c r="K84" s="17">
        <v>0.701434</v>
      </c>
      <c r="L84" s="17">
        <v>0.701434</v>
      </c>
      <c r="M84" s="17">
        <v>0.701434</v>
      </c>
      <c r="N84" s="17">
        <v>0.701434</v>
      </c>
      <c r="O84" s="17">
        <v>0.701434</v>
      </c>
      <c r="P84" s="17">
        <v>0.701434</v>
      </c>
      <c r="Q84" s="17">
        <v>0.701434</v>
      </c>
      <c r="R84" s="17">
        <v>0.701434</v>
      </c>
      <c r="S84" s="17">
        <v>0.701434</v>
      </c>
      <c r="T84" s="17">
        <v>0.701434</v>
      </c>
      <c r="U84" s="17">
        <v>0.701434</v>
      </c>
      <c r="V84" s="17">
        <v>0.701434</v>
      </c>
      <c r="W84" s="17">
        <v>0.701434</v>
      </c>
      <c r="X84" s="17">
        <v>0.701434</v>
      </c>
      <c r="Y84" s="17">
        <v>0.701434</v>
      </c>
      <c r="Z84" s="17" t="s">
        <v>155</v>
      </c>
    </row>
    <row r="85" spans="1:26" s="17" customFormat="1" x14ac:dyDescent="0.3">
      <c r="A85" s="17" t="s">
        <v>440</v>
      </c>
      <c r="B85" s="24" t="s">
        <v>65</v>
      </c>
      <c r="C85" s="17" t="s">
        <v>114</v>
      </c>
      <c r="D85" s="17" t="s">
        <v>156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 t="s">
        <v>155</v>
      </c>
    </row>
    <row r="86" spans="1:26" s="17" customFormat="1" x14ac:dyDescent="0.3">
      <c r="A86" s="17" t="s">
        <v>440</v>
      </c>
      <c r="B86" s="24" t="s">
        <v>65</v>
      </c>
      <c r="C86" s="17" t="s">
        <v>127</v>
      </c>
      <c r="D86" s="17" t="s">
        <v>128</v>
      </c>
      <c r="E86" s="17">
        <v>3.5795199999999999E-2</v>
      </c>
      <c r="F86" s="17">
        <v>4.9430200000000001E-2</v>
      </c>
      <c r="G86" s="17">
        <v>4.9579100000000001E-2</v>
      </c>
      <c r="H86" s="17">
        <v>5.2677799999999997E-2</v>
      </c>
      <c r="I86" s="17">
        <v>5.2677799999999997E-2</v>
      </c>
      <c r="J86" s="17">
        <v>5.2677799999999997E-2</v>
      </c>
      <c r="K86" s="17">
        <v>5.2677799999999997E-2</v>
      </c>
      <c r="L86" s="17">
        <v>5.2677799999999997E-2</v>
      </c>
      <c r="M86" s="17">
        <v>5.2677799999999997E-2</v>
      </c>
      <c r="N86" s="17">
        <v>5.2677799999999997E-2</v>
      </c>
      <c r="O86" s="17">
        <v>5.2677799999999997E-2</v>
      </c>
      <c r="P86" s="17">
        <v>5.2677799999999997E-2</v>
      </c>
      <c r="Q86" s="17">
        <v>5.2677799999999997E-2</v>
      </c>
      <c r="R86" s="17">
        <v>5.2677799999999997E-2</v>
      </c>
      <c r="S86" s="17">
        <v>5.2677799999999997E-2</v>
      </c>
      <c r="T86" s="17">
        <v>5.2677799999999997E-2</v>
      </c>
      <c r="U86" s="17">
        <v>5.2677799999999997E-2</v>
      </c>
      <c r="V86" s="17">
        <v>5.2677799999999997E-2</v>
      </c>
      <c r="W86" s="17">
        <v>5.2677799999999997E-2</v>
      </c>
      <c r="X86" s="17">
        <v>5.2677799999999997E-2</v>
      </c>
      <c r="Y86" s="17">
        <v>5.2677799999999997E-2</v>
      </c>
      <c r="Z86" s="17" t="s">
        <v>155</v>
      </c>
    </row>
    <row r="87" spans="1:26" s="17" customFormat="1" x14ac:dyDescent="0.3">
      <c r="A87" s="17" t="s">
        <v>440</v>
      </c>
      <c r="B87" s="24" t="s">
        <v>65</v>
      </c>
      <c r="C87" s="17" t="s">
        <v>127</v>
      </c>
      <c r="D87" s="17" t="s">
        <v>159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17">
        <v>1</v>
      </c>
      <c r="O87" s="17">
        <v>1</v>
      </c>
      <c r="P87" s="17">
        <v>1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>
        <v>1</v>
      </c>
      <c r="X87" s="17">
        <v>1</v>
      </c>
      <c r="Y87" s="17">
        <v>1</v>
      </c>
      <c r="Z87" s="17" t="s">
        <v>155</v>
      </c>
    </row>
    <row r="88" spans="1:26" s="17" customFormat="1" x14ac:dyDescent="0.3">
      <c r="A88" s="17" t="s">
        <v>440</v>
      </c>
      <c r="B88" s="24" t="s">
        <v>65</v>
      </c>
      <c r="C88" s="17" t="s">
        <v>129</v>
      </c>
      <c r="D88" s="17" t="s">
        <v>130</v>
      </c>
      <c r="E88" s="17">
        <v>1.8978999999999999E-2</v>
      </c>
      <c r="F88" s="17">
        <v>1.9852999999999999E-2</v>
      </c>
      <c r="G88" s="17">
        <v>1.9424E-2</v>
      </c>
      <c r="H88" s="17">
        <v>1.9504000000000001E-2</v>
      </c>
      <c r="I88" s="17">
        <v>1.9504000000000001E-2</v>
      </c>
      <c r="J88" s="17">
        <v>1.9504000000000001E-2</v>
      </c>
      <c r="K88" s="17">
        <v>1.9504000000000001E-2</v>
      </c>
      <c r="L88" s="17">
        <v>1.9504000000000001E-2</v>
      </c>
      <c r="M88" s="17">
        <v>1.9504000000000001E-2</v>
      </c>
      <c r="N88" s="17">
        <v>1.9504000000000001E-2</v>
      </c>
      <c r="O88" s="17">
        <v>1.9504000000000001E-2</v>
      </c>
      <c r="P88" s="17">
        <v>1.9504000000000001E-2</v>
      </c>
      <c r="Q88" s="17">
        <v>1.9504000000000001E-2</v>
      </c>
      <c r="R88" s="17">
        <v>1.9504000000000001E-2</v>
      </c>
      <c r="S88" s="17">
        <v>1.9504000000000001E-2</v>
      </c>
      <c r="T88" s="17">
        <v>1.9504000000000001E-2</v>
      </c>
      <c r="U88" s="17">
        <v>1.9504000000000001E-2</v>
      </c>
      <c r="V88" s="17">
        <v>1.9504000000000001E-2</v>
      </c>
      <c r="W88" s="17">
        <v>1.9504000000000001E-2</v>
      </c>
      <c r="X88" s="17">
        <v>1.9504000000000001E-2</v>
      </c>
      <c r="Y88" s="17">
        <v>1.9504000000000001E-2</v>
      </c>
      <c r="Z88" s="17" t="s">
        <v>155</v>
      </c>
    </row>
    <row r="89" spans="1:26" s="17" customFormat="1" x14ac:dyDescent="0.3">
      <c r="A89" s="17" t="s">
        <v>440</v>
      </c>
      <c r="B89" s="24" t="s">
        <v>65</v>
      </c>
      <c r="C89" s="17" t="s">
        <v>129</v>
      </c>
      <c r="D89" s="17" t="s">
        <v>160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 t="s">
        <v>155</v>
      </c>
    </row>
    <row r="90" spans="1:26" s="17" customFormat="1" x14ac:dyDescent="0.3">
      <c r="A90" s="17" t="s">
        <v>440</v>
      </c>
      <c r="B90" s="24" t="s">
        <v>65</v>
      </c>
      <c r="C90" s="17" t="s">
        <v>131</v>
      </c>
      <c r="D90" s="17" t="s">
        <v>132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 t="s">
        <v>155</v>
      </c>
    </row>
    <row r="91" spans="1:26" s="17" customFormat="1" x14ac:dyDescent="0.3">
      <c r="A91" s="17" t="s">
        <v>440</v>
      </c>
      <c r="B91" s="24" t="s">
        <v>65</v>
      </c>
      <c r="C91" s="17" t="s">
        <v>131</v>
      </c>
      <c r="D91" s="17" t="s">
        <v>133</v>
      </c>
      <c r="E91" s="17">
        <v>3.96516</v>
      </c>
      <c r="F91" s="17">
        <v>3.6748599999999998</v>
      </c>
      <c r="G91" s="17">
        <v>3.5106099999999998</v>
      </c>
      <c r="H91" s="17">
        <v>3.4653999999999998</v>
      </c>
      <c r="I91" s="17">
        <v>3.4653999999999998</v>
      </c>
      <c r="J91" s="17">
        <v>3.4653999999999998</v>
      </c>
      <c r="K91" s="17">
        <v>3.4653999999999998</v>
      </c>
      <c r="L91" s="17">
        <v>3.4653999999999998</v>
      </c>
      <c r="M91" s="17">
        <v>3.4653999999999998</v>
      </c>
      <c r="N91" s="17">
        <v>3.4653999999999998</v>
      </c>
      <c r="O91" s="17">
        <v>3.4653999999999998</v>
      </c>
      <c r="P91" s="17">
        <v>3.4653999999999998</v>
      </c>
      <c r="Q91" s="17">
        <v>3.4653999999999998</v>
      </c>
      <c r="R91" s="17">
        <v>3.4653999999999998</v>
      </c>
      <c r="S91" s="17">
        <v>3.4653999999999998</v>
      </c>
      <c r="T91" s="17">
        <v>3.4653999999999998</v>
      </c>
      <c r="U91" s="17">
        <v>3.4653999999999998</v>
      </c>
      <c r="V91" s="17">
        <v>3.4653999999999998</v>
      </c>
      <c r="W91" s="17">
        <v>3.4653999999999998</v>
      </c>
      <c r="X91" s="17">
        <v>3.4653999999999998</v>
      </c>
      <c r="Y91" s="17">
        <v>3.4653999999999998</v>
      </c>
      <c r="Z91" s="17" t="s">
        <v>155</v>
      </c>
    </row>
    <row r="92" spans="1:26" s="17" customFormat="1" x14ac:dyDescent="0.3">
      <c r="A92" s="17" t="s">
        <v>440</v>
      </c>
      <c r="B92" s="24" t="s">
        <v>65</v>
      </c>
      <c r="C92" s="17" t="s">
        <v>115</v>
      </c>
      <c r="D92" s="17" t="s">
        <v>134</v>
      </c>
      <c r="E92" s="17">
        <v>1</v>
      </c>
      <c r="F92" s="17">
        <v>1</v>
      </c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>
        <v>1</v>
      </c>
      <c r="N92" s="17">
        <v>1</v>
      </c>
      <c r="O92" s="17">
        <v>1</v>
      </c>
      <c r="P92" s="17">
        <v>1</v>
      </c>
      <c r="Q92" s="17">
        <v>1</v>
      </c>
      <c r="R92" s="17">
        <v>1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7">
        <v>1</v>
      </c>
      <c r="Z92" s="17" t="s">
        <v>155</v>
      </c>
    </row>
    <row r="95" spans="1:26" s="5" customFormat="1" x14ac:dyDescent="0.3">
      <c r="A95" s="5" t="s">
        <v>139</v>
      </c>
    </row>
    <row r="96" spans="1:26" x14ac:dyDescent="0.3">
      <c r="A96" t="s">
        <v>116</v>
      </c>
      <c r="B96" t="s">
        <v>102</v>
      </c>
      <c r="C96">
        <v>2015</v>
      </c>
      <c r="D96">
        <v>2020</v>
      </c>
      <c r="E96">
        <v>2050</v>
      </c>
      <c r="F96" t="s">
        <v>145</v>
      </c>
      <c r="G96" t="s">
        <v>109</v>
      </c>
      <c r="H96" s="8"/>
      <c r="I96" s="8"/>
      <c r="J96" s="8"/>
      <c r="K96" s="8"/>
      <c r="L96" s="8"/>
      <c r="M96" s="8"/>
      <c r="N96" s="8"/>
      <c r="O96" s="8"/>
      <c r="P96" s="8"/>
    </row>
    <row r="97" spans="1:16" hidden="1" x14ac:dyDescent="0.3">
      <c r="A97" t="s">
        <v>140</v>
      </c>
      <c r="B97" t="s">
        <v>75</v>
      </c>
      <c r="C97">
        <v>6.9199999999999998E-2</v>
      </c>
      <c r="D97">
        <v>7.0000000000000007E-2</v>
      </c>
      <c r="E97">
        <v>0.13450000000000001</v>
      </c>
      <c r="F97">
        <v>13</v>
      </c>
      <c r="G97" t="s">
        <v>146</v>
      </c>
    </row>
    <row r="98" spans="1:16" hidden="1" x14ac:dyDescent="0.3">
      <c r="A98" t="s">
        <v>140</v>
      </c>
      <c r="B98" t="s">
        <v>76</v>
      </c>
      <c r="C98">
        <v>5.2299999999999999E-2</v>
      </c>
      <c r="D98">
        <v>5.62E-2</v>
      </c>
      <c r="E98">
        <v>0.13450000000000001</v>
      </c>
      <c r="F98">
        <v>13</v>
      </c>
      <c r="G98" t="s">
        <v>146</v>
      </c>
      <c r="J98" s="8"/>
      <c r="K98" s="8"/>
    </row>
    <row r="99" spans="1:16" hidden="1" x14ac:dyDescent="0.3">
      <c r="A99" t="s">
        <v>140</v>
      </c>
      <c r="B99" t="s">
        <v>77</v>
      </c>
      <c r="C99">
        <v>7.6799999999999993E-2</v>
      </c>
      <c r="D99">
        <v>7.7600000000000002E-2</v>
      </c>
      <c r="E99">
        <v>7.5499999999999998E-2</v>
      </c>
      <c r="F99">
        <v>12</v>
      </c>
      <c r="G99" t="s">
        <v>146</v>
      </c>
    </row>
    <row r="100" spans="1:16" hidden="1" x14ac:dyDescent="0.3">
      <c r="A100" t="s">
        <v>140</v>
      </c>
      <c r="B100" t="s">
        <v>78</v>
      </c>
      <c r="C100">
        <v>7.3999999999999996E-2</v>
      </c>
      <c r="D100">
        <v>7.3999999999999996E-2</v>
      </c>
      <c r="E100">
        <v>7.5499999999999998E-2</v>
      </c>
      <c r="F100">
        <v>12</v>
      </c>
      <c r="G100" t="s">
        <v>146</v>
      </c>
    </row>
    <row r="101" spans="1:16" hidden="1" x14ac:dyDescent="0.3">
      <c r="A101" t="s">
        <v>140</v>
      </c>
      <c r="B101" t="s">
        <v>79</v>
      </c>
      <c r="C101">
        <v>4.2599999999999999E-2</v>
      </c>
      <c r="D101">
        <v>4.36E-2</v>
      </c>
      <c r="E101">
        <v>4.3700000000000003E-2</v>
      </c>
      <c r="F101">
        <v>12</v>
      </c>
      <c r="G101" t="s">
        <v>146</v>
      </c>
      <c r="M101" s="8"/>
      <c r="N101" s="8"/>
      <c r="O101" s="8"/>
      <c r="P101" s="8"/>
    </row>
    <row r="102" spans="1:16" hidden="1" x14ac:dyDescent="0.3">
      <c r="A102" t="s">
        <v>140</v>
      </c>
      <c r="B102" t="s">
        <v>80</v>
      </c>
      <c r="C102">
        <v>7.5899999999999995E-2</v>
      </c>
      <c r="D102">
        <v>7.6300000000000007E-2</v>
      </c>
      <c r="E102">
        <v>7.5499999999999998E-2</v>
      </c>
      <c r="F102">
        <v>12</v>
      </c>
      <c r="G102" t="s">
        <v>146</v>
      </c>
      <c r="M102" s="8"/>
      <c r="N102" s="8"/>
      <c r="O102" s="8"/>
      <c r="P102" s="8"/>
    </row>
    <row r="103" spans="1:16" hidden="1" x14ac:dyDescent="0.3">
      <c r="A103" t="s">
        <v>140</v>
      </c>
      <c r="B103" t="s">
        <v>81</v>
      </c>
      <c r="C103">
        <v>4.8399999999999999E-2</v>
      </c>
      <c r="D103">
        <v>4.3299999999999998E-2</v>
      </c>
      <c r="E103">
        <v>8.4699999999999998E-2</v>
      </c>
      <c r="F103">
        <v>13</v>
      </c>
      <c r="G103" t="s">
        <v>146</v>
      </c>
    </row>
    <row r="104" spans="1:16" hidden="1" x14ac:dyDescent="0.3">
      <c r="A104" t="s">
        <v>140</v>
      </c>
      <c r="B104" t="s">
        <v>82</v>
      </c>
      <c r="C104">
        <v>7.5600000000000001E-2</v>
      </c>
      <c r="D104">
        <v>7.6799999999999993E-2</v>
      </c>
      <c r="E104">
        <v>7.5499999999999998E-2</v>
      </c>
      <c r="F104">
        <v>12</v>
      </c>
      <c r="G104" t="s">
        <v>146</v>
      </c>
      <c r="M104" s="8"/>
      <c r="N104" s="8"/>
      <c r="O104" s="8"/>
      <c r="P104" s="8"/>
    </row>
    <row r="105" spans="1:16" hidden="1" x14ac:dyDescent="0.3">
      <c r="A105" t="s">
        <v>140</v>
      </c>
      <c r="B105" t="s">
        <v>83</v>
      </c>
      <c r="C105">
        <v>6.59E-2</v>
      </c>
      <c r="D105">
        <v>6.6100000000000006E-2</v>
      </c>
      <c r="E105">
        <v>7.4999999999999997E-2</v>
      </c>
      <c r="F105">
        <v>13</v>
      </c>
      <c r="G105" t="s">
        <v>146</v>
      </c>
      <c r="M105" s="8"/>
      <c r="N105" s="8"/>
      <c r="O105" s="8"/>
      <c r="P105" s="8"/>
    </row>
    <row r="106" spans="1:16" hidden="1" x14ac:dyDescent="0.3">
      <c r="A106" t="s">
        <v>140</v>
      </c>
      <c r="B106" t="s">
        <v>84</v>
      </c>
      <c r="C106">
        <v>2.29E-2</v>
      </c>
      <c r="D106">
        <v>2.2499999999999999E-2</v>
      </c>
      <c r="E106">
        <v>7.8700000000000006E-2</v>
      </c>
      <c r="F106">
        <v>13</v>
      </c>
      <c r="G106" t="s">
        <v>146</v>
      </c>
    </row>
    <row r="107" spans="1:16" hidden="1" x14ac:dyDescent="0.3">
      <c r="A107" t="s">
        <v>140</v>
      </c>
      <c r="B107" t="s">
        <v>85</v>
      </c>
      <c r="C107">
        <v>5.3600000000000002E-2</v>
      </c>
      <c r="D107">
        <v>5.6599999999999998E-2</v>
      </c>
      <c r="E107">
        <v>8.7300000000000003E-2</v>
      </c>
      <c r="F107">
        <v>13</v>
      </c>
      <c r="G107" t="s">
        <v>146</v>
      </c>
      <c r="M107" s="8"/>
      <c r="N107" s="8"/>
      <c r="O107" s="8"/>
    </row>
    <row r="108" spans="1:16" hidden="1" x14ac:dyDescent="0.3">
      <c r="A108" t="s">
        <v>140</v>
      </c>
      <c r="B108" t="s">
        <v>86</v>
      </c>
      <c r="C108">
        <v>2.5100000000000001E-2</v>
      </c>
      <c r="D108">
        <v>2.4400000000000002E-2</v>
      </c>
      <c r="E108">
        <v>8.3900000000000002E-2</v>
      </c>
      <c r="F108">
        <v>13</v>
      </c>
      <c r="G108" t="s">
        <v>146</v>
      </c>
    </row>
    <row r="109" spans="1:16" hidden="1" x14ac:dyDescent="0.3">
      <c r="A109" t="s">
        <v>140</v>
      </c>
      <c r="B109" t="s">
        <v>87</v>
      </c>
      <c r="C109">
        <v>7.7799999999999994E-2</v>
      </c>
      <c r="D109">
        <v>7.8E-2</v>
      </c>
      <c r="E109">
        <v>7.5499999999999998E-2</v>
      </c>
      <c r="F109">
        <v>12</v>
      </c>
      <c r="G109" t="s">
        <v>146</v>
      </c>
    </row>
    <row r="110" spans="1:16" hidden="1" x14ac:dyDescent="0.3">
      <c r="A110" t="s">
        <v>140</v>
      </c>
      <c r="B110" t="s">
        <v>88</v>
      </c>
      <c r="C110">
        <v>5.8999999999999997E-2</v>
      </c>
      <c r="D110">
        <v>6.0100000000000001E-2</v>
      </c>
      <c r="E110">
        <v>7.3899999999999993E-2</v>
      </c>
      <c r="F110">
        <v>13</v>
      </c>
      <c r="G110" t="s">
        <v>146</v>
      </c>
      <c r="M110" s="8"/>
      <c r="N110" s="8"/>
    </row>
    <row r="111" spans="1:16" hidden="1" x14ac:dyDescent="0.3">
      <c r="A111" t="s">
        <v>140</v>
      </c>
      <c r="B111" t="s">
        <v>89</v>
      </c>
      <c r="C111">
        <v>2.5899999999999999E-2</v>
      </c>
      <c r="D111">
        <v>2.53E-2</v>
      </c>
      <c r="E111">
        <v>8.8300000000000003E-2</v>
      </c>
      <c r="F111">
        <v>13</v>
      </c>
      <c r="G111" t="s">
        <v>146</v>
      </c>
    </row>
    <row r="112" spans="1:16" hidden="1" x14ac:dyDescent="0.3">
      <c r="A112" t="s">
        <v>140</v>
      </c>
      <c r="B112" t="s">
        <v>90</v>
      </c>
      <c r="C112">
        <v>6.9599999999999995E-2</v>
      </c>
      <c r="D112">
        <v>7.0300000000000001E-2</v>
      </c>
      <c r="E112">
        <v>7.5499999999999998E-2</v>
      </c>
      <c r="F112">
        <v>12</v>
      </c>
      <c r="G112" t="s">
        <v>146</v>
      </c>
    </row>
    <row r="113" spans="1:15" hidden="1" x14ac:dyDescent="0.3">
      <c r="A113" t="s">
        <v>140</v>
      </c>
      <c r="B113" t="s">
        <v>91</v>
      </c>
      <c r="C113">
        <v>7.6200000000000004E-2</v>
      </c>
      <c r="D113">
        <v>7.7299999999999994E-2</v>
      </c>
      <c r="E113">
        <v>7.5499999999999998E-2</v>
      </c>
      <c r="F113">
        <v>12</v>
      </c>
      <c r="G113" t="s">
        <v>146</v>
      </c>
    </row>
    <row r="114" spans="1:15" hidden="1" x14ac:dyDescent="0.3">
      <c r="A114" t="s">
        <v>140</v>
      </c>
      <c r="B114" t="s">
        <v>92</v>
      </c>
      <c r="C114">
        <v>5.4899999999999997E-2</v>
      </c>
      <c r="D114">
        <v>5.6800000000000003E-2</v>
      </c>
      <c r="E114">
        <v>7.1900000000000006E-2</v>
      </c>
      <c r="F114">
        <v>13</v>
      </c>
      <c r="G114" t="s">
        <v>146</v>
      </c>
      <c r="K114" s="8"/>
      <c r="L114" s="8"/>
      <c r="M114" s="8"/>
      <c r="N114" s="8"/>
    </row>
    <row r="115" spans="1:15" hidden="1" x14ac:dyDescent="0.3">
      <c r="A115" t="s">
        <v>140</v>
      </c>
      <c r="B115" t="s">
        <v>93</v>
      </c>
      <c r="C115">
        <v>3.95E-2</v>
      </c>
      <c r="D115">
        <v>4.2099999999999999E-2</v>
      </c>
      <c r="E115">
        <v>4.2200000000000001E-2</v>
      </c>
      <c r="F115">
        <v>12</v>
      </c>
      <c r="G115" t="s">
        <v>146</v>
      </c>
      <c r="K115" s="8"/>
      <c r="L115" s="8"/>
    </row>
    <row r="116" spans="1:15" hidden="1" x14ac:dyDescent="0.3">
      <c r="A116" t="s">
        <v>140</v>
      </c>
      <c r="B116" t="s">
        <v>94</v>
      </c>
      <c r="C116">
        <v>4.9200000000000001E-2</v>
      </c>
      <c r="D116">
        <v>4.87E-2</v>
      </c>
      <c r="E116">
        <v>7.2499999999999995E-2</v>
      </c>
      <c r="F116">
        <v>13</v>
      </c>
      <c r="G116" t="s">
        <v>146</v>
      </c>
      <c r="K116" s="8"/>
      <c r="L116" s="8"/>
    </row>
    <row r="117" spans="1:15" hidden="1" x14ac:dyDescent="0.3">
      <c r="A117" t="s">
        <v>140</v>
      </c>
      <c r="B117" t="s">
        <v>95</v>
      </c>
      <c r="C117">
        <v>7.6899999999999996E-2</v>
      </c>
      <c r="D117">
        <v>7.6899999999999996E-2</v>
      </c>
      <c r="E117">
        <v>7.5499999999999998E-2</v>
      </c>
      <c r="F117">
        <v>12</v>
      </c>
      <c r="G117" t="s">
        <v>146</v>
      </c>
      <c r="K117" s="8"/>
      <c r="L117" s="8"/>
      <c r="M117" s="8"/>
      <c r="N117" s="8"/>
      <c r="O117" s="8"/>
    </row>
    <row r="118" spans="1:15" hidden="1" x14ac:dyDescent="0.3">
      <c r="A118" t="s">
        <v>140</v>
      </c>
      <c r="B118" t="s">
        <v>96</v>
      </c>
      <c r="C118">
        <v>6.1600000000000002E-2</v>
      </c>
      <c r="D118">
        <v>6.13E-2</v>
      </c>
      <c r="E118">
        <v>7.51E-2</v>
      </c>
      <c r="F118">
        <v>13</v>
      </c>
      <c r="G118" t="s">
        <v>146</v>
      </c>
      <c r="K118" s="8"/>
    </row>
    <row r="119" spans="1:15" hidden="1" x14ac:dyDescent="0.3">
      <c r="A119" t="s">
        <v>140</v>
      </c>
      <c r="B119" t="s">
        <v>97</v>
      </c>
      <c r="C119">
        <v>7.7700000000000005E-2</v>
      </c>
      <c r="D119">
        <v>7.7899999999999997E-2</v>
      </c>
      <c r="E119">
        <v>7.5499999999999998E-2</v>
      </c>
      <c r="F119">
        <v>12</v>
      </c>
      <c r="G119" t="s">
        <v>146</v>
      </c>
      <c r="K119" s="8"/>
      <c r="L119" s="8"/>
    </row>
    <row r="120" spans="1:15" hidden="1" x14ac:dyDescent="0.3">
      <c r="A120" t="s">
        <v>140</v>
      </c>
      <c r="B120" t="s">
        <v>97</v>
      </c>
      <c r="C120">
        <v>7.7700000000000005E-2</v>
      </c>
      <c r="D120">
        <v>7.7899999999999997E-2</v>
      </c>
      <c r="E120">
        <v>7.5499999999999998E-2</v>
      </c>
      <c r="F120">
        <v>12</v>
      </c>
      <c r="G120" t="s">
        <v>146</v>
      </c>
    </row>
    <row r="121" spans="1:15" hidden="1" x14ac:dyDescent="0.3">
      <c r="A121" t="s">
        <v>140</v>
      </c>
      <c r="B121" t="s">
        <v>98</v>
      </c>
      <c r="C121">
        <v>7.9799999999999996E-2</v>
      </c>
      <c r="D121">
        <v>0.08</v>
      </c>
      <c r="E121">
        <v>7.5499999999999998E-2</v>
      </c>
      <c r="F121">
        <v>12</v>
      </c>
      <c r="G121" t="s">
        <v>146</v>
      </c>
    </row>
    <row r="122" spans="1:15" hidden="1" x14ac:dyDescent="0.3">
      <c r="A122" t="s">
        <v>140</v>
      </c>
      <c r="B122" t="s">
        <v>99</v>
      </c>
      <c r="C122">
        <v>8.0500000000000002E-2</v>
      </c>
      <c r="D122">
        <v>8.0600000000000005E-2</v>
      </c>
      <c r="E122">
        <v>7.5499999999999998E-2</v>
      </c>
      <c r="F122">
        <v>12</v>
      </c>
      <c r="G122" t="s">
        <v>146</v>
      </c>
    </row>
    <row r="123" spans="1:15" hidden="1" x14ac:dyDescent="0.3">
      <c r="A123" t="s">
        <v>140</v>
      </c>
      <c r="B123" t="s">
        <v>100</v>
      </c>
      <c r="C123">
        <v>5.0599999999999999E-2</v>
      </c>
      <c r="D123">
        <v>4.82E-2</v>
      </c>
      <c r="E123">
        <v>8.6400000000000005E-2</v>
      </c>
      <c r="F123">
        <v>13</v>
      </c>
      <c r="G123" t="s">
        <v>146</v>
      </c>
      <c r="M123" s="8"/>
    </row>
    <row r="124" spans="1:15" hidden="1" x14ac:dyDescent="0.3">
      <c r="A124" t="s">
        <v>140</v>
      </c>
      <c r="B124" t="s">
        <v>101</v>
      </c>
      <c r="C124">
        <v>2.7699999999999999E-2</v>
      </c>
      <c r="D124">
        <v>3.0499999999999999E-2</v>
      </c>
      <c r="E124">
        <v>7.9500000000000001E-2</v>
      </c>
      <c r="F124">
        <v>13</v>
      </c>
      <c r="G124" t="s">
        <v>146</v>
      </c>
    </row>
    <row r="125" spans="1:15" hidden="1" x14ac:dyDescent="0.3">
      <c r="A125" t="s">
        <v>141</v>
      </c>
      <c r="B125" t="s">
        <v>75</v>
      </c>
      <c r="C125">
        <v>0.1351</v>
      </c>
      <c r="D125">
        <v>0.14219999999999999</v>
      </c>
      <c r="E125">
        <v>0.1363</v>
      </c>
      <c r="F125">
        <v>13</v>
      </c>
      <c r="G125" t="s">
        <v>146</v>
      </c>
    </row>
    <row r="126" spans="1:15" hidden="1" x14ac:dyDescent="0.3">
      <c r="A126" t="s">
        <v>141</v>
      </c>
      <c r="B126" t="s">
        <v>76</v>
      </c>
      <c r="C126">
        <v>6.6600000000000006E-2</v>
      </c>
      <c r="D126">
        <v>6.9199999999999998E-2</v>
      </c>
      <c r="E126">
        <v>0.1363</v>
      </c>
      <c r="F126">
        <v>13</v>
      </c>
      <c r="G126" t="s">
        <v>146</v>
      </c>
    </row>
    <row r="127" spans="1:15" hidden="1" x14ac:dyDescent="0.3">
      <c r="A127" t="s">
        <v>141</v>
      </c>
      <c r="B127" t="s">
        <v>77</v>
      </c>
      <c r="C127">
        <v>2.6800000000000001E-2</v>
      </c>
      <c r="D127">
        <v>1.6199999999999999E-2</v>
      </c>
      <c r="E127">
        <v>5.2699999999999997E-2</v>
      </c>
      <c r="F127">
        <v>12</v>
      </c>
      <c r="G127" t="s">
        <v>146</v>
      </c>
    </row>
    <row r="128" spans="1:15" hidden="1" x14ac:dyDescent="0.3">
      <c r="A128" t="s">
        <v>141</v>
      </c>
      <c r="B128" t="s">
        <v>78</v>
      </c>
      <c r="C128">
        <v>4.0099999999999997E-2</v>
      </c>
      <c r="D128">
        <v>2.12E-2</v>
      </c>
      <c r="E128">
        <v>8.1900000000000001E-2</v>
      </c>
      <c r="F128">
        <v>12</v>
      </c>
      <c r="G128" t="s">
        <v>146</v>
      </c>
    </row>
    <row r="129" spans="1:16" hidden="1" x14ac:dyDescent="0.3">
      <c r="A129" t="s">
        <v>141</v>
      </c>
      <c r="B129" t="s">
        <v>79</v>
      </c>
      <c r="C129">
        <v>0</v>
      </c>
      <c r="D129">
        <v>0</v>
      </c>
      <c r="E129">
        <v>0</v>
      </c>
      <c r="F129">
        <v>12</v>
      </c>
      <c r="G129" t="s">
        <v>146</v>
      </c>
    </row>
    <row r="130" spans="1:16" hidden="1" x14ac:dyDescent="0.3">
      <c r="A130" t="s">
        <v>141</v>
      </c>
      <c r="B130" t="s">
        <v>80</v>
      </c>
      <c r="C130">
        <v>0.14050000000000001</v>
      </c>
      <c r="D130">
        <v>0.1487</v>
      </c>
      <c r="E130">
        <v>0.1817</v>
      </c>
      <c r="F130">
        <v>12</v>
      </c>
      <c r="G130" t="s">
        <v>146</v>
      </c>
    </row>
    <row r="131" spans="1:16" hidden="1" x14ac:dyDescent="0.3">
      <c r="A131" t="s">
        <v>141</v>
      </c>
      <c r="B131" t="s">
        <v>81</v>
      </c>
      <c r="C131">
        <v>7.1400000000000005E-2</v>
      </c>
      <c r="D131">
        <v>6.5699999999999995E-2</v>
      </c>
      <c r="E131">
        <v>0.18</v>
      </c>
      <c r="F131">
        <v>13</v>
      </c>
      <c r="G131" t="s">
        <v>146</v>
      </c>
    </row>
    <row r="132" spans="1:16" hidden="1" x14ac:dyDescent="0.3">
      <c r="A132" t="s">
        <v>141</v>
      </c>
      <c r="B132" t="s">
        <v>82</v>
      </c>
      <c r="C132">
        <v>2.3300000000000001E-2</v>
      </c>
      <c r="D132">
        <v>1.9599999999999999E-2</v>
      </c>
      <c r="E132">
        <v>4.6600000000000003E-2</v>
      </c>
      <c r="F132">
        <v>12</v>
      </c>
      <c r="G132" t="s">
        <v>146</v>
      </c>
    </row>
    <row r="133" spans="1:16" hidden="1" x14ac:dyDescent="0.3">
      <c r="A133" t="s">
        <v>141</v>
      </c>
      <c r="B133" t="s">
        <v>83</v>
      </c>
      <c r="C133">
        <v>4.2599999999999999E-2</v>
      </c>
      <c r="D133">
        <v>4.3099999999999999E-2</v>
      </c>
      <c r="E133">
        <v>9.69E-2</v>
      </c>
      <c r="F133">
        <v>13</v>
      </c>
      <c r="G133" t="s">
        <v>146</v>
      </c>
    </row>
    <row r="134" spans="1:16" hidden="1" x14ac:dyDescent="0.3">
      <c r="A134" t="s">
        <v>141</v>
      </c>
      <c r="B134" t="s">
        <v>84</v>
      </c>
      <c r="C134">
        <v>9.2299999999999993E-2</v>
      </c>
      <c r="D134">
        <v>9.2100000000000001E-2</v>
      </c>
      <c r="E134">
        <v>0.19239999999999999</v>
      </c>
      <c r="F134">
        <v>13</v>
      </c>
      <c r="G134" t="s">
        <v>146</v>
      </c>
    </row>
    <row r="135" spans="1:16" hidden="1" x14ac:dyDescent="0.3">
      <c r="A135" t="s">
        <v>141</v>
      </c>
      <c r="B135" t="s">
        <v>85</v>
      </c>
      <c r="C135">
        <v>8.0199999999999994E-2</v>
      </c>
      <c r="D135">
        <v>8.6300000000000002E-2</v>
      </c>
      <c r="E135">
        <v>0.21079999999999999</v>
      </c>
      <c r="F135">
        <v>13</v>
      </c>
      <c r="G135" t="s">
        <v>146</v>
      </c>
    </row>
    <row r="136" spans="1:16" hidden="1" x14ac:dyDescent="0.3">
      <c r="A136" t="s">
        <v>141</v>
      </c>
      <c r="B136" t="s">
        <v>86</v>
      </c>
      <c r="C136">
        <v>1.7999999999999999E-2</v>
      </c>
      <c r="D136">
        <v>1.7600000000000001E-2</v>
      </c>
      <c r="E136">
        <v>3.4299999999999997E-2</v>
      </c>
      <c r="F136">
        <v>13</v>
      </c>
      <c r="G136" t="s">
        <v>146</v>
      </c>
    </row>
    <row r="137" spans="1:16" hidden="1" x14ac:dyDescent="0.3">
      <c r="A137" t="s">
        <v>141</v>
      </c>
      <c r="B137" t="s">
        <v>87</v>
      </c>
      <c r="C137">
        <v>0.1082</v>
      </c>
      <c r="D137">
        <v>0.1074</v>
      </c>
      <c r="E137">
        <v>0.1678</v>
      </c>
      <c r="F137">
        <v>12</v>
      </c>
      <c r="G137" t="s">
        <v>146</v>
      </c>
      <c r="H137" s="8"/>
      <c r="L137" s="8"/>
      <c r="M137" s="8"/>
      <c r="N137" s="8"/>
      <c r="O137" s="8"/>
      <c r="P137" s="8"/>
    </row>
    <row r="138" spans="1:16" hidden="1" x14ac:dyDescent="0.3">
      <c r="A138" t="s">
        <v>141</v>
      </c>
      <c r="B138" t="s">
        <v>88</v>
      </c>
      <c r="C138">
        <v>2.1999999999999999E-2</v>
      </c>
      <c r="D138">
        <v>2.3900000000000001E-2</v>
      </c>
      <c r="E138">
        <v>5.5E-2</v>
      </c>
      <c r="F138">
        <v>13</v>
      </c>
      <c r="G138" t="s">
        <v>146</v>
      </c>
      <c r="H138" s="8"/>
      <c r="I138" s="8"/>
      <c r="J138" s="8"/>
      <c r="K138" s="8"/>
      <c r="L138" s="8"/>
      <c r="M138" s="8"/>
      <c r="N138" s="8"/>
      <c r="O138" s="8"/>
      <c r="P138" s="8"/>
    </row>
    <row r="139" spans="1:16" hidden="1" x14ac:dyDescent="0.3">
      <c r="A139" t="s">
        <v>141</v>
      </c>
      <c r="B139" t="s">
        <v>89</v>
      </c>
      <c r="C139">
        <v>5.6399999999999999E-2</v>
      </c>
      <c r="D139">
        <v>5.5899999999999998E-2</v>
      </c>
      <c r="E139">
        <v>8.9800000000000005E-2</v>
      </c>
      <c r="F139">
        <v>13</v>
      </c>
      <c r="G139" t="s">
        <v>146</v>
      </c>
    </row>
    <row r="140" spans="1:16" hidden="1" x14ac:dyDescent="0.3">
      <c r="A140" t="s">
        <v>141</v>
      </c>
      <c r="B140" t="s">
        <v>90</v>
      </c>
      <c r="C140">
        <v>3.27E-2</v>
      </c>
      <c r="D140">
        <v>2.4799999999999999E-2</v>
      </c>
      <c r="E140">
        <v>7.0900000000000005E-2</v>
      </c>
      <c r="F140">
        <v>12</v>
      </c>
      <c r="G140" t="s">
        <v>146</v>
      </c>
    </row>
    <row r="141" spans="1:16" hidden="1" x14ac:dyDescent="0.3">
      <c r="A141" t="s">
        <v>141</v>
      </c>
      <c r="B141" t="s">
        <v>91</v>
      </c>
      <c r="C141">
        <v>1.06E-2</v>
      </c>
      <c r="D141">
        <v>1.15E-2</v>
      </c>
      <c r="E141">
        <v>2.1000000000000001E-2</v>
      </c>
      <c r="F141">
        <v>12</v>
      </c>
      <c r="G141" t="s">
        <v>146</v>
      </c>
    </row>
    <row r="142" spans="1:16" hidden="1" x14ac:dyDescent="0.3">
      <c r="A142" t="s">
        <v>141</v>
      </c>
      <c r="B142" t="s">
        <v>92</v>
      </c>
      <c r="C142">
        <v>2.8500000000000001E-2</v>
      </c>
      <c r="D142">
        <v>3.1099999999999999E-2</v>
      </c>
      <c r="E142">
        <v>7.4700000000000003E-2</v>
      </c>
      <c r="F142">
        <v>13</v>
      </c>
      <c r="G142" t="s">
        <v>146</v>
      </c>
    </row>
    <row r="143" spans="1:16" hidden="1" x14ac:dyDescent="0.3">
      <c r="A143" t="s">
        <v>141</v>
      </c>
      <c r="B143" t="s">
        <v>93</v>
      </c>
      <c r="C143">
        <v>0</v>
      </c>
      <c r="D143">
        <v>0</v>
      </c>
      <c r="E143">
        <v>0</v>
      </c>
      <c r="F143">
        <v>12</v>
      </c>
      <c r="G143" t="s">
        <v>146</v>
      </c>
      <c r="M143" s="8"/>
      <c r="N143" s="8"/>
    </row>
    <row r="144" spans="1:16" hidden="1" x14ac:dyDescent="0.3">
      <c r="A144" t="s">
        <v>141</v>
      </c>
      <c r="B144" t="s">
        <v>94</v>
      </c>
      <c r="C144">
        <v>6.0699999999999997E-2</v>
      </c>
      <c r="D144">
        <v>6.3899999999999998E-2</v>
      </c>
      <c r="E144">
        <v>0.16109999999999999</v>
      </c>
      <c r="F144">
        <v>13</v>
      </c>
      <c r="G144" t="s">
        <v>146</v>
      </c>
      <c r="M144" s="8"/>
      <c r="N144" s="8"/>
      <c r="O144" s="8"/>
      <c r="P144" s="8"/>
    </row>
    <row r="145" spans="1:7" hidden="1" x14ac:dyDescent="0.3">
      <c r="A145" t="s">
        <v>141</v>
      </c>
      <c r="B145" t="s">
        <v>95</v>
      </c>
      <c r="C145">
        <v>7.0000000000000007E-2</v>
      </c>
      <c r="D145">
        <v>6.6000000000000003E-2</v>
      </c>
      <c r="E145">
        <v>0.13750000000000001</v>
      </c>
      <c r="F145">
        <v>12</v>
      </c>
      <c r="G145" t="s">
        <v>146</v>
      </c>
    </row>
    <row r="146" spans="1:7" hidden="1" x14ac:dyDescent="0.3">
      <c r="A146" t="s">
        <v>141</v>
      </c>
      <c r="B146" t="s">
        <v>96</v>
      </c>
      <c r="C146">
        <v>3.4700000000000002E-2</v>
      </c>
      <c r="D146">
        <v>3.2300000000000002E-2</v>
      </c>
      <c r="E146">
        <v>8.4699999999999998E-2</v>
      </c>
      <c r="F146">
        <v>13</v>
      </c>
      <c r="G146" t="s">
        <v>146</v>
      </c>
    </row>
    <row r="147" spans="1:7" hidden="1" x14ac:dyDescent="0.3">
      <c r="A147" t="s">
        <v>141</v>
      </c>
      <c r="B147" t="s">
        <v>97</v>
      </c>
      <c r="C147">
        <v>8.9099999999999999E-2</v>
      </c>
      <c r="D147">
        <v>7.9699999999999993E-2</v>
      </c>
      <c r="E147">
        <v>0.1678</v>
      </c>
      <c r="F147">
        <v>12</v>
      </c>
      <c r="G147" t="s">
        <v>146</v>
      </c>
    </row>
    <row r="148" spans="1:7" hidden="1" x14ac:dyDescent="0.3">
      <c r="A148" t="s">
        <v>141</v>
      </c>
      <c r="B148" t="s">
        <v>97</v>
      </c>
      <c r="C148">
        <v>8.9099999999999999E-2</v>
      </c>
      <c r="D148">
        <v>7.9699999999999993E-2</v>
      </c>
      <c r="E148">
        <v>0.1678</v>
      </c>
      <c r="F148">
        <v>12</v>
      </c>
      <c r="G148" t="s">
        <v>146</v>
      </c>
    </row>
    <row r="149" spans="1:7" hidden="1" x14ac:dyDescent="0.3">
      <c r="A149" t="s">
        <v>141</v>
      </c>
      <c r="B149" t="s">
        <v>98</v>
      </c>
      <c r="C149">
        <v>8.6900000000000005E-2</v>
      </c>
      <c r="D149">
        <v>0.1066</v>
      </c>
      <c r="E149">
        <v>0.16439999999999999</v>
      </c>
      <c r="F149">
        <v>12</v>
      </c>
      <c r="G149" t="s">
        <v>146</v>
      </c>
    </row>
    <row r="150" spans="1:7" hidden="1" x14ac:dyDescent="0.3">
      <c r="A150" t="s">
        <v>141</v>
      </c>
      <c r="B150" t="s">
        <v>99</v>
      </c>
      <c r="C150">
        <v>1.84E-2</v>
      </c>
      <c r="D150">
        <v>1.5100000000000001E-2</v>
      </c>
      <c r="E150">
        <v>3.4500000000000003E-2</v>
      </c>
      <c r="F150">
        <v>12</v>
      </c>
      <c r="G150" t="s">
        <v>146</v>
      </c>
    </row>
    <row r="151" spans="1:7" hidden="1" x14ac:dyDescent="0.3">
      <c r="A151" t="s">
        <v>141</v>
      </c>
      <c r="B151" t="s">
        <v>100</v>
      </c>
      <c r="C151">
        <v>5.6500000000000002E-2</v>
      </c>
      <c r="D151">
        <v>7.6700000000000004E-2</v>
      </c>
      <c r="E151">
        <v>0.21540000000000001</v>
      </c>
      <c r="F151">
        <v>13</v>
      </c>
      <c r="G151" t="s">
        <v>146</v>
      </c>
    </row>
    <row r="152" spans="1:7" hidden="1" x14ac:dyDescent="0.3">
      <c r="A152" t="s">
        <v>141</v>
      </c>
      <c r="B152" t="s">
        <v>101</v>
      </c>
      <c r="C152">
        <v>9.7699999999999995E-2</v>
      </c>
      <c r="D152">
        <v>8.7599999999999997E-2</v>
      </c>
      <c r="E152">
        <v>0.26390000000000002</v>
      </c>
      <c r="F152">
        <v>13</v>
      </c>
      <c r="G152" t="s">
        <v>146</v>
      </c>
    </row>
    <row r="153" spans="1:7" hidden="1" x14ac:dyDescent="0.3">
      <c r="A153" t="s">
        <v>142</v>
      </c>
      <c r="B153" t="s">
        <v>75</v>
      </c>
      <c r="C153">
        <v>0.6341</v>
      </c>
      <c r="D153">
        <v>0.6351</v>
      </c>
      <c r="E153">
        <v>0.62590000000000001</v>
      </c>
      <c r="F153">
        <v>13</v>
      </c>
      <c r="G153" t="s">
        <v>146</v>
      </c>
    </row>
    <row r="154" spans="1:7" hidden="1" x14ac:dyDescent="0.3">
      <c r="A154" t="s">
        <v>142</v>
      </c>
      <c r="B154" t="s">
        <v>76</v>
      </c>
      <c r="C154">
        <v>0.71299999999999997</v>
      </c>
      <c r="D154">
        <v>0.71330000000000005</v>
      </c>
      <c r="E154">
        <v>0.62590000000000001</v>
      </c>
      <c r="F154">
        <v>13</v>
      </c>
      <c r="G154" t="s">
        <v>146</v>
      </c>
    </row>
    <row r="155" spans="1:7" hidden="1" x14ac:dyDescent="0.3">
      <c r="A155" t="s">
        <v>142</v>
      </c>
      <c r="B155" t="s">
        <v>77</v>
      </c>
      <c r="C155">
        <v>0.82650000000000001</v>
      </c>
      <c r="D155">
        <v>0.84650000000000003</v>
      </c>
      <c r="E155">
        <v>0.78639999999999999</v>
      </c>
      <c r="F155">
        <v>12</v>
      </c>
      <c r="G155" t="s">
        <v>146</v>
      </c>
    </row>
    <row r="156" spans="1:7" hidden="1" x14ac:dyDescent="0.3">
      <c r="A156" t="s">
        <v>142</v>
      </c>
      <c r="B156" t="s">
        <v>78</v>
      </c>
      <c r="C156">
        <v>0.78180000000000005</v>
      </c>
      <c r="D156">
        <v>0.80120000000000002</v>
      </c>
      <c r="E156">
        <v>0.75719999999999998</v>
      </c>
      <c r="F156">
        <v>12</v>
      </c>
      <c r="G156" t="s">
        <v>146</v>
      </c>
    </row>
    <row r="157" spans="1:7" hidden="1" x14ac:dyDescent="0.3">
      <c r="A157" t="s">
        <v>142</v>
      </c>
      <c r="B157" t="s">
        <v>79</v>
      </c>
      <c r="C157">
        <v>0.47360000000000002</v>
      </c>
      <c r="D157">
        <v>0.48449999999999999</v>
      </c>
      <c r="E157">
        <v>0.4859</v>
      </c>
      <c r="F157">
        <v>12</v>
      </c>
      <c r="G157" t="s">
        <v>146</v>
      </c>
    </row>
    <row r="158" spans="1:7" hidden="1" x14ac:dyDescent="0.3">
      <c r="A158" t="s">
        <v>142</v>
      </c>
      <c r="B158" t="s">
        <v>80</v>
      </c>
      <c r="C158">
        <v>0.70289999999999997</v>
      </c>
      <c r="D158">
        <v>0.69850000000000001</v>
      </c>
      <c r="E158">
        <v>0.65739999999999998</v>
      </c>
      <c r="F158">
        <v>12</v>
      </c>
      <c r="G158" t="s">
        <v>146</v>
      </c>
    </row>
    <row r="159" spans="1:7" hidden="1" x14ac:dyDescent="0.3">
      <c r="A159" t="s">
        <v>142</v>
      </c>
      <c r="B159" t="s">
        <v>81</v>
      </c>
      <c r="C159">
        <v>0.67390000000000005</v>
      </c>
      <c r="D159">
        <v>0.69650000000000001</v>
      </c>
      <c r="E159">
        <v>0.6371</v>
      </c>
      <c r="F159">
        <v>13</v>
      </c>
      <c r="G159" t="s">
        <v>146</v>
      </c>
    </row>
    <row r="160" spans="1:7" hidden="1" x14ac:dyDescent="0.3">
      <c r="A160" t="s">
        <v>142</v>
      </c>
      <c r="B160" t="s">
        <v>82</v>
      </c>
      <c r="C160">
        <v>0.81679999999999997</v>
      </c>
      <c r="D160">
        <v>0.83350000000000002</v>
      </c>
      <c r="E160">
        <v>0.79249999999999998</v>
      </c>
      <c r="F160">
        <v>12</v>
      </c>
      <c r="G160" t="s">
        <v>146</v>
      </c>
    </row>
    <row r="161" spans="1:7" hidden="1" x14ac:dyDescent="0.3">
      <c r="A161" t="s">
        <v>142</v>
      </c>
      <c r="B161" t="s">
        <v>83</v>
      </c>
      <c r="C161">
        <v>0.68979999999999997</v>
      </c>
      <c r="D161">
        <v>0.69120000000000004</v>
      </c>
      <c r="E161">
        <v>0.73609999999999998</v>
      </c>
      <c r="F161">
        <v>13</v>
      </c>
      <c r="G161" t="s">
        <v>146</v>
      </c>
    </row>
    <row r="162" spans="1:7" hidden="1" x14ac:dyDescent="0.3">
      <c r="A162" t="s">
        <v>142</v>
      </c>
      <c r="B162" t="s">
        <v>84</v>
      </c>
      <c r="C162">
        <v>0.70830000000000004</v>
      </c>
      <c r="D162">
        <v>0.71850000000000003</v>
      </c>
      <c r="E162">
        <v>0.64200000000000002</v>
      </c>
      <c r="F162">
        <v>13</v>
      </c>
      <c r="G162" t="s">
        <v>146</v>
      </c>
    </row>
    <row r="163" spans="1:7" hidden="1" x14ac:dyDescent="0.3">
      <c r="A163" t="s">
        <v>142</v>
      </c>
      <c r="B163" t="s">
        <v>85</v>
      </c>
      <c r="C163">
        <v>0.72909999999999997</v>
      </c>
      <c r="D163">
        <v>0.72440000000000004</v>
      </c>
      <c r="E163">
        <v>0.58289999999999997</v>
      </c>
      <c r="F163">
        <v>13</v>
      </c>
      <c r="G163" t="s">
        <v>146</v>
      </c>
    </row>
    <row r="164" spans="1:7" hidden="1" x14ac:dyDescent="0.3">
      <c r="A164" t="s">
        <v>142</v>
      </c>
      <c r="B164" t="s">
        <v>86</v>
      </c>
      <c r="C164">
        <v>0.77480000000000004</v>
      </c>
      <c r="D164">
        <v>0.78879999999999995</v>
      </c>
      <c r="E164">
        <v>0.70520000000000005</v>
      </c>
      <c r="F164">
        <v>13</v>
      </c>
      <c r="G164" t="s">
        <v>146</v>
      </c>
    </row>
    <row r="165" spans="1:7" hidden="1" x14ac:dyDescent="0.3">
      <c r="A165" t="s">
        <v>142</v>
      </c>
      <c r="B165" t="s">
        <v>87</v>
      </c>
      <c r="C165">
        <v>0.75629999999999997</v>
      </c>
      <c r="D165">
        <v>0.75880000000000003</v>
      </c>
      <c r="E165">
        <v>0.67130000000000001</v>
      </c>
      <c r="F165">
        <v>12</v>
      </c>
      <c r="G165" t="s">
        <v>146</v>
      </c>
    </row>
    <row r="166" spans="1:7" hidden="1" x14ac:dyDescent="0.3">
      <c r="A166" t="s">
        <v>142</v>
      </c>
      <c r="B166" t="s">
        <v>88</v>
      </c>
      <c r="C166">
        <v>0.63400000000000001</v>
      </c>
      <c r="D166">
        <v>0.64429999999999998</v>
      </c>
      <c r="E166">
        <v>0.76580000000000004</v>
      </c>
      <c r="F166">
        <v>13</v>
      </c>
      <c r="G166" t="s">
        <v>146</v>
      </c>
    </row>
    <row r="167" spans="1:7" hidden="1" x14ac:dyDescent="0.3">
      <c r="A167" t="s">
        <v>142</v>
      </c>
      <c r="B167" t="s">
        <v>89</v>
      </c>
      <c r="C167">
        <v>0.77639999999999998</v>
      </c>
      <c r="D167">
        <v>0.78200000000000003</v>
      </c>
      <c r="E167">
        <v>0.7218</v>
      </c>
      <c r="F167">
        <v>13</v>
      </c>
      <c r="G167" t="s">
        <v>146</v>
      </c>
    </row>
    <row r="168" spans="1:7" hidden="1" x14ac:dyDescent="0.3">
      <c r="A168" t="s">
        <v>142</v>
      </c>
      <c r="B168" t="s">
        <v>90</v>
      </c>
      <c r="C168">
        <v>0.74080000000000001</v>
      </c>
      <c r="D168">
        <v>0.75629999999999997</v>
      </c>
      <c r="E168">
        <v>0.76819999999999999</v>
      </c>
      <c r="F168">
        <v>12</v>
      </c>
      <c r="G168" t="s">
        <v>146</v>
      </c>
    </row>
    <row r="169" spans="1:7" hidden="1" x14ac:dyDescent="0.3">
      <c r="A169" t="s">
        <v>142</v>
      </c>
      <c r="B169" t="s">
        <v>91</v>
      </c>
      <c r="C169">
        <v>0.83599999999999997</v>
      </c>
      <c r="D169">
        <v>0.84760000000000002</v>
      </c>
      <c r="E169">
        <v>0.81810000000000005</v>
      </c>
      <c r="F169">
        <v>12</v>
      </c>
      <c r="G169" t="s">
        <v>146</v>
      </c>
    </row>
    <row r="170" spans="1:7" hidden="1" x14ac:dyDescent="0.3">
      <c r="A170" t="s">
        <v>142</v>
      </c>
      <c r="B170" t="s">
        <v>92</v>
      </c>
      <c r="C170">
        <v>0.58140000000000003</v>
      </c>
      <c r="D170">
        <v>0.59989999999999999</v>
      </c>
      <c r="E170">
        <v>0.72370000000000001</v>
      </c>
      <c r="F170">
        <v>13</v>
      </c>
      <c r="G170" t="s">
        <v>146</v>
      </c>
    </row>
    <row r="171" spans="1:7" hidden="1" x14ac:dyDescent="0.3">
      <c r="A171" t="s">
        <v>142</v>
      </c>
      <c r="B171" t="s">
        <v>93</v>
      </c>
      <c r="C171">
        <v>0.43919999999999998</v>
      </c>
      <c r="D171">
        <v>0.46760000000000002</v>
      </c>
      <c r="E171">
        <v>0.46839999999999998</v>
      </c>
      <c r="F171">
        <v>12</v>
      </c>
      <c r="G171" t="s">
        <v>146</v>
      </c>
    </row>
    <row r="172" spans="1:7" hidden="1" x14ac:dyDescent="0.3">
      <c r="A172" t="s">
        <v>142</v>
      </c>
      <c r="B172" t="s">
        <v>94</v>
      </c>
      <c r="C172">
        <v>0.48570000000000002</v>
      </c>
      <c r="D172">
        <v>0.47689999999999999</v>
      </c>
      <c r="E172">
        <v>0.64459999999999995</v>
      </c>
      <c r="F172">
        <v>13</v>
      </c>
      <c r="G172" t="s">
        <v>146</v>
      </c>
    </row>
    <row r="173" spans="1:7" hidden="1" x14ac:dyDescent="0.3">
      <c r="A173" t="s">
        <v>142</v>
      </c>
      <c r="B173" t="s">
        <v>95</v>
      </c>
      <c r="C173">
        <v>0.78410000000000002</v>
      </c>
      <c r="D173">
        <v>0.78859999999999997</v>
      </c>
      <c r="E173">
        <v>0.7016</v>
      </c>
      <c r="F173">
        <v>12</v>
      </c>
      <c r="G173" t="s">
        <v>146</v>
      </c>
    </row>
    <row r="174" spans="1:7" hidden="1" x14ac:dyDescent="0.3">
      <c r="A174" t="s">
        <v>142</v>
      </c>
      <c r="B174" t="s">
        <v>96</v>
      </c>
      <c r="C174">
        <v>0.64939999999999998</v>
      </c>
      <c r="D174">
        <v>0.64929999999999999</v>
      </c>
      <c r="E174">
        <v>0.74990000000000001</v>
      </c>
      <c r="F174">
        <v>13</v>
      </c>
      <c r="G174" t="s">
        <v>146</v>
      </c>
    </row>
    <row r="175" spans="1:7" hidden="1" x14ac:dyDescent="0.3">
      <c r="A175" t="s">
        <v>142</v>
      </c>
      <c r="B175" t="s">
        <v>97</v>
      </c>
      <c r="C175">
        <v>0.77449999999999997</v>
      </c>
      <c r="D175">
        <v>0.78549999999999998</v>
      </c>
      <c r="E175">
        <v>0.67130000000000001</v>
      </c>
      <c r="F175">
        <v>12</v>
      </c>
      <c r="G175" t="s">
        <v>146</v>
      </c>
    </row>
    <row r="176" spans="1:7" hidden="1" x14ac:dyDescent="0.3">
      <c r="A176" t="s">
        <v>142</v>
      </c>
      <c r="B176" t="s">
        <v>97</v>
      </c>
      <c r="C176">
        <v>0.77449999999999997</v>
      </c>
      <c r="D176">
        <v>0.78549999999999998</v>
      </c>
      <c r="E176">
        <v>0.67130000000000001</v>
      </c>
      <c r="F176">
        <v>12</v>
      </c>
      <c r="G176" t="s">
        <v>146</v>
      </c>
    </row>
    <row r="177" spans="1:7" hidden="1" x14ac:dyDescent="0.3">
      <c r="A177" t="s">
        <v>142</v>
      </c>
      <c r="B177" t="s">
        <v>98</v>
      </c>
      <c r="C177">
        <v>0.8</v>
      </c>
      <c r="D177">
        <v>0.78190000000000004</v>
      </c>
      <c r="E177">
        <v>0.67469999999999997</v>
      </c>
      <c r="F177">
        <v>12</v>
      </c>
      <c r="G177" t="s">
        <v>146</v>
      </c>
    </row>
    <row r="178" spans="1:7" hidden="1" x14ac:dyDescent="0.3">
      <c r="A178" t="s">
        <v>142</v>
      </c>
      <c r="B178" t="s">
        <v>99</v>
      </c>
      <c r="C178">
        <v>0.876</v>
      </c>
      <c r="D178">
        <v>0.88</v>
      </c>
      <c r="E178">
        <v>0.80459999999999998</v>
      </c>
      <c r="F178">
        <v>12</v>
      </c>
      <c r="G178" t="s">
        <v>146</v>
      </c>
    </row>
    <row r="179" spans="1:7" hidden="1" x14ac:dyDescent="0.3">
      <c r="A179" t="s">
        <v>142</v>
      </c>
      <c r="B179" t="s">
        <v>100</v>
      </c>
      <c r="C179">
        <v>0.63639999999999997</v>
      </c>
      <c r="D179">
        <v>0.63049999999999995</v>
      </c>
      <c r="E179">
        <v>0.58789999999999998</v>
      </c>
      <c r="F179">
        <v>13</v>
      </c>
      <c r="G179" t="s">
        <v>146</v>
      </c>
    </row>
    <row r="180" spans="1:7" hidden="1" x14ac:dyDescent="0.3">
      <c r="A180" t="s">
        <v>142</v>
      </c>
      <c r="B180" t="s">
        <v>101</v>
      </c>
      <c r="C180">
        <v>0.79</v>
      </c>
      <c r="D180">
        <v>0.80200000000000005</v>
      </c>
      <c r="E180">
        <v>0.60109999999999997</v>
      </c>
      <c r="F180">
        <v>13</v>
      </c>
      <c r="G180" t="s">
        <v>146</v>
      </c>
    </row>
    <row r="181" spans="1:7" hidden="1" x14ac:dyDescent="0.3">
      <c r="A181" t="s">
        <v>143</v>
      </c>
      <c r="B181" t="s">
        <v>75</v>
      </c>
      <c r="C181">
        <v>4.7000000000000002E-3</v>
      </c>
      <c r="D181">
        <v>4.4999999999999997E-3</v>
      </c>
      <c r="E181">
        <v>0</v>
      </c>
      <c r="F181">
        <v>13</v>
      </c>
      <c r="G181" t="s">
        <v>146</v>
      </c>
    </row>
    <row r="182" spans="1:7" hidden="1" x14ac:dyDescent="0.3">
      <c r="A182" t="s">
        <v>143</v>
      </c>
      <c r="B182" t="s">
        <v>76</v>
      </c>
      <c r="C182">
        <v>0</v>
      </c>
      <c r="D182">
        <v>0</v>
      </c>
      <c r="E182">
        <v>0</v>
      </c>
      <c r="F182">
        <v>13</v>
      </c>
      <c r="G182" t="s">
        <v>146</v>
      </c>
    </row>
    <row r="183" spans="1:7" hidden="1" x14ac:dyDescent="0.3">
      <c r="A183" t="s">
        <v>143</v>
      </c>
      <c r="B183" t="s">
        <v>77</v>
      </c>
      <c r="C183">
        <v>3.3E-3</v>
      </c>
      <c r="D183">
        <v>1.5E-3</v>
      </c>
      <c r="E183">
        <v>0</v>
      </c>
      <c r="F183">
        <v>12</v>
      </c>
      <c r="G183" t="s">
        <v>146</v>
      </c>
    </row>
    <row r="184" spans="1:7" hidden="1" x14ac:dyDescent="0.3">
      <c r="A184" t="s">
        <v>143</v>
      </c>
      <c r="B184" t="s">
        <v>78</v>
      </c>
      <c r="C184">
        <v>5.7999999999999996E-3</v>
      </c>
      <c r="D184">
        <v>6.0000000000000001E-3</v>
      </c>
      <c r="E184">
        <v>0</v>
      </c>
      <c r="F184">
        <v>12</v>
      </c>
      <c r="G184" t="s">
        <v>146</v>
      </c>
    </row>
    <row r="185" spans="1:7" hidden="1" x14ac:dyDescent="0.3">
      <c r="A185" t="s">
        <v>143</v>
      </c>
      <c r="B185" t="s">
        <v>79</v>
      </c>
      <c r="C185">
        <v>0</v>
      </c>
      <c r="D185">
        <v>2.8E-3</v>
      </c>
      <c r="E185">
        <v>0</v>
      </c>
      <c r="F185">
        <v>12</v>
      </c>
      <c r="G185" t="s">
        <v>146</v>
      </c>
    </row>
    <row r="186" spans="1:7" hidden="1" x14ac:dyDescent="0.3">
      <c r="A186" t="s">
        <v>143</v>
      </c>
      <c r="B186" t="s">
        <v>80</v>
      </c>
      <c r="C186">
        <v>6.3E-3</v>
      </c>
      <c r="D186">
        <v>7.1000000000000004E-3</v>
      </c>
      <c r="E186">
        <v>0</v>
      </c>
      <c r="F186">
        <v>12</v>
      </c>
      <c r="G186" t="s">
        <v>146</v>
      </c>
    </row>
    <row r="187" spans="1:7" hidden="1" x14ac:dyDescent="0.3">
      <c r="A187" t="s">
        <v>143</v>
      </c>
      <c r="B187" t="s">
        <v>81</v>
      </c>
      <c r="C187">
        <v>3.7000000000000002E-3</v>
      </c>
      <c r="D187">
        <v>3.2000000000000002E-3</v>
      </c>
      <c r="E187">
        <v>0</v>
      </c>
      <c r="F187">
        <v>13</v>
      </c>
      <c r="G187" t="s">
        <v>146</v>
      </c>
    </row>
    <row r="188" spans="1:7" hidden="1" x14ac:dyDescent="0.3">
      <c r="A188" t="s">
        <v>143</v>
      </c>
      <c r="B188" t="s">
        <v>82</v>
      </c>
      <c r="C188">
        <v>1.5E-3</v>
      </c>
      <c r="D188">
        <v>1.1999999999999999E-3</v>
      </c>
      <c r="E188">
        <v>0</v>
      </c>
      <c r="F188">
        <v>12</v>
      </c>
      <c r="G188" t="s">
        <v>146</v>
      </c>
    </row>
    <row r="189" spans="1:7" hidden="1" x14ac:dyDescent="0.3">
      <c r="A189" t="s">
        <v>143</v>
      </c>
      <c r="B189" t="s">
        <v>83</v>
      </c>
      <c r="C189">
        <v>1.18E-2</v>
      </c>
      <c r="D189">
        <v>1.34E-2</v>
      </c>
      <c r="E189">
        <v>5.4000000000000003E-3</v>
      </c>
      <c r="F189">
        <v>13</v>
      </c>
      <c r="G189" t="s">
        <v>146</v>
      </c>
    </row>
    <row r="190" spans="1:7" hidden="1" x14ac:dyDescent="0.3">
      <c r="A190" t="s">
        <v>143</v>
      </c>
      <c r="B190" t="s">
        <v>84</v>
      </c>
      <c r="C190">
        <v>1.47E-2</v>
      </c>
      <c r="D190">
        <v>1.5299999999999999E-2</v>
      </c>
      <c r="E190" s="8">
        <v>2.7699999999999999E-5</v>
      </c>
      <c r="F190">
        <v>13</v>
      </c>
      <c r="G190" t="s">
        <v>146</v>
      </c>
    </row>
    <row r="191" spans="1:7" hidden="1" x14ac:dyDescent="0.3">
      <c r="A191" t="s">
        <v>143</v>
      </c>
      <c r="B191" t="s">
        <v>85</v>
      </c>
      <c r="C191">
        <v>7.4999999999999997E-3</v>
      </c>
      <c r="D191">
        <v>4.4999999999999997E-3</v>
      </c>
      <c r="E191">
        <v>0</v>
      </c>
      <c r="F191">
        <v>13</v>
      </c>
      <c r="G191" t="s">
        <v>146</v>
      </c>
    </row>
    <row r="192" spans="1:7" hidden="1" x14ac:dyDescent="0.3">
      <c r="A192" t="s">
        <v>143</v>
      </c>
      <c r="B192" t="s">
        <v>86</v>
      </c>
      <c r="C192">
        <v>2.1299999999999999E-2</v>
      </c>
      <c r="D192">
        <v>1.29E-2</v>
      </c>
      <c r="E192">
        <v>1.4200000000000001E-2</v>
      </c>
      <c r="F192">
        <v>13</v>
      </c>
      <c r="G192" t="s">
        <v>146</v>
      </c>
    </row>
    <row r="193" spans="1:7" hidden="1" x14ac:dyDescent="0.3">
      <c r="A193" t="s">
        <v>143</v>
      </c>
      <c r="B193" t="s">
        <v>87</v>
      </c>
      <c r="C193">
        <v>0</v>
      </c>
      <c r="D193" s="8">
        <v>5.9999999999999995E-4</v>
      </c>
      <c r="E193">
        <v>0</v>
      </c>
      <c r="F193">
        <v>12</v>
      </c>
      <c r="G193" t="s">
        <v>146</v>
      </c>
    </row>
    <row r="194" spans="1:7" hidden="1" x14ac:dyDescent="0.3">
      <c r="A194" t="s">
        <v>143</v>
      </c>
      <c r="B194" t="s">
        <v>88</v>
      </c>
      <c r="C194">
        <v>1.9E-3</v>
      </c>
      <c r="D194">
        <v>1.2999999999999999E-3</v>
      </c>
      <c r="E194">
        <v>0</v>
      </c>
      <c r="F194">
        <v>13</v>
      </c>
      <c r="G194" t="s">
        <v>146</v>
      </c>
    </row>
    <row r="195" spans="1:7" hidden="1" x14ac:dyDescent="0.3">
      <c r="A195" t="s">
        <v>143</v>
      </c>
      <c r="B195" t="s">
        <v>89</v>
      </c>
      <c r="C195">
        <v>1.6899999999999998E-2</v>
      </c>
      <c r="D195">
        <v>1.95E-2</v>
      </c>
      <c r="E195">
        <v>7.6E-3</v>
      </c>
      <c r="F195">
        <v>13</v>
      </c>
      <c r="G195" t="s">
        <v>146</v>
      </c>
    </row>
    <row r="196" spans="1:7" hidden="1" x14ac:dyDescent="0.3">
      <c r="A196" t="s">
        <v>143</v>
      </c>
      <c r="B196" t="s">
        <v>90</v>
      </c>
      <c r="C196">
        <v>0</v>
      </c>
      <c r="D196">
        <v>0</v>
      </c>
      <c r="E196">
        <v>0</v>
      </c>
      <c r="F196">
        <v>12</v>
      </c>
      <c r="G196" t="s">
        <v>146</v>
      </c>
    </row>
    <row r="197" spans="1:7" hidden="1" x14ac:dyDescent="0.3">
      <c r="A197" t="s">
        <v>143</v>
      </c>
      <c r="B197" t="s">
        <v>91</v>
      </c>
      <c r="C197">
        <v>0</v>
      </c>
      <c r="D197" s="8">
        <v>4.0000000000000002E-4</v>
      </c>
      <c r="E197">
        <v>0</v>
      </c>
      <c r="F197">
        <v>12</v>
      </c>
      <c r="G197" t="s">
        <v>146</v>
      </c>
    </row>
    <row r="198" spans="1:7" hidden="1" x14ac:dyDescent="0.3">
      <c r="A198" t="s">
        <v>143</v>
      </c>
      <c r="B198" t="s">
        <v>92</v>
      </c>
      <c r="C198" s="8">
        <v>2.9999999999999997E-4</v>
      </c>
      <c r="D198" s="8">
        <v>2.9999999999999997E-4</v>
      </c>
      <c r="E198">
        <v>0</v>
      </c>
      <c r="F198">
        <v>13</v>
      </c>
      <c r="G198" t="s">
        <v>146</v>
      </c>
    </row>
    <row r="199" spans="1:7" hidden="1" x14ac:dyDescent="0.3">
      <c r="A199" t="s">
        <v>143</v>
      </c>
      <c r="B199" t="s">
        <v>93</v>
      </c>
      <c r="C199">
        <v>3.0000000000000001E-3</v>
      </c>
      <c r="D199">
        <v>1.8E-3</v>
      </c>
      <c r="E199">
        <v>0</v>
      </c>
      <c r="F199">
        <v>12</v>
      </c>
      <c r="G199" t="s">
        <v>146</v>
      </c>
    </row>
    <row r="200" spans="1:7" hidden="1" x14ac:dyDescent="0.3">
      <c r="A200" t="s">
        <v>143</v>
      </c>
      <c r="B200" t="s">
        <v>94</v>
      </c>
      <c r="C200" s="8">
        <v>6.9999999999999999E-4</v>
      </c>
      <c r="D200" s="8">
        <v>8.0000000000000004E-4</v>
      </c>
      <c r="E200">
        <v>0</v>
      </c>
      <c r="F200">
        <v>13</v>
      </c>
      <c r="G200" t="s">
        <v>146</v>
      </c>
    </row>
    <row r="201" spans="1:7" hidden="1" x14ac:dyDescent="0.3">
      <c r="A201" t="s">
        <v>143</v>
      </c>
      <c r="B201" t="s">
        <v>95</v>
      </c>
      <c r="C201">
        <v>1.2999999999999999E-3</v>
      </c>
      <c r="D201">
        <v>2.5000000000000001E-3</v>
      </c>
      <c r="E201">
        <v>0</v>
      </c>
      <c r="F201">
        <v>12</v>
      </c>
      <c r="G201" t="s">
        <v>146</v>
      </c>
    </row>
    <row r="202" spans="1:7" hidden="1" x14ac:dyDescent="0.3">
      <c r="A202" t="s">
        <v>143</v>
      </c>
      <c r="B202" t="s">
        <v>96</v>
      </c>
      <c r="C202">
        <v>1.84E-2</v>
      </c>
      <c r="D202">
        <v>2.4500000000000001E-2</v>
      </c>
      <c r="E202">
        <v>5.4000000000000003E-3</v>
      </c>
      <c r="F202">
        <v>13</v>
      </c>
      <c r="G202" t="s">
        <v>146</v>
      </c>
    </row>
    <row r="203" spans="1:7" hidden="1" x14ac:dyDescent="0.3">
      <c r="A203" t="s">
        <v>143</v>
      </c>
      <c r="B203" t="s">
        <v>97</v>
      </c>
      <c r="C203">
        <v>4.7999999999999996E-3</v>
      </c>
      <c r="D203">
        <v>9.5999999999999992E-3</v>
      </c>
      <c r="E203">
        <v>0</v>
      </c>
      <c r="F203">
        <v>12</v>
      </c>
      <c r="G203" t="s">
        <v>146</v>
      </c>
    </row>
    <row r="204" spans="1:7" hidden="1" x14ac:dyDescent="0.3">
      <c r="A204" t="s">
        <v>143</v>
      </c>
      <c r="B204" t="s">
        <v>97</v>
      </c>
      <c r="C204">
        <v>4.7999999999999996E-3</v>
      </c>
      <c r="D204">
        <v>9.5999999999999992E-3</v>
      </c>
      <c r="E204">
        <v>0</v>
      </c>
      <c r="F204">
        <v>12</v>
      </c>
      <c r="G204" t="s">
        <v>146</v>
      </c>
    </row>
    <row r="205" spans="1:7" hidden="1" x14ac:dyDescent="0.3">
      <c r="A205" t="s">
        <v>143</v>
      </c>
      <c r="B205" t="s">
        <v>98</v>
      </c>
      <c r="C205">
        <v>0</v>
      </c>
      <c r="D205">
        <v>0</v>
      </c>
      <c r="E205">
        <v>0</v>
      </c>
      <c r="F205">
        <v>12</v>
      </c>
      <c r="G205" t="s">
        <v>146</v>
      </c>
    </row>
    <row r="206" spans="1:7" hidden="1" x14ac:dyDescent="0.3">
      <c r="A206" t="s">
        <v>143</v>
      </c>
      <c r="B206" t="s">
        <v>99</v>
      </c>
      <c r="C206" s="8">
        <v>5.9999999999999995E-4</v>
      </c>
      <c r="D206" s="8">
        <v>2.9999999999999997E-4</v>
      </c>
      <c r="E206">
        <v>0</v>
      </c>
      <c r="F206">
        <v>12</v>
      </c>
      <c r="G206" t="s">
        <v>146</v>
      </c>
    </row>
    <row r="207" spans="1:7" hidden="1" x14ac:dyDescent="0.3">
      <c r="A207" t="s">
        <v>143</v>
      </c>
      <c r="B207" t="s">
        <v>100</v>
      </c>
      <c r="C207">
        <v>4.41E-2</v>
      </c>
      <c r="D207">
        <v>4.2099999999999999E-2</v>
      </c>
      <c r="E207">
        <v>1.17E-2</v>
      </c>
      <c r="F207">
        <v>13</v>
      </c>
      <c r="G207" t="s">
        <v>146</v>
      </c>
    </row>
    <row r="208" spans="1:7" hidden="1" x14ac:dyDescent="0.3">
      <c r="A208" t="s">
        <v>143</v>
      </c>
      <c r="B208" t="s">
        <v>101</v>
      </c>
      <c r="C208">
        <v>2.3400000000000001E-2</v>
      </c>
      <c r="D208">
        <v>2.0799999999999999E-2</v>
      </c>
      <c r="E208">
        <v>1.11E-2</v>
      </c>
      <c r="F208">
        <v>13</v>
      </c>
      <c r="G208" t="s">
        <v>146</v>
      </c>
    </row>
    <row r="209" spans="1:7" hidden="1" x14ac:dyDescent="0.3">
      <c r="A209" t="s">
        <v>144</v>
      </c>
      <c r="B209" t="s">
        <v>75</v>
      </c>
      <c r="C209">
        <v>0.15690000000000001</v>
      </c>
      <c r="D209">
        <v>0.1482</v>
      </c>
      <c r="E209">
        <v>0.1033</v>
      </c>
      <c r="F209">
        <v>13</v>
      </c>
      <c r="G209" t="s">
        <v>146</v>
      </c>
    </row>
    <row r="210" spans="1:7" hidden="1" x14ac:dyDescent="0.3">
      <c r="A210" t="s">
        <v>144</v>
      </c>
      <c r="B210" t="s">
        <v>76</v>
      </c>
      <c r="C210">
        <v>0.1681</v>
      </c>
      <c r="D210">
        <v>0.1613</v>
      </c>
      <c r="E210">
        <v>0.1033</v>
      </c>
      <c r="F210">
        <v>13</v>
      </c>
      <c r="G210" t="s">
        <v>146</v>
      </c>
    </row>
    <row r="211" spans="1:7" hidden="1" x14ac:dyDescent="0.3">
      <c r="A211" t="s">
        <v>144</v>
      </c>
      <c r="B211" t="s">
        <v>77</v>
      </c>
      <c r="C211">
        <v>6.6600000000000006E-2</v>
      </c>
      <c r="D211">
        <v>5.8200000000000002E-2</v>
      </c>
      <c r="E211">
        <v>8.5400000000000004E-2</v>
      </c>
      <c r="F211">
        <v>12</v>
      </c>
      <c r="G211" t="s">
        <v>146</v>
      </c>
    </row>
    <row r="212" spans="1:7" hidden="1" x14ac:dyDescent="0.3">
      <c r="A212" t="s">
        <v>144</v>
      </c>
      <c r="B212" t="s">
        <v>78</v>
      </c>
      <c r="C212">
        <v>9.8299999999999998E-2</v>
      </c>
      <c r="D212">
        <v>9.7500000000000003E-2</v>
      </c>
      <c r="E212">
        <v>8.5400000000000004E-2</v>
      </c>
      <c r="F212">
        <v>12</v>
      </c>
      <c r="G212" t="s">
        <v>146</v>
      </c>
    </row>
    <row r="213" spans="1:7" hidden="1" x14ac:dyDescent="0.3">
      <c r="A213" t="s">
        <v>144</v>
      </c>
      <c r="B213" t="s">
        <v>79</v>
      </c>
      <c r="C213">
        <v>0.48370000000000002</v>
      </c>
      <c r="D213">
        <v>0.46899999999999997</v>
      </c>
      <c r="E213">
        <v>0.47039999999999998</v>
      </c>
      <c r="F213">
        <v>12</v>
      </c>
      <c r="G213" t="s">
        <v>146</v>
      </c>
    </row>
    <row r="214" spans="1:7" hidden="1" x14ac:dyDescent="0.3">
      <c r="A214" t="s">
        <v>144</v>
      </c>
      <c r="B214" t="s">
        <v>80</v>
      </c>
      <c r="C214">
        <v>7.4300000000000005E-2</v>
      </c>
      <c r="D214">
        <v>6.9400000000000003E-2</v>
      </c>
      <c r="E214">
        <v>8.5400000000000004E-2</v>
      </c>
      <c r="F214">
        <v>12</v>
      </c>
      <c r="G214" t="s">
        <v>146</v>
      </c>
    </row>
    <row r="215" spans="1:7" hidden="1" x14ac:dyDescent="0.3">
      <c r="A215" t="s">
        <v>144</v>
      </c>
      <c r="B215" t="s">
        <v>81</v>
      </c>
      <c r="C215">
        <v>0.20250000000000001</v>
      </c>
      <c r="D215">
        <v>0.1913</v>
      </c>
      <c r="E215">
        <v>9.8100000000000007E-2</v>
      </c>
      <c r="F215">
        <v>13</v>
      </c>
      <c r="G215" t="s">
        <v>146</v>
      </c>
    </row>
    <row r="216" spans="1:7" hidden="1" x14ac:dyDescent="0.3">
      <c r="A216" t="s">
        <v>144</v>
      </c>
      <c r="B216" t="s">
        <v>82</v>
      </c>
      <c r="C216">
        <v>8.2699999999999996E-2</v>
      </c>
      <c r="D216">
        <v>6.8900000000000003E-2</v>
      </c>
      <c r="E216">
        <v>8.5400000000000004E-2</v>
      </c>
      <c r="F216">
        <v>12</v>
      </c>
      <c r="G216" t="s">
        <v>146</v>
      </c>
    </row>
    <row r="217" spans="1:7" hidden="1" x14ac:dyDescent="0.3">
      <c r="A217" t="s">
        <v>144</v>
      </c>
      <c r="B217" t="s">
        <v>83</v>
      </c>
      <c r="C217">
        <v>0.1898</v>
      </c>
      <c r="D217">
        <v>0.18629999999999999</v>
      </c>
      <c r="E217">
        <v>8.6699999999999999E-2</v>
      </c>
      <c r="F217">
        <v>13</v>
      </c>
      <c r="G217" t="s">
        <v>146</v>
      </c>
    </row>
    <row r="218" spans="1:7" hidden="1" x14ac:dyDescent="0.3">
      <c r="A218" t="s">
        <v>144</v>
      </c>
      <c r="B218" t="s">
        <v>84</v>
      </c>
      <c r="C218">
        <v>0.1618</v>
      </c>
      <c r="D218">
        <v>0.1515</v>
      </c>
      <c r="E218">
        <v>8.6900000000000005E-2</v>
      </c>
      <c r="F218">
        <v>13</v>
      </c>
      <c r="G218" t="s">
        <v>146</v>
      </c>
    </row>
    <row r="219" spans="1:7" hidden="1" x14ac:dyDescent="0.3">
      <c r="A219" t="s">
        <v>144</v>
      </c>
      <c r="B219" t="s">
        <v>85</v>
      </c>
      <c r="C219">
        <v>0.1295</v>
      </c>
      <c r="D219">
        <v>0.12820000000000001</v>
      </c>
      <c r="E219">
        <v>0.1191</v>
      </c>
      <c r="F219">
        <v>13</v>
      </c>
      <c r="G219" t="s">
        <v>146</v>
      </c>
    </row>
    <row r="220" spans="1:7" hidden="1" x14ac:dyDescent="0.3">
      <c r="A220" t="s">
        <v>144</v>
      </c>
      <c r="B220" t="s">
        <v>86</v>
      </c>
      <c r="C220">
        <v>0.1608</v>
      </c>
      <c r="D220">
        <v>0.15620000000000001</v>
      </c>
      <c r="E220">
        <v>0.16239999999999999</v>
      </c>
      <c r="F220">
        <v>13</v>
      </c>
      <c r="G220" t="s">
        <v>146</v>
      </c>
    </row>
    <row r="221" spans="1:7" hidden="1" x14ac:dyDescent="0.3">
      <c r="A221" t="s">
        <v>144</v>
      </c>
      <c r="B221" t="s">
        <v>87</v>
      </c>
      <c r="C221">
        <v>5.7700000000000001E-2</v>
      </c>
      <c r="D221">
        <v>5.5300000000000002E-2</v>
      </c>
      <c r="E221">
        <v>8.5400000000000004E-2</v>
      </c>
      <c r="F221">
        <v>12</v>
      </c>
      <c r="G221" t="s">
        <v>146</v>
      </c>
    </row>
    <row r="222" spans="1:7" hidden="1" x14ac:dyDescent="0.3">
      <c r="A222" t="s">
        <v>144</v>
      </c>
      <c r="B222" t="s">
        <v>88</v>
      </c>
      <c r="C222">
        <v>0.28310000000000002</v>
      </c>
      <c r="D222">
        <v>0.27039999999999997</v>
      </c>
      <c r="E222">
        <v>0.10539999999999999</v>
      </c>
      <c r="F222">
        <v>13</v>
      </c>
      <c r="G222" t="s">
        <v>146</v>
      </c>
    </row>
    <row r="223" spans="1:7" hidden="1" x14ac:dyDescent="0.3">
      <c r="A223" t="s">
        <v>144</v>
      </c>
      <c r="B223" t="s">
        <v>89</v>
      </c>
      <c r="C223">
        <v>0.1245</v>
      </c>
      <c r="D223">
        <v>0.1173</v>
      </c>
      <c r="E223">
        <v>9.2499999999999999E-2</v>
      </c>
      <c r="F223">
        <v>13</v>
      </c>
      <c r="G223" t="s">
        <v>146</v>
      </c>
    </row>
    <row r="224" spans="1:7" hidden="1" x14ac:dyDescent="0.3">
      <c r="A224" t="s">
        <v>144</v>
      </c>
      <c r="B224" t="s">
        <v>90</v>
      </c>
      <c r="C224">
        <v>0.15690000000000001</v>
      </c>
      <c r="D224">
        <v>0.14849999999999999</v>
      </c>
      <c r="E224">
        <v>8.5400000000000004E-2</v>
      </c>
      <c r="F224">
        <v>12</v>
      </c>
      <c r="G224" t="s">
        <v>146</v>
      </c>
    </row>
    <row r="225" spans="1:13" hidden="1" x14ac:dyDescent="0.3">
      <c r="A225" t="s">
        <v>144</v>
      </c>
      <c r="B225" t="s">
        <v>91</v>
      </c>
      <c r="C225">
        <v>7.7200000000000005E-2</v>
      </c>
      <c r="D225">
        <v>6.3200000000000006E-2</v>
      </c>
      <c r="E225">
        <v>8.5400000000000004E-2</v>
      </c>
      <c r="F225">
        <v>12</v>
      </c>
      <c r="G225" t="s">
        <v>146</v>
      </c>
    </row>
    <row r="226" spans="1:13" hidden="1" x14ac:dyDescent="0.3">
      <c r="A226" t="s">
        <v>144</v>
      </c>
      <c r="B226" t="s">
        <v>92</v>
      </c>
      <c r="C226">
        <v>0.33489999999999998</v>
      </c>
      <c r="D226">
        <v>0.31190000000000001</v>
      </c>
      <c r="E226">
        <v>0.1298</v>
      </c>
      <c r="F226">
        <v>13</v>
      </c>
      <c r="G226" t="s">
        <v>146</v>
      </c>
    </row>
    <row r="227" spans="1:13" hidden="1" x14ac:dyDescent="0.3">
      <c r="A227" t="s">
        <v>144</v>
      </c>
      <c r="B227" t="s">
        <v>93</v>
      </c>
      <c r="C227">
        <v>0.51829999999999998</v>
      </c>
      <c r="D227">
        <v>0.48849999999999999</v>
      </c>
      <c r="E227">
        <v>0.4894</v>
      </c>
      <c r="F227">
        <v>12</v>
      </c>
      <c r="G227" t="s">
        <v>146</v>
      </c>
    </row>
    <row r="228" spans="1:13" hidden="1" x14ac:dyDescent="0.3">
      <c r="A228" t="s">
        <v>144</v>
      </c>
      <c r="B228" t="s">
        <v>94</v>
      </c>
      <c r="C228">
        <v>0.4037</v>
      </c>
      <c r="D228">
        <v>0.4098</v>
      </c>
      <c r="E228">
        <v>0.12180000000000001</v>
      </c>
      <c r="F228">
        <v>13</v>
      </c>
      <c r="G228" t="s">
        <v>146</v>
      </c>
    </row>
    <row r="229" spans="1:13" hidden="1" x14ac:dyDescent="0.3">
      <c r="A229" t="s">
        <v>144</v>
      </c>
      <c r="B229" t="s">
        <v>95</v>
      </c>
      <c r="C229">
        <v>6.7799999999999999E-2</v>
      </c>
      <c r="D229">
        <v>6.6000000000000003E-2</v>
      </c>
      <c r="E229">
        <v>8.5400000000000004E-2</v>
      </c>
      <c r="F229">
        <v>12</v>
      </c>
      <c r="G229" t="s">
        <v>146</v>
      </c>
    </row>
    <row r="230" spans="1:13" hidden="1" x14ac:dyDescent="0.3">
      <c r="A230" t="s">
        <v>144</v>
      </c>
      <c r="B230" t="s">
        <v>96</v>
      </c>
      <c r="C230">
        <v>0.2359</v>
      </c>
      <c r="D230">
        <v>0.23250000000000001</v>
      </c>
      <c r="E230">
        <v>8.4900000000000003E-2</v>
      </c>
      <c r="F230">
        <v>13</v>
      </c>
      <c r="G230" t="s">
        <v>146</v>
      </c>
    </row>
    <row r="231" spans="1:13" hidden="1" x14ac:dyDescent="0.3">
      <c r="A231" t="s">
        <v>144</v>
      </c>
      <c r="B231" t="s">
        <v>97</v>
      </c>
      <c r="C231">
        <v>5.3800000000000001E-2</v>
      </c>
      <c r="D231">
        <v>4.7399999999999998E-2</v>
      </c>
      <c r="E231">
        <v>8.5400000000000004E-2</v>
      </c>
      <c r="F231">
        <v>12</v>
      </c>
      <c r="G231" t="s">
        <v>146</v>
      </c>
    </row>
    <row r="232" spans="1:13" hidden="1" x14ac:dyDescent="0.3">
      <c r="A232" t="s">
        <v>144</v>
      </c>
      <c r="B232" t="s">
        <v>97</v>
      </c>
      <c r="C232">
        <v>5.3800000000000001E-2</v>
      </c>
      <c r="D232">
        <v>4.7399999999999998E-2</v>
      </c>
      <c r="E232">
        <v>8.5400000000000004E-2</v>
      </c>
      <c r="F232">
        <v>12</v>
      </c>
      <c r="G232" t="s">
        <v>146</v>
      </c>
    </row>
    <row r="233" spans="1:13" hidden="1" x14ac:dyDescent="0.3">
      <c r="A233" t="s">
        <v>144</v>
      </c>
      <c r="B233" t="s">
        <v>98</v>
      </c>
      <c r="C233">
        <v>3.32E-2</v>
      </c>
      <c r="D233">
        <v>3.15E-2</v>
      </c>
      <c r="E233">
        <v>8.5400000000000004E-2</v>
      </c>
      <c r="F233">
        <v>12</v>
      </c>
      <c r="G233" t="s">
        <v>146</v>
      </c>
    </row>
    <row r="234" spans="1:13" hidden="1" x14ac:dyDescent="0.3">
      <c r="A234" t="s">
        <v>144</v>
      </c>
      <c r="B234" t="s">
        <v>99</v>
      </c>
      <c r="C234">
        <v>2.4500000000000001E-2</v>
      </c>
      <c r="D234">
        <v>2.4E-2</v>
      </c>
      <c r="E234">
        <v>8.5400000000000004E-2</v>
      </c>
      <c r="F234">
        <v>12</v>
      </c>
      <c r="G234" t="s">
        <v>146</v>
      </c>
    </row>
    <row r="235" spans="1:13" hidden="1" x14ac:dyDescent="0.3">
      <c r="A235" t="s">
        <v>144</v>
      </c>
      <c r="B235" t="s">
        <v>100</v>
      </c>
      <c r="C235">
        <v>0.21240000000000001</v>
      </c>
      <c r="D235">
        <v>0.20250000000000001</v>
      </c>
      <c r="E235">
        <v>9.8699999999999996E-2</v>
      </c>
      <c r="F235">
        <v>13</v>
      </c>
      <c r="G235" t="s">
        <v>146</v>
      </c>
    </row>
    <row r="236" spans="1:13" hidden="1" x14ac:dyDescent="0.3">
      <c r="A236" t="s">
        <v>144</v>
      </c>
      <c r="B236" t="s">
        <v>101</v>
      </c>
      <c r="C236">
        <v>6.1100000000000002E-2</v>
      </c>
      <c r="D236">
        <v>5.91E-2</v>
      </c>
      <c r="E236">
        <v>4.4400000000000002E-2</v>
      </c>
      <c r="F236">
        <v>13</v>
      </c>
      <c r="G236" t="s">
        <v>146</v>
      </c>
    </row>
    <row r="239" spans="1:13" s="5" customFormat="1" x14ac:dyDescent="0.3">
      <c r="A239" s="5" t="s">
        <v>147</v>
      </c>
    </row>
    <row r="240" spans="1:13" x14ac:dyDescent="0.3">
      <c r="A240" t="s">
        <v>145</v>
      </c>
      <c r="B240" t="s">
        <v>116</v>
      </c>
      <c r="C240">
        <v>2015</v>
      </c>
      <c r="D240">
        <v>2020</v>
      </c>
      <c r="E240">
        <v>2050</v>
      </c>
      <c r="F240" t="s">
        <v>103</v>
      </c>
      <c r="H240" t="s">
        <v>116</v>
      </c>
      <c r="I240" t="s">
        <v>145</v>
      </c>
      <c r="J240">
        <v>2015</v>
      </c>
      <c r="K240">
        <v>2020</v>
      </c>
      <c r="L240">
        <v>2050</v>
      </c>
      <c r="M240" t="s">
        <v>109</v>
      </c>
    </row>
    <row r="241" spans="1:13" x14ac:dyDescent="0.3">
      <c r="A241">
        <v>12</v>
      </c>
      <c r="B241" t="s">
        <v>140</v>
      </c>
      <c r="C241">
        <v>7.1471428571428602E-2</v>
      </c>
      <c r="D241">
        <v>7.2092857142857097E-2</v>
      </c>
      <c r="E241">
        <v>7.0849999999999996E-2</v>
      </c>
      <c r="F241" t="s">
        <v>150</v>
      </c>
      <c r="H241" t="s">
        <v>144</v>
      </c>
      <c r="I241">
        <v>12</v>
      </c>
      <c r="J241">
        <v>26465.102519799999</v>
      </c>
      <c r="K241">
        <v>25082.175322700001</v>
      </c>
      <c r="L241">
        <v>30046.097194000002</v>
      </c>
      <c r="M241" s="39" t="s">
        <v>188</v>
      </c>
    </row>
    <row r="242" spans="1:13" x14ac:dyDescent="0.3">
      <c r="A242">
        <v>12</v>
      </c>
      <c r="B242" t="s">
        <v>143</v>
      </c>
      <c r="C242">
        <v>2.2428571428571402E-3</v>
      </c>
      <c r="D242">
        <v>3.0999999999999999E-3</v>
      </c>
      <c r="E242">
        <v>0</v>
      </c>
      <c r="F242" t="s">
        <v>150</v>
      </c>
      <c r="H242" t="s">
        <v>144</v>
      </c>
      <c r="I242">
        <v>13</v>
      </c>
      <c r="J242">
        <v>50618.2001771</v>
      </c>
      <c r="K242">
        <v>48798.193477200002</v>
      </c>
      <c r="L242">
        <v>20356.115123200001</v>
      </c>
      <c r="M242" s="39" t="s">
        <v>188</v>
      </c>
    </row>
    <row r="243" spans="1:13" x14ac:dyDescent="0.3">
      <c r="A243">
        <v>12</v>
      </c>
      <c r="B243" s="10" t="s">
        <v>144</v>
      </c>
      <c r="C243" s="10">
        <v>0.13205714285714301</v>
      </c>
      <c r="D243" s="10">
        <v>0.123914285714286</v>
      </c>
      <c r="E243" s="10">
        <v>0.141757142857143</v>
      </c>
      <c r="F243" t="s">
        <v>150</v>
      </c>
      <c r="H243" t="s">
        <v>186</v>
      </c>
      <c r="I243">
        <v>12</v>
      </c>
      <c r="J243">
        <v>145263.63542400001</v>
      </c>
      <c r="K243">
        <v>155496.28096800001</v>
      </c>
      <c r="L243">
        <v>181455.60719000001</v>
      </c>
      <c r="M243" s="39" t="s">
        <v>188</v>
      </c>
    </row>
    <row r="244" spans="1:13" x14ac:dyDescent="0.3">
      <c r="A244">
        <v>12</v>
      </c>
      <c r="B244" t="s">
        <v>142</v>
      </c>
      <c r="C244">
        <v>0.74164285714285705</v>
      </c>
      <c r="D244">
        <v>0.751142857142857</v>
      </c>
      <c r="E244">
        <v>0.69492142857142902</v>
      </c>
      <c r="F244" t="s">
        <v>150</v>
      </c>
      <c r="H244" t="s">
        <v>186</v>
      </c>
      <c r="I244">
        <v>13</v>
      </c>
      <c r="J244">
        <v>229105.25013999999</v>
      </c>
      <c r="K244">
        <v>231963.82196</v>
      </c>
      <c r="L244">
        <v>183841.65023999999</v>
      </c>
      <c r="M244" s="39" t="s">
        <v>188</v>
      </c>
    </row>
    <row r="245" spans="1:13" x14ac:dyDescent="0.3">
      <c r="A245">
        <v>12</v>
      </c>
      <c r="B245" t="s">
        <v>141</v>
      </c>
      <c r="C245">
        <v>5.2549999999999999E-2</v>
      </c>
      <c r="D245">
        <v>4.9750000000000003E-2</v>
      </c>
      <c r="E245">
        <v>9.2471428571428593E-2</v>
      </c>
      <c r="F245" t="s">
        <v>150</v>
      </c>
      <c r="M245" s="40"/>
    </row>
    <row r="246" spans="1:13" x14ac:dyDescent="0.3">
      <c r="A246">
        <v>13</v>
      </c>
      <c r="B246" t="s">
        <v>140</v>
      </c>
      <c r="C246">
        <v>4.7592857142857103E-2</v>
      </c>
      <c r="D246">
        <v>4.7857142857142897E-2</v>
      </c>
      <c r="E246">
        <v>8.7585714285714295E-2</v>
      </c>
      <c r="F246" t="s">
        <v>150</v>
      </c>
      <c r="H246" t="s">
        <v>441</v>
      </c>
    </row>
    <row r="247" spans="1:13" x14ac:dyDescent="0.3">
      <c r="A247">
        <v>13</v>
      </c>
      <c r="B247" t="s">
        <v>143</v>
      </c>
      <c r="C247">
        <v>1.21E-2</v>
      </c>
      <c r="D247">
        <v>1.1650000000000001E-2</v>
      </c>
      <c r="E247">
        <v>3.9591214285714304E-3</v>
      </c>
      <c r="F247" t="s">
        <v>150</v>
      </c>
      <c r="H247" t="s">
        <v>187</v>
      </c>
      <c r="I247">
        <v>12</v>
      </c>
      <c r="L247">
        <f>(L241-J241)/J241 * 0.5</f>
        <v>6.7655031215557618E-2</v>
      </c>
    </row>
    <row r="248" spans="1:13" x14ac:dyDescent="0.3">
      <c r="A248">
        <v>13</v>
      </c>
      <c r="B248" s="10" t="s">
        <v>144</v>
      </c>
      <c r="C248" s="10">
        <v>0.20178571428571401</v>
      </c>
      <c r="D248" s="10">
        <v>0.19475000000000001</v>
      </c>
      <c r="E248" s="10">
        <v>0.102664285714286</v>
      </c>
      <c r="F248" t="s">
        <v>150</v>
      </c>
      <c r="H248" t="s">
        <v>187</v>
      </c>
      <c r="I248">
        <v>13</v>
      </c>
      <c r="L248">
        <f>(L242-J242)/J242 * 0.5</f>
        <v>-0.29892494150345905</v>
      </c>
    </row>
    <row r="249" spans="1:13" x14ac:dyDescent="0.3">
      <c r="A249">
        <v>13</v>
      </c>
      <c r="B249" t="s">
        <v>142</v>
      </c>
      <c r="C249">
        <v>0.676878571428571</v>
      </c>
      <c r="D249">
        <v>0.68233571428571405</v>
      </c>
      <c r="E249">
        <v>0.66785000000000005</v>
      </c>
      <c r="F249" t="s">
        <v>150</v>
      </c>
    </row>
    <row r="250" spans="1:13" x14ac:dyDescent="0.3">
      <c r="A250">
        <v>13</v>
      </c>
      <c r="B250" t="s">
        <v>141</v>
      </c>
      <c r="C250">
        <v>6.1621428571428598E-2</v>
      </c>
      <c r="D250">
        <v>6.3399999999999998E-2</v>
      </c>
      <c r="E250">
        <v>0.13797142857142899</v>
      </c>
      <c r="F250" t="s">
        <v>150</v>
      </c>
    </row>
    <row r="253" spans="1:13" s="5" customFormat="1" x14ac:dyDescent="0.3">
      <c r="A253" s="5" t="s">
        <v>148</v>
      </c>
    </row>
    <row r="254" spans="1:13" x14ac:dyDescent="0.3">
      <c r="A254" t="s">
        <v>145</v>
      </c>
      <c r="B254" t="s">
        <v>116</v>
      </c>
      <c r="C254" t="s">
        <v>71</v>
      </c>
      <c r="D254" t="s">
        <v>149</v>
      </c>
      <c r="E254" t="s">
        <v>103</v>
      </c>
    </row>
    <row r="255" spans="1:13" hidden="1" x14ac:dyDescent="0.3">
      <c r="A255">
        <v>12</v>
      </c>
      <c r="B255" t="s">
        <v>140</v>
      </c>
      <c r="C255">
        <v>2015</v>
      </c>
      <c r="D255">
        <v>8.2349165068679203E-2</v>
      </c>
      <c r="E255" t="s">
        <v>150</v>
      </c>
    </row>
    <row r="256" spans="1:13" hidden="1" x14ac:dyDescent="0.3">
      <c r="A256">
        <v>12</v>
      </c>
      <c r="B256" t="s">
        <v>143</v>
      </c>
      <c r="C256">
        <v>2015</v>
      </c>
      <c r="D256">
        <v>2.5842132552034002E-3</v>
      </c>
      <c r="E256" t="s">
        <v>150</v>
      </c>
    </row>
    <row r="257" spans="1:5" hidden="1" x14ac:dyDescent="0.3">
      <c r="A257">
        <v>12</v>
      </c>
      <c r="B257" t="s">
        <v>142</v>
      </c>
      <c r="C257">
        <v>2015</v>
      </c>
      <c r="D257">
        <v>0.85451866970627199</v>
      </c>
      <c r="E257" t="s">
        <v>150</v>
      </c>
    </row>
    <row r="258" spans="1:5" hidden="1" x14ac:dyDescent="0.3">
      <c r="A258">
        <v>12</v>
      </c>
      <c r="B258" t="s">
        <v>141</v>
      </c>
      <c r="C258">
        <v>2015</v>
      </c>
      <c r="D258">
        <v>6.0547951969845401E-2</v>
      </c>
      <c r="E258" t="s">
        <v>150</v>
      </c>
    </row>
    <row r="259" spans="1:5" hidden="1" x14ac:dyDescent="0.3">
      <c r="A259">
        <v>12</v>
      </c>
      <c r="B259" t="s">
        <v>140</v>
      </c>
      <c r="C259">
        <v>2020</v>
      </c>
      <c r="D259">
        <v>8.22897302938395E-2</v>
      </c>
      <c r="E259" t="s">
        <v>150</v>
      </c>
    </row>
    <row r="260" spans="1:5" hidden="1" x14ac:dyDescent="0.3">
      <c r="A260">
        <v>12</v>
      </c>
      <c r="B260" t="s">
        <v>143</v>
      </c>
      <c r="C260">
        <v>2020</v>
      </c>
      <c r="D260">
        <v>3.5384665557838401E-3</v>
      </c>
      <c r="E260" t="s">
        <v>150</v>
      </c>
    </row>
    <row r="261" spans="1:5" hidden="1" x14ac:dyDescent="0.3">
      <c r="A261">
        <v>12</v>
      </c>
      <c r="B261" t="s">
        <v>142</v>
      </c>
      <c r="C261">
        <v>2020</v>
      </c>
      <c r="D261">
        <v>0.85738512213416795</v>
      </c>
      <c r="E261" t="s">
        <v>150</v>
      </c>
    </row>
    <row r="262" spans="1:5" hidden="1" x14ac:dyDescent="0.3">
      <c r="A262">
        <v>12</v>
      </c>
      <c r="B262" t="s">
        <v>141</v>
      </c>
      <c r="C262">
        <v>2020</v>
      </c>
      <c r="D262">
        <v>5.6786681016208498E-2</v>
      </c>
      <c r="E262" t="s">
        <v>150</v>
      </c>
    </row>
    <row r="263" spans="1:5" hidden="1" x14ac:dyDescent="0.3">
      <c r="A263">
        <v>12</v>
      </c>
      <c r="B263" t="s">
        <v>140</v>
      </c>
      <c r="C263">
        <v>2050</v>
      </c>
      <c r="D263">
        <v>8.2552391098090802E-2</v>
      </c>
      <c r="E263" t="s">
        <v>150</v>
      </c>
    </row>
    <row r="264" spans="1:5" hidden="1" x14ac:dyDescent="0.3">
      <c r="A264">
        <v>12</v>
      </c>
      <c r="B264" t="s">
        <v>143</v>
      </c>
      <c r="C264">
        <v>2050</v>
      </c>
      <c r="D264">
        <v>0</v>
      </c>
      <c r="E264" t="s">
        <v>150</v>
      </c>
    </row>
    <row r="265" spans="1:5" hidden="1" x14ac:dyDescent="0.3">
      <c r="A265">
        <v>12</v>
      </c>
      <c r="B265" t="s">
        <v>142</v>
      </c>
      <c r="C265">
        <v>2050</v>
      </c>
      <c r="D265">
        <v>0.80970254839622502</v>
      </c>
      <c r="E265" t="s">
        <v>150</v>
      </c>
    </row>
    <row r="266" spans="1:5" hidden="1" x14ac:dyDescent="0.3">
      <c r="A266">
        <v>12</v>
      </c>
      <c r="B266" t="s">
        <v>141</v>
      </c>
      <c r="C266">
        <v>2050</v>
      </c>
      <c r="D266">
        <v>0.107745060505684</v>
      </c>
      <c r="E266" t="s">
        <v>150</v>
      </c>
    </row>
    <row r="267" spans="1:5" hidden="1" x14ac:dyDescent="0.3">
      <c r="A267">
        <v>13</v>
      </c>
      <c r="B267" t="s">
        <v>140</v>
      </c>
      <c r="C267">
        <v>2015</v>
      </c>
      <c r="D267">
        <v>5.96257617654165E-2</v>
      </c>
      <c r="E267" t="s">
        <v>150</v>
      </c>
    </row>
    <row r="268" spans="1:5" hidden="1" x14ac:dyDescent="0.3">
      <c r="A268">
        <v>13</v>
      </c>
      <c r="B268" t="s">
        <v>143</v>
      </c>
      <c r="C268">
        <v>2015</v>
      </c>
      <c r="D268">
        <v>1.5159243648599101E-2</v>
      </c>
      <c r="E268" t="s">
        <v>150</v>
      </c>
    </row>
    <row r="269" spans="1:5" hidden="1" x14ac:dyDescent="0.3">
      <c r="A269">
        <v>13</v>
      </c>
      <c r="B269" t="s">
        <v>142</v>
      </c>
      <c r="C269">
        <v>2015</v>
      </c>
      <c r="D269">
        <v>0.84801381692573397</v>
      </c>
      <c r="E269" t="s">
        <v>150</v>
      </c>
    </row>
    <row r="270" spans="1:5" hidden="1" x14ac:dyDescent="0.3">
      <c r="A270">
        <v>13</v>
      </c>
      <c r="B270" t="s">
        <v>141</v>
      </c>
      <c r="C270">
        <v>2015</v>
      </c>
      <c r="D270">
        <v>7.7201177660250406E-2</v>
      </c>
      <c r="E270" t="s">
        <v>150</v>
      </c>
    </row>
    <row r="271" spans="1:5" hidden="1" x14ac:dyDescent="0.3">
      <c r="A271">
        <v>13</v>
      </c>
      <c r="B271" t="s">
        <v>140</v>
      </c>
      <c r="C271">
        <v>2020</v>
      </c>
      <c r="D271">
        <v>5.9431937126332803E-2</v>
      </c>
      <c r="E271" t="s">
        <v>150</v>
      </c>
    </row>
    <row r="272" spans="1:5" hidden="1" x14ac:dyDescent="0.3">
      <c r="A272">
        <v>13</v>
      </c>
      <c r="B272" t="s">
        <v>143</v>
      </c>
      <c r="C272">
        <v>2020</v>
      </c>
      <c r="D272">
        <v>1.44676849929924E-2</v>
      </c>
      <c r="E272" t="s">
        <v>150</v>
      </c>
    </row>
    <row r="273" spans="1:17" hidden="1" x14ac:dyDescent="0.3">
      <c r="A273">
        <v>13</v>
      </c>
      <c r="B273" t="s">
        <v>142</v>
      </c>
      <c r="C273">
        <v>2020</v>
      </c>
      <c r="D273">
        <v>0.84736636684584998</v>
      </c>
      <c r="E273" t="s">
        <v>150</v>
      </c>
    </row>
    <row r="274" spans="1:17" hidden="1" x14ac:dyDescent="0.3">
      <c r="A274">
        <v>13</v>
      </c>
      <c r="B274" t="s">
        <v>141</v>
      </c>
      <c r="C274">
        <v>2020</v>
      </c>
      <c r="D274">
        <v>7.8734011034825302E-2</v>
      </c>
      <c r="E274" t="s">
        <v>150</v>
      </c>
    </row>
    <row r="275" spans="1:17" hidden="1" x14ac:dyDescent="0.3">
      <c r="A275">
        <v>13</v>
      </c>
      <c r="B275" t="s">
        <v>140</v>
      </c>
      <c r="C275">
        <v>2050</v>
      </c>
      <c r="D275">
        <v>9.76030833468325E-2</v>
      </c>
      <c r="E275" t="s">
        <v>150</v>
      </c>
    </row>
    <row r="276" spans="1:17" hidden="1" x14ac:dyDescent="0.3">
      <c r="A276">
        <v>13</v>
      </c>
      <c r="B276" t="s">
        <v>143</v>
      </c>
      <c r="C276">
        <v>2050</v>
      </c>
      <c r="D276">
        <v>4.4119347764012603E-3</v>
      </c>
      <c r="E276" t="s">
        <v>150</v>
      </c>
    </row>
    <row r="277" spans="1:17" hidden="1" x14ac:dyDescent="0.3">
      <c r="A277">
        <v>13</v>
      </c>
      <c r="B277" t="s">
        <v>142</v>
      </c>
      <c r="C277">
        <v>2050</v>
      </c>
      <c r="D277">
        <v>0.74423346027120296</v>
      </c>
      <c r="E277" t="s">
        <v>150</v>
      </c>
    </row>
    <row r="278" spans="1:17" hidden="1" x14ac:dyDescent="0.3">
      <c r="A278">
        <v>13</v>
      </c>
      <c r="B278" t="s">
        <v>141</v>
      </c>
      <c r="C278">
        <v>2050</v>
      </c>
      <c r="D278">
        <v>0.15375152160556299</v>
      </c>
      <c r="E278" t="s">
        <v>150</v>
      </c>
    </row>
    <row r="281" spans="1:17" s="5" customFormat="1" x14ac:dyDescent="0.3">
      <c r="A281" s="5" t="s">
        <v>195</v>
      </c>
    </row>
    <row r="283" spans="1:17" x14ac:dyDescent="0.3">
      <c r="A283" s="12" t="s">
        <v>151</v>
      </c>
      <c r="B283">
        <v>2015</v>
      </c>
      <c r="C283">
        <v>2020</v>
      </c>
      <c r="D283">
        <v>2050</v>
      </c>
      <c r="E283" s="64" t="s">
        <v>189</v>
      </c>
      <c r="F283" s="64"/>
      <c r="G283" s="65" t="s">
        <v>181</v>
      </c>
      <c r="H283" s="65"/>
      <c r="J283">
        <v>2015</v>
      </c>
      <c r="K283">
        <v>2020</v>
      </c>
      <c r="L283">
        <v>2025</v>
      </c>
      <c r="M283">
        <v>2030</v>
      </c>
      <c r="N283">
        <v>2035</v>
      </c>
      <c r="O283">
        <v>2040</v>
      </c>
      <c r="P283">
        <v>2045</v>
      </c>
      <c r="Q283">
        <v>2050</v>
      </c>
    </row>
    <row r="284" spans="1:17" ht="43.2" x14ac:dyDescent="0.3">
      <c r="A284" s="11" t="s">
        <v>161</v>
      </c>
      <c r="E284" s="41" t="s">
        <v>151</v>
      </c>
      <c r="F284" s="41" t="s">
        <v>152</v>
      </c>
      <c r="G284" s="42" t="s">
        <v>182</v>
      </c>
      <c r="H284" s="43" t="s">
        <v>191</v>
      </c>
      <c r="I284" s="11" t="s">
        <v>162</v>
      </c>
    </row>
    <row r="285" spans="1:17" x14ac:dyDescent="0.3">
      <c r="A285" s="25" t="s">
        <v>64</v>
      </c>
      <c r="I285" s="25" t="s">
        <v>64</v>
      </c>
      <c r="J285">
        <v>1</v>
      </c>
      <c r="K285">
        <v>1</v>
      </c>
      <c r="L285">
        <f>$H$286</f>
        <v>6.5659782902868086E-2</v>
      </c>
      <c r="M285">
        <f t="shared" ref="M285:Q285" si="0">$H$286</f>
        <v>6.5659782902868086E-2</v>
      </c>
      <c r="N285">
        <f t="shared" si="0"/>
        <v>6.5659782902868086E-2</v>
      </c>
      <c r="O285">
        <f t="shared" si="0"/>
        <v>6.5659782902868086E-2</v>
      </c>
      <c r="P285">
        <f t="shared" si="0"/>
        <v>6.5659782902868086E-2</v>
      </c>
      <c r="Q285">
        <f t="shared" si="0"/>
        <v>6.5659782902868086E-2</v>
      </c>
    </row>
    <row r="286" spans="1:17" x14ac:dyDescent="0.3">
      <c r="A286" t="s">
        <v>184</v>
      </c>
      <c r="B286">
        <f>H6</f>
        <v>44763.7</v>
      </c>
      <c r="C286">
        <f t="shared" ref="C286" si="1">I6</f>
        <v>51257.599999999999</v>
      </c>
      <c r="D286">
        <f>O6</f>
        <v>90268.745079999993</v>
      </c>
      <c r="E286">
        <f>(D286-B286)/B286</f>
        <v>1.0165613003393374</v>
      </c>
      <c r="F286">
        <f>L247</f>
        <v>6.7655031215557618E-2</v>
      </c>
      <c r="G286" s="13">
        <f>F286/E286</f>
        <v>6.6552829812598371E-2</v>
      </c>
      <c r="H286" s="13">
        <f>G286/E294</f>
        <v>6.5659782902868086E-2</v>
      </c>
    </row>
    <row r="287" spans="1:17" x14ac:dyDescent="0.3">
      <c r="A287" t="s">
        <v>185</v>
      </c>
      <c r="B287">
        <f>H13+H14+H15+H16+H18+H19+H21+H22</f>
        <v>2333204.09</v>
      </c>
      <c r="C287">
        <f t="shared" ref="C287" si="2">I13+I14+I15+I16+I18+I19+I21+I22</f>
        <v>2493555.6549999989</v>
      </c>
      <c r="D287">
        <f>O13+O14+O15+O16+O18+O19+O21+O22</f>
        <v>2830386.8429999989</v>
      </c>
      <c r="G287" s="13"/>
      <c r="H287" s="13"/>
    </row>
    <row r="288" spans="1:17" x14ac:dyDescent="0.3">
      <c r="G288" s="13"/>
      <c r="H288" s="13"/>
    </row>
    <row r="289" spans="1:17" x14ac:dyDescent="0.3">
      <c r="A289" s="25" t="s">
        <v>65</v>
      </c>
      <c r="G289" s="13"/>
      <c r="H289" s="13"/>
      <c r="I289" s="25" t="s">
        <v>65</v>
      </c>
      <c r="J289">
        <v>1</v>
      </c>
      <c r="K289">
        <v>1</v>
      </c>
      <c r="L289">
        <f>$H$290</f>
        <v>-0.75390036030756669</v>
      </c>
      <c r="M289">
        <f t="shared" ref="M289:Q289" si="3">$H$290</f>
        <v>-0.75390036030756669</v>
      </c>
      <c r="N289">
        <f t="shared" si="3"/>
        <v>-0.75390036030756669</v>
      </c>
      <c r="O289">
        <f t="shared" si="3"/>
        <v>-0.75390036030756669</v>
      </c>
      <c r="P289">
        <f t="shared" si="3"/>
        <v>-0.75390036030756669</v>
      </c>
      <c r="Q289">
        <f t="shared" si="3"/>
        <v>-0.75390036030756669</v>
      </c>
    </row>
    <row r="290" spans="1:17" x14ac:dyDescent="0.3">
      <c r="A290" t="s">
        <v>184</v>
      </c>
      <c r="B290">
        <f>H26</f>
        <v>399505</v>
      </c>
      <c r="C290">
        <f>I26</f>
        <v>411222</v>
      </c>
      <c r="D290">
        <f>O26</f>
        <v>648269.4865</v>
      </c>
      <c r="E290">
        <f>(D290-B290)/B290</f>
        <v>0.6226817849588866</v>
      </c>
      <c r="F290">
        <f>L248</f>
        <v>-0.29892494150345905</v>
      </c>
      <c r="G290" s="13">
        <f>F290/E290</f>
        <v>-0.4800605200346369</v>
      </c>
      <c r="H290" s="13">
        <f>G290/E295</f>
        <v>-0.75390036030756669</v>
      </c>
    </row>
    <row r="291" spans="1:17" x14ac:dyDescent="0.3">
      <c r="A291" t="s">
        <v>185</v>
      </c>
      <c r="B291">
        <f>H33+H34+H35+H36+H38+H39+H41+H42</f>
        <v>11615906.5</v>
      </c>
      <c r="C291">
        <f t="shared" ref="C291" si="4">I33+I34+I35+I36+I38+I39+I41+I42</f>
        <v>11813569.299999999</v>
      </c>
      <c r="D291">
        <f>O33+O34+O35+O36+O38+O39+O41+O42</f>
        <v>14200237.1</v>
      </c>
    </row>
    <row r="293" spans="1:17" x14ac:dyDescent="0.3">
      <c r="A293" s="11" t="s">
        <v>190</v>
      </c>
    </row>
    <row r="294" spans="1:17" x14ac:dyDescent="0.3">
      <c r="A294" s="25" t="s">
        <v>64</v>
      </c>
      <c r="B294">
        <v>803610</v>
      </c>
      <c r="C294">
        <v>915374</v>
      </c>
      <c r="D294" s="13">
        <v>1618150</v>
      </c>
      <c r="E294">
        <f>(D294-B294)/B294</f>
        <v>1.0136011249237815</v>
      </c>
    </row>
    <row r="295" spans="1:17" x14ac:dyDescent="0.3">
      <c r="A295" s="25" t="s">
        <v>65</v>
      </c>
      <c r="B295">
        <v>7428720</v>
      </c>
      <c r="C295">
        <v>7548350</v>
      </c>
      <c r="D295" s="13">
        <v>12159100</v>
      </c>
      <c r="E295">
        <f>(D295-B295)/B295</f>
        <v>0.63676918769316926</v>
      </c>
      <c r="J295" s="8"/>
      <c r="K295" s="8"/>
      <c r="L295" s="8"/>
    </row>
  </sheetData>
  <sortState xmlns:xlrd2="http://schemas.microsoft.com/office/spreadsheetml/2017/richdata2" ref="A6:S45">
    <sortCondition ref="B6:B45"/>
    <sortCondition ref="C6:C45"/>
    <sortCondition ref="D6:D45"/>
  </sortState>
  <mergeCells count="2">
    <mergeCell ref="E283:F283"/>
    <mergeCell ref="G283:H28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BF5D-6279-49CB-8753-F1F4BB85FBD9}">
  <sheetPr>
    <tabColor theme="9" tint="0.79998168889431442"/>
  </sheetPr>
  <dimension ref="A1:J3"/>
  <sheetViews>
    <sheetView workbookViewId="0">
      <selection activeCell="K32" sqref="K32"/>
    </sheetView>
  </sheetViews>
  <sheetFormatPr defaultRowHeight="14.4" x14ac:dyDescent="0.3"/>
  <sheetData>
    <row r="1" spans="1:10" x14ac:dyDescent="0.3">
      <c r="A1" t="s">
        <v>73</v>
      </c>
      <c r="B1" cm="1">
        <f t="array" ref="B1:I1">'TRN-Modes-computation-IntAv'!J283:Q283</f>
        <v>2015</v>
      </c>
      <c r="C1">
        <v>2020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 t="s">
        <v>193</v>
      </c>
    </row>
    <row r="2" spans="1:10" x14ac:dyDescent="0.3">
      <c r="A2" t="str" cm="1">
        <f t="array" ref="A2:I2">'TRN-Modes-computation-IntAv'!I285:Q285</f>
        <v>EU-12</v>
      </c>
      <c r="B2">
        <v>1</v>
      </c>
      <c r="C2">
        <v>1</v>
      </c>
      <c r="D2">
        <v>6.5659782902868086E-2</v>
      </c>
      <c r="E2">
        <v>6.5659782902868086E-2</v>
      </c>
      <c r="F2">
        <v>6.5659782902868086E-2</v>
      </c>
      <c r="G2">
        <v>6.5659782902868086E-2</v>
      </c>
      <c r="H2">
        <v>6.5659782902868086E-2</v>
      </c>
      <c r="I2">
        <v>6.5659782902868086E-2</v>
      </c>
      <c r="J2" t="s">
        <v>112</v>
      </c>
    </row>
    <row r="3" spans="1:10" x14ac:dyDescent="0.3">
      <c r="A3" t="str" cm="1">
        <f t="array" ref="A3:I3">'TRN-Modes-computation-IntAv'!I289:Q289</f>
        <v>EU-15</v>
      </c>
      <c r="B3">
        <v>1</v>
      </c>
      <c r="C3">
        <v>1</v>
      </c>
      <c r="D3">
        <v>-0.75390036030756669</v>
      </c>
      <c r="E3">
        <v>-0.75390036030756669</v>
      </c>
      <c r="F3">
        <v>-0.75390036030756669</v>
      </c>
      <c r="G3">
        <v>-0.75390036030756669</v>
      </c>
      <c r="H3">
        <v>-0.75390036030756669</v>
      </c>
      <c r="I3">
        <v>-0.75390036030756669</v>
      </c>
      <c r="J3" t="s">
        <v>112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C5E6-8E69-4AD6-9A1D-C921993DA4FC}">
  <dimension ref="A1:AC333"/>
  <sheetViews>
    <sheetView topLeftCell="D301" workbookViewId="0">
      <selection activeCell="M324" sqref="M324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1" width="10.77734375" customWidth="1"/>
    <col min="12" max="12" width="13.6640625" customWidth="1"/>
    <col min="13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137</v>
      </c>
    </row>
    <row r="2" spans="1:29" s="2" customFormat="1" x14ac:dyDescent="0.3"/>
    <row r="3" spans="1:29" s="5" customFormat="1" x14ac:dyDescent="0.3">
      <c r="A3" s="5" t="s">
        <v>138</v>
      </c>
    </row>
    <row r="4" spans="1:29" s="14" customFormat="1" ht="17.399999999999999" x14ac:dyDescent="0.3">
      <c r="A4" s="26" t="s">
        <v>167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111</v>
      </c>
      <c r="D5" s="19" t="s">
        <v>116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442</v>
      </c>
      <c r="B6" s="27" t="s">
        <v>64</v>
      </c>
      <c r="C6" s="19" t="s">
        <v>112</v>
      </c>
      <c r="D6" s="19" t="s">
        <v>117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51257.599999999999</v>
      </c>
      <c r="J6" s="20">
        <v>54343.3</v>
      </c>
      <c r="K6" s="20">
        <v>54438.1</v>
      </c>
      <c r="L6" s="20">
        <v>52491.029673500001</v>
      </c>
      <c r="M6" s="20">
        <v>50556.194356100001</v>
      </c>
      <c r="N6" s="20">
        <v>48832.063496000002</v>
      </c>
      <c r="O6" s="20">
        <v>47340.197469999999</v>
      </c>
      <c r="P6" s="20">
        <v>0</v>
      </c>
      <c r="Q6" s="20">
        <v>0</v>
      </c>
      <c r="R6" s="20">
        <v>0</v>
      </c>
      <c r="S6" s="20" t="s">
        <v>168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442</v>
      </c>
      <c r="B7" s="27" t="s">
        <v>64</v>
      </c>
      <c r="C7" s="19" t="s">
        <v>113</v>
      </c>
      <c r="D7" s="19" t="s">
        <v>118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18041.2409999999</v>
      </c>
      <c r="J7" s="20">
        <v>21673.21</v>
      </c>
      <c r="K7" s="20">
        <v>26499.699999999899</v>
      </c>
      <c r="L7" s="20">
        <v>32737.4372</v>
      </c>
      <c r="M7" s="20">
        <v>36393.2955</v>
      </c>
      <c r="N7" s="20">
        <v>38293.991999999998</v>
      </c>
      <c r="O7" s="20">
        <v>39769.737999999998</v>
      </c>
      <c r="P7" s="21">
        <v>0</v>
      </c>
      <c r="Q7" s="21">
        <v>0</v>
      </c>
      <c r="R7" s="21">
        <v>0</v>
      </c>
      <c r="S7" s="21" t="s">
        <v>169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442</v>
      </c>
      <c r="B8" s="28" t="s">
        <v>64</v>
      </c>
      <c r="C8" s="17" t="s">
        <v>113</v>
      </c>
      <c r="D8" s="17" t="s">
        <v>119</v>
      </c>
      <c r="E8" s="36">
        <v>262042.36</v>
      </c>
      <c r="F8" s="36">
        <v>198205.21400000001</v>
      </c>
      <c r="G8" s="36">
        <v>175160.2</v>
      </c>
      <c r="H8" s="36">
        <v>164781.043799999</v>
      </c>
      <c r="I8" s="36">
        <v>183270.9</v>
      </c>
      <c r="J8" s="36">
        <v>203243.18</v>
      </c>
      <c r="K8" s="36">
        <v>200213</v>
      </c>
      <c r="L8" s="36">
        <v>178374</v>
      </c>
      <c r="M8" s="36">
        <v>171623.6</v>
      </c>
      <c r="N8" s="36">
        <v>175474.2</v>
      </c>
      <c r="O8" s="36">
        <v>181797.7</v>
      </c>
      <c r="P8" s="17">
        <v>0</v>
      </c>
      <c r="Q8" s="17">
        <v>0</v>
      </c>
      <c r="R8" s="17">
        <v>0</v>
      </c>
      <c r="S8" s="17" t="s">
        <v>169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442</v>
      </c>
      <c r="B9" s="28" t="s">
        <v>64</v>
      </c>
      <c r="C9" s="17" t="s">
        <v>113</v>
      </c>
      <c r="D9" s="17" t="s">
        <v>156</v>
      </c>
      <c r="E9" s="36">
        <v>263310</v>
      </c>
      <c r="F9" s="36">
        <v>397360</v>
      </c>
      <c r="G9" s="36">
        <v>479298</v>
      </c>
      <c r="H9" s="36">
        <v>494165</v>
      </c>
      <c r="I9" s="36">
        <v>545559</v>
      </c>
      <c r="J9" s="36">
        <v>614422</v>
      </c>
      <c r="K9" s="36">
        <v>688875</v>
      </c>
      <c r="L9" s="36">
        <v>758215</v>
      </c>
      <c r="M9" s="36">
        <v>809364</v>
      </c>
      <c r="N9" s="36">
        <v>842059</v>
      </c>
      <c r="O9" s="36">
        <v>866374</v>
      </c>
      <c r="P9" s="17">
        <v>0</v>
      </c>
      <c r="Q9" s="17">
        <v>0</v>
      </c>
      <c r="R9" s="17">
        <v>0</v>
      </c>
      <c r="S9" s="17" t="s">
        <v>169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442</v>
      </c>
      <c r="B10" s="28" t="s">
        <v>64</v>
      </c>
      <c r="C10" s="17" t="s">
        <v>120</v>
      </c>
      <c r="D10" s="17" t="s">
        <v>121</v>
      </c>
      <c r="E10" s="36">
        <v>233530</v>
      </c>
      <c r="F10" s="36">
        <v>354422</v>
      </c>
      <c r="G10" s="36">
        <v>427651</v>
      </c>
      <c r="H10" s="36">
        <v>440708</v>
      </c>
      <c r="I10" s="36">
        <v>486592.3</v>
      </c>
      <c r="J10" s="36">
        <v>547626.4810569</v>
      </c>
      <c r="K10" s="36">
        <v>613432.15424160997</v>
      </c>
      <c r="L10" s="36">
        <v>674932.83709745004</v>
      </c>
      <c r="M10" s="36">
        <v>720464.35402327997</v>
      </c>
      <c r="N10" s="36">
        <v>749310.960188</v>
      </c>
      <c r="O10" s="36">
        <v>770153.3517</v>
      </c>
      <c r="P10" s="17">
        <v>0</v>
      </c>
      <c r="Q10" s="17">
        <v>0</v>
      </c>
      <c r="R10" s="17">
        <v>0</v>
      </c>
      <c r="S10" s="17" t="s">
        <v>169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442</v>
      </c>
      <c r="B11" s="27" t="s">
        <v>64</v>
      </c>
      <c r="C11" s="19" t="s">
        <v>120</v>
      </c>
      <c r="D11" s="19" t="s">
        <v>122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12126.824000000001</v>
      </c>
      <c r="J11" s="20">
        <v>13722.635560000001</v>
      </c>
      <c r="K11" s="20">
        <v>15471.479869999999</v>
      </c>
      <c r="L11" s="20">
        <v>17082.4711299999</v>
      </c>
      <c r="M11" s="20">
        <v>18235.500189999999</v>
      </c>
      <c r="N11" s="20">
        <v>18968.472399999999</v>
      </c>
      <c r="O11" s="20">
        <v>19542.933000000001</v>
      </c>
      <c r="P11" s="20">
        <v>0</v>
      </c>
      <c r="Q11" s="20">
        <v>0</v>
      </c>
      <c r="R11" s="20">
        <v>0</v>
      </c>
      <c r="S11" s="20" t="s">
        <v>169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442</v>
      </c>
      <c r="B12" s="27" t="s">
        <v>64</v>
      </c>
      <c r="C12" s="19" t="s">
        <v>120</v>
      </c>
      <c r="D12" s="19" t="s">
        <v>123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46840.1</v>
      </c>
      <c r="J12" s="20">
        <v>53075.598700000002</v>
      </c>
      <c r="K12" s="20">
        <v>59981.7431</v>
      </c>
      <c r="L12" s="20">
        <v>66220.431100000002</v>
      </c>
      <c r="M12" s="20">
        <v>70694.292199999996</v>
      </c>
      <c r="N12" s="20">
        <v>73817.014999999999</v>
      </c>
      <c r="O12" s="20">
        <v>76722.453999999998</v>
      </c>
      <c r="P12" s="20">
        <v>0</v>
      </c>
      <c r="Q12" s="20">
        <v>0</v>
      </c>
      <c r="R12" s="20">
        <v>0</v>
      </c>
      <c r="S12" s="20" t="s">
        <v>169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9" customFormat="1" x14ac:dyDescent="0.3">
      <c r="A13" s="29" t="s">
        <v>442</v>
      </c>
      <c r="B13" s="30" t="s">
        <v>64</v>
      </c>
      <c r="C13" s="31" t="s">
        <v>114</v>
      </c>
      <c r="D13" s="31" t="s">
        <v>157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14530.4</v>
      </c>
      <c r="J13" s="33">
        <v>13040.5</v>
      </c>
      <c r="K13" s="33">
        <v>11654.1</v>
      </c>
      <c r="L13" s="33">
        <v>10622.4</v>
      </c>
      <c r="M13" s="33">
        <v>9916.4500000000007</v>
      </c>
      <c r="N13" s="33">
        <v>9355.67</v>
      </c>
      <c r="O13" s="33">
        <v>8880.07</v>
      </c>
      <c r="P13" s="32">
        <v>0</v>
      </c>
      <c r="Q13" s="32">
        <v>0</v>
      </c>
      <c r="R13" s="32">
        <v>0</v>
      </c>
      <c r="S13" s="32" t="s">
        <v>168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s="29" customFormat="1" x14ac:dyDescent="0.3">
      <c r="A14" s="29" t="s">
        <v>442</v>
      </c>
      <c r="B14" s="30" t="s">
        <v>64</v>
      </c>
      <c r="C14" s="31" t="s">
        <v>114</v>
      </c>
      <c r="D14" s="31" t="s">
        <v>124</v>
      </c>
      <c r="E14" s="33">
        <v>5331.03</v>
      </c>
      <c r="F14" s="33">
        <v>5193.26</v>
      </c>
      <c r="G14" s="33">
        <v>5821.69</v>
      </c>
      <c r="H14" s="33">
        <v>6241.59</v>
      </c>
      <c r="I14" s="33">
        <v>7625.93</v>
      </c>
      <c r="J14" s="33">
        <v>10976.6</v>
      </c>
      <c r="K14" s="33">
        <v>13993.3</v>
      </c>
      <c r="L14" s="33">
        <v>15734.0476</v>
      </c>
      <c r="M14" s="33">
        <v>17165.870200000001</v>
      </c>
      <c r="N14" s="33">
        <v>18133.148000000001</v>
      </c>
      <c r="O14" s="33">
        <v>18860.609999999899</v>
      </c>
      <c r="P14" s="33">
        <v>0</v>
      </c>
      <c r="Q14" s="33">
        <v>0</v>
      </c>
      <c r="R14" s="33">
        <v>0</v>
      </c>
      <c r="S14" s="33" t="s">
        <v>168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s="29" customFormat="1" x14ac:dyDescent="0.3">
      <c r="A15" s="29" t="s">
        <v>442</v>
      </c>
      <c r="B15" s="30" t="s">
        <v>64</v>
      </c>
      <c r="C15" s="31" t="s">
        <v>114</v>
      </c>
      <c r="D15" s="31" t="s">
        <v>125</v>
      </c>
      <c r="E15" s="33">
        <v>0</v>
      </c>
      <c r="F15" s="33">
        <v>0</v>
      </c>
      <c r="G15" s="33">
        <v>0</v>
      </c>
      <c r="H15" s="33">
        <v>0</v>
      </c>
      <c r="I15" s="33">
        <v>327.27499999999998</v>
      </c>
      <c r="J15" s="33">
        <v>840.06399999999996</v>
      </c>
      <c r="K15" s="33">
        <v>1489.98</v>
      </c>
      <c r="L15" s="33">
        <v>2258.21</v>
      </c>
      <c r="M15" s="33">
        <v>3144.15</v>
      </c>
      <c r="N15" s="33">
        <v>4165.93</v>
      </c>
      <c r="O15" s="33">
        <v>5336.89</v>
      </c>
      <c r="P15" s="33">
        <v>0</v>
      </c>
      <c r="Q15" s="33">
        <v>0</v>
      </c>
      <c r="R15" s="33">
        <v>0</v>
      </c>
      <c r="S15" s="33" t="s">
        <v>168</v>
      </c>
      <c r="T15" s="32"/>
      <c r="U15" s="32"/>
      <c r="V15" s="32"/>
      <c r="W15" s="32"/>
      <c r="X15" s="32"/>
      <c r="Y15" s="33"/>
      <c r="Z15" s="33"/>
      <c r="AA15" s="33"/>
      <c r="AB15" s="33"/>
      <c r="AC15" s="33"/>
    </row>
    <row r="16" spans="1:29" s="29" customFormat="1" x14ac:dyDescent="0.3">
      <c r="A16" s="29" t="s">
        <v>442</v>
      </c>
      <c r="B16" s="30" t="s">
        <v>64</v>
      </c>
      <c r="C16" s="31" t="s">
        <v>114</v>
      </c>
      <c r="D16" s="31" t="s">
        <v>126</v>
      </c>
      <c r="E16" s="33">
        <v>88848.87</v>
      </c>
      <c r="F16" s="33">
        <v>70151.399999999994</v>
      </c>
      <c r="G16" s="33">
        <v>61930.3</v>
      </c>
      <c r="H16" s="33">
        <v>57839.1</v>
      </c>
      <c r="I16" s="33">
        <v>60894.8999999999</v>
      </c>
      <c r="J16" s="33">
        <v>64288.8999999999</v>
      </c>
      <c r="K16" s="33">
        <v>64529.2</v>
      </c>
      <c r="L16" s="33">
        <v>63980.4</v>
      </c>
      <c r="M16" s="33">
        <v>62937.7</v>
      </c>
      <c r="N16" s="33">
        <v>61967.8</v>
      </c>
      <c r="O16" s="33">
        <v>61041</v>
      </c>
      <c r="P16" s="33">
        <v>0</v>
      </c>
      <c r="Q16" s="33">
        <v>0</v>
      </c>
      <c r="R16" s="33">
        <v>0</v>
      </c>
      <c r="S16" s="33" t="s">
        <v>168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s="29" customFormat="1" x14ac:dyDescent="0.3">
      <c r="A17" s="29" t="s">
        <v>442</v>
      </c>
      <c r="B17" s="34" t="s">
        <v>64</v>
      </c>
      <c r="C17" s="29" t="s">
        <v>114</v>
      </c>
      <c r="D17" s="29" t="s">
        <v>158</v>
      </c>
      <c r="E17" s="37">
        <v>51798.400000000001</v>
      </c>
      <c r="F17" s="37">
        <v>49595.6</v>
      </c>
      <c r="G17" s="37">
        <v>48833.7</v>
      </c>
      <c r="H17" s="37">
        <v>48072.800000000003</v>
      </c>
      <c r="I17" s="37">
        <v>43592.2</v>
      </c>
      <c r="J17" s="37">
        <v>39122.400000000001</v>
      </c>
      <c r="K17" s="37">
        <v>34963</v>
      </c>
      <c r="L17" s="37">
        <v>31868</v>
      </c>
      <c r="M17" s="37">
        <v>29750</v>
      </c>
      <c r="N17" s="37">
        <v>28067.599999999999</v>
      </c>
      <c r="O17" s="37">
        <v>26640.799999999999</v>
      </c>
      <c r="P17" s="29">
        <v>0</v>
      </c>
      <c r="Q17" s="29">
        <v>0</v>
      </c>
      <c r="R17" s="29">
        <v>0</v>
      </c>
      <c r="S17" s="29" t="s">
        <v>168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1:29" s="14" customFormat="1" x14ac:dyDescent="0.3">
      <c r="A18" s="14" t="s">
        <v>442</v>
      </c>
      <c r="B18" s="44" t="s">
        <v>64</v>
      </c>
      <c r="C18" s="45" t="s">
        <v>114</v>
      </c>
      <c r="D18" s="45" t="s">
        <v>156</v>
      </c>
      <c r="E18" s="46">
        <v>583892</v>
      </c>
      <c r="F18" s="46">
        <v>863587</v>
      </c>
      <c r="G18" s="46">
        <v>1063160</v>
      </c>
      <c r="H18" s="46">
        <v>1126550</v>
      </c>
      <c r="I18" s="46">
        <v>1205090</v>
      </c>
      <c r="J18" s="46">
        <v>1303170</v>
      </c>
      <c r="K18" s="46">
        <v>1362200</v>
      </c>
      <c r="L18" s="46">
        <v>1397190</v>
      </c>
      <c r="M18" s="46">
        <v>1388730</v>
      </c>
      <c r="N18" s="46">
        <v>1377840</v>
      </c>
      <c r="O18" s="46">
        <v>1368170</v>
      </c>
      <c r="P18" s="46">
        <v>0</v>
      </c>
      <c r="Q18" s="46">
        <v>0</v>
      </c>
      <c r="R18" s="46">
        <v>0</v>
      </c>
      <c r="S18" s="46" t="s">
        <v>168</v>
      </c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 spans="1:29" s="29" customFormat="1" x14ac:dyDescent="0.3">
      <c r="A19" s="29" t="s">
        <v>442</v>
      </c>
      <c r="B19" s="34" t="s">
        <v>64</v>
      </c>
      <c r="C19" s="29" t="s">
        <v>127</v>
      </c>
      <c r="D19" s="29" t="s">
        <v>128</v>
      </c>
      <c r="E19" s="37">
        <v>130827.109</v>
      </c>
      <c r="F19" s="37">
        <v>193847.13</v>
      </c>
      <c r="G19" s="37">
        <v>234020.79</v>
      </c>
      <c r="H19" s="37">
        <v>244407.8</v>
      </c>
      <c r="I19" s="37">
        <v>261289.44999999899</v>
      </c>
      <c r="J19" s="37">
        <v>286997.88</v>
      </c>
      <c r="K19" s="37">
        <v>293065.8</v>
      </c>
      <c r="L19" s="37">
        <v>299552.28999999998</v>
      </c>
      <c r="M19" s="37">
        <v>307417.84999999998</v>
      </c>
      <c r="N19" s="37">
        <v>317157.09999999998</v>
      </c>
      <c r="O19" s="37">
        <v>330569.36</v>
      </c>
      <c r="P19" s="29">
        <v>0</v>
      </c>
      <c r="Q19" s="29">
        <v>0</v>
      </c>
      <c r="R19" s="29">
        <v>0</v>
      </c>
      <c r="S19" s="29" t="s">
        <v>168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s="17" customFormat="1" x14ac:dyDescent="0.3">
      <c r="A20" s="17" t="s">
        <v>442</v>
      </c>
      <c r="B20" s="28" t="s">
        <v>64</v>
      </c>
      <c r="C20" s="17" t="s">
        <v>127</v>
      </c>
      <c r="D20" s="17" t="s">
        <v>159</v>
      </c>
      <c r="E20" s="36">
        <v>453065</v>
      </c>
      <c r="F20" s="36">
        <v>669740</v>
      </c>
      <c r="G20" s="36">
        <v>829140</v>
      </c>
      <c r="H20" s="36">
        <v>882142</v>
      </c>
      <c r="I20" s="36">
        <v>943798</v>
      </c>
      <c r="J20" s="36">
        <v>1016170</v>
      </c>
      <c r="K20" s="36">
        <v>1069140</v>
      </c>
      <c r="L20" s="36">
        <v>1097640</v>
      </c>
      <c r="M20" s="36">
        <v>1081310</v>
      </c>
      <c r="N20" s="36">
        <v>1060680</v>
      </c>
      <c r="O20" s="36">
        <v>1037600</v>
      </c>
      <c r="P20" s="17">
        <v>0</v>
      </c>
      <c r="Q20" s="17">
        <v>0</v>
      </c>
      <c r="R20" s="17">
        <v>0</v>
      </c>
      <c r="S20" s="17" t="s">
        <v>168</v>
      </c>
    </row>
    <row r="21" spans="1:29" s="29" customFormat="1" x14ac:dyDescent="0.3">
      <c r="A21" s="29" t="s">
        <v>442</v>
      </c>
      <c r="B21" s="30" t="s">
        <v>64</v>
      </c>
      <c r="C21" s="31" t="s">
        <v>129</v>
      </c>
      <c r="D21" s="31" t="s">
        <v>130</v>
      </c>
      <c r="E21" s="33">
        <v>22360.7</v>
      </c>
      <c r="F21" s="33">
        <v>31155.7</v>
      </c>
      <c r="G21" s="33">
        <v>38297.300000000003</v>
      </c>
      <c r="H21" s="33">
        <v>40976.699999999997</v>
      </c>
      <c r="I21" s="33">
        <v>40870.699999999997</v>
      </c>
      <c r="J21" s="33">
        <v>41764.1</v>
      </c>
      <c r="K21" s="33">
        <v>39742.699999999997</v>
      </c>
      <c r="L21" s="33">
        <v>37423.199999999997</v>
      </c>
      <c r="M21" s="33">
        <v>35303.699999999997</v>
      </c>
      <c r="N21" s="33">
        <v>33522.6</v>
      </c>
      <c r="O21" s="33">
        <v>31884.2</v>
      </c>
      <c r="P21" s="33">
        <v>0</v>
      </c>
      <c r="Q21" s="33">
        <v>0</v>
      </c>
      <c r="R21" s="33">
        <v>0</v>
      </c>
      <c r="S21" s="33" t="s">
        <v>168</v>
      </c>
    </row>
    <row r="22" spans="1:29" s="29" customFormat="1" x14ac:dyDescent="0.3">
      <c r="A22" s="29" t="s">
        <v>442</v>
      </c>
      <c r="B22" s="34" t="s">
        <v>64</v>
      </c>
      <c r="C22" s="29" t="s">
        <v>129</v>
      </c>
      <c r="D22" s="29" t="s">
        <v>160</v>
      </c>
      <c r="E22" s="37">
        <v>430704</v>
      </c>
      <c r="F22" s="37">
        <v>638584</v>
      </c>
      <c r="G22" s="37">
        <v>790843</v>
      </c>
      <c r="H22" s="37">
        <v>841165</v>
      </c>
      <c r="I22" s="37">
        <v>902927</v>
      </c>
      <c r="J22" s="37">
        <v>974403</v>
      </c>
      <c r="K22" s="37">
        <v>1029390</v>
      </c>
      <c r="L22" s="37">
        <v>1060210</v>
      </c>
      <c r="M22" s="37">
        <v>1046010</v>
      </c>
      <c r="N22" s="37">
        <v>1027160</v>
      </c>
      <c r="O22" s="37">
        <v>1005710</v>
      </c>
      <c r="P22" s="29">
        <v>0</v>
      </c>
      <c r="Q22" s="29">
        <v>0</v>
      </c>
      <c r="R22" s="29">
        <v>0</v>
      </c>
      <c r="S22" s="29" t="s">
        <v>168</v>
      </c>
    </row>
    <row r="23" spans="1:29" s="17" customFormat="1" x14ac:dyDescent="0.3">
      <c r="A23" s="17" t="s">
        <v>442</v>
      </c>
      <c r="B23" s="28" t="s">
        <v>64</v>
      </c>
      <c r="C23" s="17" t="s">
        <v>131</v>
      </c>
      <c r="D23" s="17" t="s">
        <v>132</v>
      </c>
      <c r="E23" s="36">
        <v>423194.69020000001</v>
      </c>
      <c r="F23" s="36">
        <v>630800.50026</v>
      </c>
      <c r="G23" s="36">
        <v>782030.37889000005</v>
      </c>
      <c r="H23" s="36">
        <v>832141.27720000001</v>
      </c>
      <c r="I23" s="36">
        <v>892879.33719999995</v>
      </c>
      <c r="J23" s="36">
        <v>962883.52101000003</v>
      </c>
      <c r="K23" s="36">
        <v>1015786.0168</v>
      </c>
      <c r="L23" s="36">
        <v>1044665.2939</v>
      </c>
      <c r="M23" s="36">
        <v>1029277.98925</v>
      </c>
      <c r="N23" s="36">
        <v>1009858.66446</v>
      </c>
      <c r="O23" s="36">
        <v>987813.36052999995</v>
      </c>
      <c r="P23" s="17">
        <v>0</v>
      </c>
      <c r="Q23" s="17">
        <v>0</v>
      </c>
      <c r="R23" s="17">
        <v>0</v>
      </c>
      <c r="S23" s="17" t="s">
        <v>168</v>
      </c>
    </row>
    <row r="24" spans="1:29" s="17" customFormat="1" x14ac:dyDescent="0.3">
      <c r="A24" s="17" t="s">
        <v>442</v>
      </c>
      <c r="B24" s="27" t="s">
        <v>64</v>
      </c>
      <c r="C24" s="19" t="s">
        <v>131</v>
      </c>
      <c r="D24" s="19" t="s">
        <v>133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10047.7915999999</v>
      </c>
      <c r="J24" s="20">
        <v>11519.7451</v>
      </c>
      <c r="K24" s="20">
        <v>13607.9484279999</v>
      </c>
      <c r="L24" s="20">
        <v>15546.1342799999</v>
      </c>
      <c r="M24" s="20">
        <v>16727.585874999899</v>
      </c>
      <c r="N24" s="20">
        <v>17299.943210000001</v>
      </c>
      <c r="O24" s="20">
        <v>17901.243339999899</v>
      </c>
      <c r="P24" s="20">
        <v>0</v>
      </c>
      <c r="Q24" s="20">
        <v>0</v>
      </c>
      <c r="R24" s="20">
        <v>0</v>
      </c>
      <c r="S24" s="20" t="s">
        <v>168</v>
      </c>
    </row>
    <row r="25" spans="1:29" s="17" customFormat="1" x14ac:dyDescent="0.3">
      <c r="A25" s="17" t="s">
        <v>442</v>
      </c>
      <c r="B25" s="28" t="s">
        <v>64</v>
      </c>
      <c r="C25" s="17" t="s">
        <v>115</v>
      </c>
      <c r="D25" s="17" t="s">
        <v>134</v>
      </c>
      <c r="E25" s="36">
        <v>318546</v>
      </c>
      <c r="F25" s="36">
        <v>629335</v>
      </c>
      <c r="G25" s="36">
        <v>1326250</v>
      </c>
      <c r="H25" s="36">
        <v>1324840</v>
      </c>
      <c r="I25" s="36">
        <v>1413986.1</v>
      </c>
      <c r="J25" s="36">
        <v>1515397</v>
      </c>
      <c r="K25" s="36">
        <v>1616915</v>
      </c>
      <c r="L25" s="36">
        <v>1743429.6751000001</v>
      </c>
      <c r="M25" s="36">
        <v>1818359.8370000001</v>
      </c>
      <c r="N25" s="36">
        <v>1867461.277</v>
      </c>
      <c r="O25" s="36">
        <v>1909932.44</v>
      </c>
      <c r="P25" s="17">
        <v>0</v>
      </c>
      <c r="Q25" s="17">
        <v>0</v>
      </c>
      <c r="R25" s="17">
        <v>0</v>
      </c>
      <c r="S25" s="17" t="s">
        <v>169</v>
      </c>
    </row>
    <row r="26" spans="1:29" s="17" customFormat="1" x14ac:dyDescent="0.3">
      <c r="A26" s="17" t="s">
        <v>442</v>
      </c>
      <c r="B26" s="28" t="s">
        <v>65</v>
      </c>
      <c r="C26" s="17" t="s">
        <v>112</v>
      </c>
      <c r="D26" s="17" t="s">
        <v>117</v>
      </c>
      <c r="E26" s="36">
        <v>212576</v>
      </c>
      <c r="F26" s="36">
        <v>353555</v>
      </c>
      <c r="G26" s="36">
        <v>368359</v>
      </c>
      <c r="H26" s="36">
        <v>399505</v>
      </c>
      <c r="I26" s="36">
        <v>411222</v>
      </c>
      <c r="J26" s="36">
        <v>382310</v>
      </c>
      <c r="K26" s="36">
        <v>368894</v>
      </c>
      <c r="L26" s="36">
        <v>346423.19024819997</v>
      </c>
      <c r="M26" s="36">
        <v>324588.49797199998</v>
      </c>
      <c r="N26" s="36">
        <v>303902.03837999998</v>
      </c>
      <c r="O26" s="36">
        <v>285680.02299999999</v>
      </c>
      <c r="P26" s="17">
        <v>0</v>
      </c>
      <c r="Q26" s="17">
        <v>0</v>
      </c>
      <c r="R26" s="17">
        <v>0</v>
      </c>
      <c r="S26" s="17" t="s">
        <v>168</v>
      </c>
    </row>
    <row r="27" spans="1:29" s="17" customFormat="1" x14ac:dyDescent="0.3">
      <c r="A27" s="17" t="s">
        <v>442</v>
      </c>
      <c r="B27" s="28" t="s">
        <v>65</v>
      </c>
      <c r="C27" s="17" t="s">
        <v>113</v>
      </c>
      <c r="D27" s="17" t="s">
        <v>118</v>
      </c>
      <c r="E27" s="36">
        <v>568313</v>
      </c>
      <c r="F27" s="36">
        <v>667205</v>
      </c>
      <c r="G27" s="36">
        <v>602977</v>
      </c>
      <c r="H27" s="36">
        <v>455554</v>
      </c>
      <c r="I27" s="36">
        <v>462227.20000000001</v>
      </c>
      <c r="J27" s="36">
        <v>535306.69999999995</v>
      </c>
      <c r="K27" s="36">
        <v>611574</v>
      </c>
      <c r="L27" s="36">
        <v>725079.51500000001</v>
      </c>
      <c r="M27" s="36">
        <v>803060.32700000005</v>
      </c>
      <c r="N27" s="36">
        <v>853580.11</v>
      </c>
      <c r="O27" s="36">
        <v>902307.11</v>
      </c>
      <c r="P27" s="17">
        <v>0</v>
      </c>
      <c r="Q27" s="17">
        <v>0</v>
      </c>
      <c r="R27" s="17">
        <v>0</v>
      </c>
      <c r="S27" s="17" t="s">
        <v>169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442</v>
      </c>
      <c r="B28" s="28" t="s">
        <v>65</v>
      </c>
      <c r="C28" s="17" t="s">
        <v>113</v>
      </c>
      <c r="D28" s="17" t="s">
        <v>119</v>
      </c>
      <c r="E28" s="36">
        <v>250445.02100000001</v>
      </c>
      <c r="F28" s="36">
        <v>306181.59999999998</v>
      </c>
      <c r="G28" s="36">
        <v>294236.7</v>
      </c>
      <c r="H28" s="36">
        <v>303575.09999999998</v>
      </c>
      <c r="I28" s="36">
        <v>311916.3</v>
      </c>
      <c r="J28" s="36">
        <v>339856.63999999902</v>
      </c>
      <c r="K28" s="36">
        <v>326913.2</v>
      </c>
      <c r="L28" s="36">
        <v>294518</v>
      </c>
      <c r="M28" s="36">
        <v>288714.09999999998</v>
      </c>
      <c r="N28" s="36">
        <v>302046.59999999998</v>
      </c>
      <c r="O28" s="36">
        <v>320211.3</v>
      </c>
      <c r="P28" s="17">
        <v>0</v>
      </c>
      <c r="Q28" s="17">
        <v>0</v>
      </c>
      <c r="R28" s="17">
        <v>0</v>
      </c>
      <c r="S28" s="17" t="s">
        <v>169</v>
      </c>
    </row>
    <row r="29" spans="1:29" s="17" customFormat="1" x14ac:dyDescent="0.3">
      <c r="A29" s="17" t="s">
        <v>442</v>
      </c>
      <c r="B29" s="28" t="s">
        <v>65</v>
      </c>
      <c r="C29" s="17" t="s">
        <v>113</v>
      </c>
      <c r="D29" s="17" t="s">
        <v>156</v>
      </c>
      <c r="E29" s="36">
        <v>1112710</v>
      </c>
      <c r="F29" s="36">
        <v>1402240</v>
      </c>
      <c r="G29" s="36">
        <v>1362490</v>
      </c>
      <c r="H29" s="36">
        <v>1331530</v>
      </c>
      <c r="I29" s="36">
        <v>1340410</v>
      </c>
      <c r="J29" s="36">
        <v>1470360</v>
      </c>
      <c r="K29" s="36">
        <v>1544390</v>
      </c>
      <c r="L29" s="36">
        <v>1620540</v>
      </c>
      <c r="M29" s="36">
        <v>1701980</v>
      </c>
      <c r="N29" s="36">
        <v>1783470</v>
      </c>
      <c r="O29" s="36">
        <v>1861080</v>
      </c>
      <c r="P29" s="17">
        <v>0</v>
      </c>
      <c r="Q29" s="17">
        <v>0</v>
      </c>
      <c r="R29" s="17">
        <v>0</v>
      </c>
      <c r="S29" s="17" t="s">
        <v>169</v>
      </c>
    </row>
    <row r="30" spans="1:29" s="17" customFormat="1" x14ac:dyDescent="0.3">
      <c r="A30" s="17" t="s">
        <v>442</v>
      </c>
      <c r="B30" s="28" t="s">
        <v>65</v>
      </c>
      <c r="C30" s="17" t="s">
        <v>120</v>
      </c>
      <c r="D30" s="17" t="s">
        <v>121</v>
      </c>
      <c r="E30" s="36">
        <v>1024130</v>
      </c>
      <c r="F30" s="36">
        <v>1290600</v>
      </c>
      <c r="G30" s="36">
        <v>1253810</v>
      </c>
      <c r="H30" s="36">
        <v>1225120</v>
      </c>
      <c r="I30" s="36">
        <v>1233301.45</v>
      </c>
      <c r="J30" s="36">
        <v>1352547.63513606</v>
      </c>
      <c r="K30" s="36">
        <v>1420159.2329692901</v>
      </c>
      <c r="L30" s="36">
        <v>1490125.92833733</v>
      </c>
      <c r="M30" s="36">
        <v>1565290.01264227</v>
      </c>
      <c r="N30" s="36">
        <v>1640146.1500478</v>
      </c>
      <c r="O30" s="36">
        <v>1710754.5111499999</v>
      </c>
      <c r="P30" s="17">
        <v>0</v>
      </c>
      <c r="Q30" s="17">
        <v>0</v>
      </c>
      <c r="R30" s="17">
        <v>0</v>
      </c>
      <c r="S30" s="17" t="s">
        <v>169</v>
      </c>
    </row>
    <row r="31" spans="1:29" s="17" customFormat="1" x14ac:dyDescent="0.3">
      <c r="A31" s="17" t="s">
        <v>442</v>
      </c>
      <c r="B31" s="27" t="s">
        <v>65</v>
      </c>
      <c r="C31" s="19" t="s">
        <v>120</v>
      </c>
      <c r="D31" s="19" t="s">
        <v>122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</v>
      </c>
      <c r="J31" s="20">
        <v>40149.200299999997</v>
      </c>
      <c r="K31" s="20">
        <v>42333.520700000001</v>
      </c>
      <c r="L31" s="20">
        <v>44492.327899999997</v>
      </c>
      <c r="M31" s="20">
        <v>46669.604829999997</v>
      </c>
      <c r="N31" s="20">
        <v>48868.0527</v>
      </c>
      <c r="O31" s="20">
        <v>51049.19</v>
      </c>
      <c r="P31" s="20">
        <v>0</v>
      </c>
      <c r="Q31" s="20">
        <v>0</v>
      </c>
      <c r="R31" s="20">
        <v>0</v>
      </c>
      <c r="S31" s="20" t="s">
        <v>169</v>
      </c>
    </row>
    <row r="32" spans="1:29" s="17" customFormat="1" x14ac:dyDescent="0.3">
      <c r="A32" s="17" t="s">
        <v>442</v>
      </c>
      <c r="B32" s="28" t="s">
        <v>65</v>
      </c>
      <c r="C32" s="17" t="s">
        <v>120</v>
      </c>
      <c r="D32" s="17" t="s">
        <v>123</v>
      </c>
      <c r="E32" s="36">
        <v>58674.9</v>
      </c>
      <c r="F32" s="36">
        <v>73941.7</v>
      </c>
      <c r="G32" s="36">
        <v>71833.600000000006</v>
      </c>
      <c r="H32" s="36">
        <v>70189.600000000006</v>
      </c>
      <c r="I32" s="36">
        <v>70630.070000000007</v>
      </c>
      <c r="J32" s="36">
        <v>77678.147899999996</v>
      </c>
      <c r="K32" s="36">
        <v>81963.966799999995</v>
      </c>
      <c r="L32" s="36">
        <v>86030.294999999998</v>
      </c>
      <c r="M32" s="36">
        <v>90176.471300000005</v>
      </c>
      <c r="N32" s="36">
        <v>94644.705000000002</v>
      </c>
      <c r="O32" s="36">
        <v>99506.451000000001</v>
      </c>
      <c r="P32" s="17">
        <v>0</v>
      </c>
      <c r="Q32" s="17">
        <v>0</v>
      </c>
      <c r="R32" s="17">
        <v>0</v>
      </c>
      <c r="S32" s="17" t="s">
        <v>169</v>
      </c>
    </row>
    <row r="33" spans="1:19" s="29" customFormat="1" x14ac:dyDescent="0.3">
      <c r="A33" s="29" t="s">
        <v>442</v>
      </c>
      <c r="B33" s="30" t="s">
        <v>65</v>
      </c>
      <c r="C33" s="31" t="s">
        <v>114</v>
      </c>
      <c r="D33" s="31" t="s">
        <v>157</v>
      </c>
      <c r="E33" s="33">
        <v>34966.699999999997</v>
      </c>
      <c r="F33" s="33">
        <v>37111.599999999999</v>
      </c>
      <c r="G33" s="33">
        <v>37862.6</v>
      </c>
      <c r="H33" s="33">
        <v>38400.6</v>
      </c>
      <c r="I33" s="33">
        <v>38726.199999999997</v>
      </c>
      <c r="J33" s="33">
        <v>36000.699999999997</v>
      </c>
      <c r="K33" s="33">
        <v>34702.699999999997</v>
      </c>
      <c r="L33" s="33">
        <v>33538.9</v>
      </c>
      <c r="M33" s="33">
        <v>32525.1</v>
      </c>
      <c r="N33" s="33">
        <v>31561.3</v>
      </c>
      <c r="O33" s="33">
        <v>30653.3</v>
      </c>
      <c r="P33" s="33">
        <v>0</v>
      </c>
      <c r="Q33" s="33">
        <v>0</v>
      </c>
      <c r="R33" s="33">
        <v>0</v>
      </c>
      <c r="S33" s="33" t="s">
        <v>168</v>
      </c>
    </row>
    <row r="34" spans="1:19" s="29" customFormat="1" x14ac:dyDescent="0.3">
      <c r="A34" s="29" t="s">
        <v>442</v>
      </c>
      <c r="B34" s="34" t="s">
        <v>65</v>
      </c>
      <c r="C34" s="29" t="s">
        <v>114</v>
      </c>
      <c r="D34" s="29" t="s">
        <v>124</v>
      </c>
      <c r="E34" s="37">
        <v>147471</v>
      </c>
      <c r="F34" s="37">
        <v>245272</v>
      </c>
      <c r="G34" s="37">
        <v>255527</v>
      </c>
      <c r="H34" s="37">
        <v>277139</v>
      </c>
      <c r="I34" s="37">
        <v>289011</v>
      </c>
      <c r="J34" s="37">
        <v>380893</v>
      </c>
      <c r="K34" s="37">
        <v>441558</v>
      </c>
      <c r="L34" s="37">
        <v>476517.77500000002</v>
      </c>
      <c r="M34" s="37">
        <v>508914.21</v>
      </c>
      <c r="N34" s="37">
        <v>536639.22</v>
      </c>
      <c r="O34" s="37">
        <v>561775.4</v>
      </c>
      <c r="P34" s="35">
        <v>0</v>
      </c>
      <c r="Q34" s="35">
        <v>0</v>
      </c>
      <c r="R34" s="35">
        <v>0</v>
      </c>
      <c r="S34" s="35" t="s">
        <v>168</v>
      </c>
    </row>
    <row r="35" spans="1:19" s="29" customFormat="1" x14ac:dyDescent="0.3">
      <c r="A35" s="29" t="s">
        <v>442</v>
      </c>
      <c r="B35" s="30" t="s">
        <v>65</v>
      </c>
      <c r="C35" s="31" t="s">
        <v>114</v>
      </c>
      <c r="D35" s="31" t="s">
        <v>125</v>
      </c>
      <c r="E35" s="33">
        <v>17093.7</v>
      </c>
      <c r="F35" s="33">
        <v>20739.3</v>
      </c>
      <c r="G35" s="33">
        <v>19886.5</v>
      </c>
      <c r="H35" s="33">
        <v>21065.1</v>
      </c>
      <c r="I35" s="33">
        <v>21008.400000000001</v>
      </c>
      <c r="J35" s="33">
        <v>26881.7</v>
      </c>
      <c r="K35" s="33">
        <v>30754.6</v>
      </c>
      <c r="L35" s="33">
        <v>34765.699999999997</v>
      </c>
      <c r="M35" s="33">
        <v>35083.800000000003</v>
      </c>
      <c r="N35" s="33">
        <v>35587.5</v>
      </c>
      <c r="O35" s="33">
        <v>36193.300000000003</v>
      </c>
      <c r="P35" s="33">
        <v>0</v>
      </c>
      <c r="Q35" s="33">
        <v>0</v>
      </c>
      <c r="R35" s="33">
        <v>0</v>
      </c>
      <c r="S35" s="33" t="s">
        <v>168</v>
      </c>
    </row>
    <row r="36" spans="1:19" s="29" customFormat="1" x14ac:dyDescent="0.3">
      <c r="A36" s="29" t="s">
        <v>442</v>
      </c>
      <c r="B36" s="34" t="s">
        <v>65</v>
      </c>
      <c r="C36" s="29" t="s">
        <v>114</v>
      </c>
      <c r="D36" s="29" t="s">
        <v>126</v>
      </c>
      <c r="E36" s="37">
        <v>296811</v>
      </c>
      <c r="F36" s="37">
        <v>362300.8</v>
      </c>
      <c r="G36" s="37">
        <v>347860.3</v>
      </c>
      <c r="H36" s="37">
        <v>363805.5</v>
      </c>
      <c r="I36" s="37">
        <v>372521.7</v>
      </c>
      <c r="J36" s="37">
        <v>407492.3</v>
      </c>
      <c r="K36" s="37">
        <v>420974.8</v>
      </c>
      <c r="L36" s="37">
        <v>431521</v>
      </c>
      <c r="M36" s="37">
        <v>438852</v>
      </c>
      <c r="N36" s="37">
        <v>447770.3</v>
      </c>
      <c r="O36" s="37">
        <v>457793.4</v>
      </c>
      <c r="P36" s="29">
        <v>0</v>
      </c>
      <c r="Q36" s="29">
        <v>0</v>
      </c>
      <c r="R36" s="29">
        <v>0</v>
      </c>
      <c r="S36" s="29" t="s">
        <v>168</v>
      </c>
    </row>
    <row r="37" spans="1:19" s="29" customFormat="1" x14ac:dyDescent="0.3">
      <c r="A37" s="29" t="s">
        <v>442</v>
      </c>
      <c r="B37" s="34" t="s">
        <v>65</v>
      </c>
      <c r="C37" s="29" t="s">
        <v>114</v>
      </c>
      <c r="D37" s="29" t="s">
        <v>158</v>
      </c>
      <c r="E37" s="37">
        <v>104898</v>
      </c>
      <c r="F37" s="37">
        <v>111333</v>
      </c>
      <c r="G37" s="37">
        <v>113588</v>
      </c>
      <c r="H37" s="37">
        <v>115202</v>
      </c>
      <c r="I37" s="37">
        <v>116179</v>
      </c>
      <c r="J37" s="37">
        <v>108002</v>
      </c>
      <c r="K37" s="37">
        <v>104108</v>
      </c>
      <c r="L37" s="37">
        <v>100617</v>
      </c>
      <c r="M37" s="37">
        <v>97575.4</v>
      </c>
      <c r="N37" s="37">
        <v>94683.9</v>
      </c>
      <c r="O37" s="37">
        <v>91959.9</v>
      </c>
      <c r="P37" s="29">
        <v>0</v>
      </c>
      <c r="Q37" s="29">
        <v>0</v>
      </c>
      <c r="R37" s="29">
        <v>0</v>
      </c>
      <c r="S37" s="29" t="s">
        <v>168</v>
      </c>
    </row>
    <row r="38" spans="1:19" s="14" customFormat="1" x14ac:dyDescent="0.3">
      <c r="A38" s="14" t="s">
        <v>442</v>
      </c>
      <c r="B38" s="51" t="s">
        <v>65</v>
      </c>
      <c r="C38" s="14" t="s">
        <v>114</v>
      </c>
      <c r="D38" s="14" t="s">
        <v>156</v>
      </c>
      <c r="E38" s="52">
        <v>4231630</v>
      </c>
      <c r="F38" s="52">
        <v>5349060</v>
      </c>
      <c r="G38" s="52">
        <v>5368570</v>
      </c>
      <c r="H38" s="52">
        <v>5457750</v>
      </c>
      <c r="I38" s="52">
        <v>5546150</v>
      </c>
      <c r="J38" s="52">
        <v>5881880</v>
      </c>
      <c r="K38" s="52">
        <v>6022040</v>
      </c>
      <c r="L38" s="52">
        <v>6164570</v>
      </c>
      <c r="M38" s="52">
        <v>6285640</v>
      </c>
      <c r="N38" s="52">
        <v>6416780</v>
      </c>
      <c r="O38" s="52">
        <v>6557080</v>
      </c>
      <c r="P38" s="14">
        <v>0</v>
      </c>
      <c r="Q38" s="14">
        <v>0</v>
      </c>
      <c r="R38" s="14">
        <v>0</v>
      </c>
      <c r="S38" s="14" t="s">
        <v>168</v>
      </c>
    </row>
    <row r="39" spans="1:19" s="29" customFormat="1" x14ac:dyDescent="0.3">
      <c r="A39" s="29" t="s">
        <v>442</v>
      </c>
      <c r="B39" s="34" t="s">
        <v>65</v>
      </c>
      <c r="C39" s="29" t="s">
        <v>127</v>
      </c>
      <c r="D39" s="29" t="s">
        <v>128</v>
      </c>
      <c r="E39" s="37">
        <v>573900.19999999995</v>
      </c>
      <c r="F39" s="37">
        <v>739489.7</v>
      </c>
      <c r="G39" s="37">
        <v>752113.8</v>
      </c>
      <c r="H39" s="37">
        <v>777922</v>
      </c>
      <c r="I39" s="37">
        <v>777347.799999999</v>
      </c>
      <c r="J39" s="37">
        <v>727453.26</v>
      </c>
      <c r="K39" s="37">
        <v>696820.3</v>
      </c>
      <c r="L39" s="37">
        <v>665916.19999999995</v>
      </c>
      <c r="M39" s="37">
        <v>642071</v>
      </c>
      <c r="N39" s="37">
        <v>622331.9</v>
      </c>
      <c r="O39" s="37">
        <v>604729.1</v>
      </c>
      <c r="P39" s="29">
        <v>0</v>
      </c>
      <c r="Q39" s="29">
        <v>0</v>
      </c>
      <c r="R39" s="29">
        <v>0</v>
      </c>
      <c r="S39" s="29" t="s">
        <v>168</v>
      </c>
    </row>
    <row r="40" spans="1:19" s="17" customFormat="1" x14ac:dyDescent="0.3">
      <c r="A40" s="17" t="s">
        <v>442</v>
      </c>
      <c r="B40" s="28" t="s">
        <v>65</v>
      </c>
      <c r="C40" s="17" t="s">
        <v>127</v>
      </c>
      <c r="D40" s="17" t="s">
        <v>159</v>
      </c>
      <c r="E40" s="36">
        <v>3657730</v>
      </c>
      <c r="F40" s="36">
        <v>4609570</v>
      </c>
      <c r="G40" s="36">
        <v>4616450</v>
      </c>
      <c r="H40" s="36">
        <v>4679830</v>
      </c>
      <c r="I40" s="36">
        <v>4768810</v>
      </c>
      <c r="J40" s="36">
        <v>5154430</v>
      </c>
      <c r="K40" s="36">
        <v>5325220</v>
      </c>
      <c r="L40" s="36">
        <v>5498650</v>
      </c>
      <c r="M40" s="36">
        <v>5643570</v>
      </c>
      <c r="N40" s="36">
        <v>5794450</v>
      </c>
      <c r="O40" s="36">
        <v>5952350</v>
      </c>
      <c r="P40" s="17">
        <v>0</v>
      </c>
      <c r="Q40" s="17">
        <v>0</v>
      </c>
      <c r="R40" s="17">
        <v>0</v>
      </c>
      <c r="S40" s="17" t="s">
        <v>168</v>
      </c>
    </row>
    <row r="41" spans="1:19" s="29" customFormat="1" x14ac:dyDescent="0.3">
      <c r="A41" s="29" t="s">
        <v>442</v>
      </c>
      <c r="B41" s="34" t="s">
        <v>65</v>
      </c>
      <c r="C41" s="29" t="s">
        <v>129</v>
      </c>
      <c r="D41" s="29" t="s">
        <v>130</v>
      </c>
      <c r="E41" s="37">
        <v>72561.2</v>
      </c>
      <c r="F41" s="37">
        <v>91441</v>
      </c>
      <c r="G41" s="37">
        <v>91678.399999999994</v>
      </c>
      <c r="H41" s="37">
        <v>93044.3</v>
      </c>
      <c r="I41" s="37">
        <v>95684.2</v>
      </c>
      <c r="J41" s="37">
        <v>104006.2</v>
      </c>
      <c r="K41" s="37">
        <v>106868.799999999</v>
      </c>
      <c r="L41" s="37">
        <v>109253.4</v>
      </c>
      <c r="M41" s="37">
        <v>110558.39999999999</v>
      </c>
      <c r="N41" s="37">
        <v>112365.9</v>
      </c>
      <c r="O41" s="37">
        <v>114562.2</v>
      </c>
      <c r="P41" s="29">
        <v>0</v>
      </c>
      <c r="Q41" s="29">
        <v>0</v>
      </c>
      <c r="R41" s="29">
        <v>0</v>
      </c>
      <c r="S41" s="29" t="s">
        <v>168</v>
      </c>
    </row>
    <row r="42" spans="1:19" s="29" customFormat="1" x14ac:dyDescent="0.3">
      <c r="A42" s="29" t="s">
        <v>442</v>
      </c>
      <c r="B42" s="34" t="s">
        <v>65</v>
      </c>
      <c r="C42" s="29" t="s">
        <v>129</v>
      </c>
      <c r="D42" s="29" t="s">
        <v>160</v>
      </c>
      <c r="E42" s="37">
        <v>3585170</v>
      </c>
      <c r="F42" s="37">
        <v>4518130</v>
      </c>
      <c r="G42" s="37">
        <v>4524770</v>
      </c>
      <c r="H42" s="37">
        <v>4586780</v>
      </c>
      <c r="I42" s="37">
        <v>4673120</v>
      </c>
      <c r="J42" s="37">
        <v>5050420</v>
      </c>
      <c r="K42" s="37">
        <v>5218360</v>
      </c>
      <c r="L42" s="37">
        <v>5389400</v>
      </c>
      <c r="M42" s="37">
        <v>5533010</v>
      </c>
      <c r="N42" s="37">
        <v>5682090</v>
      </c>
      <c r="O42" s="37">
        <v>5837790</v>
      </c>
      <c r="P42" s="29">
        <v>0</v>
      </c>
      <c r="Q42" s="29">
        <v>0</v>
      </c>
      <c r="R42" s="29">
        <v>0</v>
      </c>
      <c r="S42" s="29" t="s">
        <v>168</v>
      </c>
    </row>
    <row r="43" spans="1:19" s="17" customFormat="1" x14ac:dyDescent="0.3">
      <c r="A43" s="17" t="s">
        <v>442</v>
      </c>
      <c r="B43" s="28" t="s">
        <v>65</v>
      </c>
      <c r="C43" s="17" t="s">
        <v>131</v>
      </c>
      <c r="D43" s="17" t="s">
        <v>132</v>
      </c>
      <c r="E43" s="36">
        <v>2925308.7354000001</v>
      </c>
      <c r="F43" s="36">
        <v>3686544.997</v>
      </c>
      <c r="G43" s="36">
        <v>3690967.2480000001</v>
      </c>
      <c r="H43" s="36">
        <v>3740465.5920000002</v>
      </c>
      <c r="I43" s="36">
        <v>3802745.5989999999</v>
      </c>
      <c r="J43" s="36">
        <v>4106426.9569999999</v>
      </c>
      <c r="K43" s="36">
        <v>4208033.9066999899</v>
      </c>
      <c r="L43" s="36">
        <v>4308623.8896999899</v>
      </c>
      <c r="M43" s="36">
        <v>4389461.3448999897</v>
      </c>
      <c r="N43" s="36">
        <v>4495123.4857999999</v>
      </c>
      <c r="O43" s="36">
        <v>4601180.70159999</v>
      </c>
      <c r="P43" s="17">
        <v>0</v>
      </c>
      <c r="Q43" s="17">
        <v>0</v>
      </c>
      <c r="R43" s="17">
        <v>0</v>
      </c>
      <c r="S43" s="17" t="s">
        <v>168</v>
      </c>
    </row>
    <row r="44" spans="1:19" s="17" customFormat="1" x14ac:dyDescent="0.3">
      <c r="A44" s="17" t="s">
        <v>442</v>
      </c>
      <c r="B44" s="28" t="s">
        <v>65</v>
      </c>
      <c r="C44" s="17" t="s">
        <v>131</v>
      </c>
      <c r="D44" s="17" t="s">
        <v>133</v>
      </c>
      <c r="E44" s="36">
        <v>659861.15659999999</v>
      </c>
      <c r="F44" s="36">
        <v>831577.60019999999</v>
      </c>
      <c r="G44" s="36">
        <v>833806.93700000003</v>
      </c>
      <c r="H44" s="36">
        <v>846314.39</v>
      </c>
      <c r="I44" s="36">
        <v>870371.68279999995</v>
      </c>
      <c r="J44" s="36">
        <v>943996.85529999901</v>
      </c>
      <c r="K44" s="36">
        <v>1010320.2004</v>
      </c>
      <c r="L44" s="36">
        <v>1080774.9844</v>
      </c>
      <c r="M44" s="36">
        <v>1143549.7822099901</v>
      </c>
      <c r="N44" s="36">
        <v>1186961.8833000001</v>
      </c>
      <c r="O44" s="36">
        <v>1236607.42481</v>
      </c>
      <c r="P44" s="17">
        <v>0</v>
      </c>
      <c r="Q44" s="17">
        <v>0</v>
      </c>
      <c r="R44" s="17">
        <v>0</v>
      </c>
      <c r="S44" s="17" t="s">
        <v>168</v>
      </c>
    </row>
    <row r="45" spans="1:19" s="17" customFormat="1" x14ac:dyDescent="0.3">
      <c r="A45" s="17" t="s">
        <v>442</v>
      </c>
      <c r="B45" s="28" t="s">
        <v>65</v>
      </c>
      <c r="C45" s="17" t="s">
        <v>115</v>
      </c>
      <c r="D45" s="17" t="s">
        <v>134</v>
      </c>
      <c r="E45" s="22">
        <v>12346400</v>
      </c>
      <c r="F45" s="22">
        <v>18282500</v>
      </c>
      <c r="G45" s="22">
        <v>16574700</v>
      </c>
      <c r="H45" s="22">
        <v>14015900</v>
      </c>
      <c r="I45" s="22">
        <v>14055326</v>
      </c>
      <c r="J45" s="22">
        <v>14857700</v>
      </c>
      <c r="K45" s="22">
        <v>15429090</v>
      </c>
      <c r="L45" s="22">
        <v>16458251.835000001</v>
      </c>
      <c r="M45" s="22">
        <v>17174806.530000001</v>
      </c>
      <c r="N45" s="22">
        <v>17745488.649999999</v>
      </c>
      <c r="O45" s="22">
        <v>18316869.300000001</v>
      </c>
      <c r="P45" s="17">
        <v>0</v>
      </c>
      <c r="Q45" s="17">
        <v>0</v>
      </c>
      <c r="R45" s="17">
        <v>0</v>
      </c>
      <c r="S45" s="17" t="s">
        <v>169</v>
      </c>
    </row>
    <row r="47" spans="1:19" x14ac:dyDescent="0.3">
      <c r="A47" s="11" t="s">
        <v>135</v>
      </c>
      <c r="E47">
        <v>1990</v>
      </c>
      <c r="F47">
        <v>2005</v>
      </c>
      <c r="G47">
        <v>2010</v>
      </c>
      <c r="H47">
        <v>2015</v>
      </c>
      <c r="I47">
        <v>2020</v>
      </c>
      <c r="J47">
        <v>2025</v>
      </c>
      <c r="K47">
        <v>2030</v>
      </c>
      <c r="L47">
        <v>2035</v>
      </c>
      <c r="M47">
        <v>2040</v>
      </c>
      <c r="N47">
        <v>2045</v>
      </c>
      <c r="O47">
        <v>2050</v>
      </c>
      <c r="P47">
        <v>2065</v>
      </c>
      <c r="Q47">
        <v>2080</v>
      </c>
      <c r="R47">
        <v>2095</v>
      </c>
      <c r="S47" t="s">
        <v>105</v>
      </c>
    </row>
    <row r="48" spans="1:19" x14ac:dyDescent="0.3">
      <c r="B48" t="s">
        <v>64</v>
      </c>
      <c r="C48" s="9" t="s">
        <v>112</v>
      </c>
      <c r="D48" s="9" t="s">
        <v>117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S48" t="s">
        <v>136</v>
      </c>
    </row>
    <row r="49" spans="1:29" x14ac:dyDescent="0.3">
      <c r="B49" t="s">
        <v>65</v>
      </c>
      <c r="C49" s="9" t="s">
        <v>112</v>
      </c>
      <c r="D49" s="9" t="s">
        <v>117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S49" t="s">
        <v>136</v>
      </c>
    </row>
    <row r="50" spans="1:29" x14ac:dyDescent="0.3">
      <c r="C50" s="9"/>
      <c r="D50" s="9"/>
    </row>
    <row r="51" spans="1:29" s="14" customFormat="1" ht="17.399999999999999" x14ac:dyDescent="0.3">
      <c r="A51" s="26" t="s">
        <v>153</v>
      </c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s="17" customFormat="1" x14ac:dyDescent="0.3">
      <c r="A52" s="17" t="s">
        <v>104</v>
      </c>
      <c r="B52" s="18" t="s">
        <v>73</v>
      </c>
      <c r="C52" s="19" t="s">
        <v>111</v>
      </c>
      <c r="D52" s="19" t="s">
        <v>154</v>
      </c>
      <c r="E52" s="20">
        <v>1990</v>
      </c>
      <c r="F52" s="20">
        <v>2005</v>
      </c>
      <c r="G52" s="20">
        <v>2010</v>
      </c>
      <c r="H52" s="20">
        <v>2015</v>
      </c>
      <c r="I52" s="20">
        <v>2020</v>
      </c>
      <c r="J52" s="20">
        <v>2025</v>
      </c>
      <c r="K52" s="20">
        <v>2030</v>
      </c>
      <c r="L52" s="20">
        <v>2035</v>
      </c>
      <c r="M52" s="20">
        <v>2040</v>
      </c>
      <c r="N52" s="20">
        <v>2045</v>
      </c>
      <c r="O52" s="20">
        <v>2050</v>
      </c>
      <c r="P52" s="20">
        <v>2055</v>
      </c>
      <c r="Q52" s="20">
        <v>2060</v>
      </c>
      <c r="R52" s="20">
        <v>2065</v>
      </c>
      <c r="S52" s="20">
        <v>2070</v>
      </c>
      <c r="T52" s="20">
        <v>2075</v>
      </c>
      <c r="U52" s="20">
        <v>2080</v>
      </c>
      <c r="V52" s="20">
        <v>2085</v>
      </c>
      <c r="W52" s="20">
        <v>2090</v>
      </c>
      <c r="X52" s="20">
        <v>2095</v>
      </c>
      <c r="Y52" s="20">
        <v>2100</v>
      </c>
      <c r="Z52" s="20" t="s">
        <v>105</v>
      </c>
      <c r="AA52" s="20"/>
      <c r="AB52" s="20"/>
      <c r="AC52" s="20"/>
    </row>
    <row r="53" spans="1:29" s="17" customFormat="1" x14ac:dyDescent="0.3">
      <c r="A53" s="17" t="s">
        <v>442</v>
      </c>
      <c r="B53" s="18" t="s">
        <v>64</v>
      </c>
      <c r="C53" s="19" t="s">
        <v>112</v>
      </c>
      <c r="D53" s="19" t="s">
        <v>117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 t="s">
        <v>155</v>
      </c>
      <c r="AA53" s="20"/>
      <c r="AB53" s="20"/>
      <c r="AC53" s="20"/>
    </row>
    <row r="54" spans="1:29" s="17" customFormat="1" x14ac:dyDescent="0.3">
      <c r="A54" s="17" t="s">
        <v>442</v>
      </c>
      <c r="B54" s="18" t="s">
        <v>64</v>
      </c>
      <c r="C54" s="19" t="s">
        <v>113</v>
      </c>
      <c r="D54" s="19" t="s">
        <v>118</v>
      </c>
      <c r="E54" s="21">
        <v>7.9557499999999997E-4</v>
      </c>
      <c r="F54" s="21">
        <v>1.14108E-4</v>
      </c>
      <c r="G54" s="21">
        <v>2.4071100000000001E-4</v>
      </c>
      <c r="H54" s="21">
        <v>2.29626E-4</v>
      </c>
      <c r="I54" s="21">
        <v>2.29626E-4</v>
      </c>
      <c r="J54" s="21">
        <v>2.29626E-4</v>
      </c>
      <c r="K54" s="21">
        <v>2.29626E-4</v>
      </c>
      <c r="L54" s="21">
        <v>2.29626E-4</v>
      </c>
      <c r="M54" s="21">
        <v>2.29626E-4</v>
      </c>
      <c r="N54" s="21">
        <v>2.29626E-4</v>
      </c>
      <c r="O54" s="21">
        <v>2.29626E-4</v>
      </c>
      <c r="P54" s="21">
        <v>2.29626E-4</v>
      </c>
      <c r="Q54" s="21">
        <v>2.29626E-4</v>
      </c>
      <c r="R54" s="21">
        <v>2.29626E-4</v>
      </c>
      <c r="S54" s="21">
        <v>2.29626E-4</v>
      </c>
      <c r="T54" s="21">
        <v>2.29626E-4</v>
      </c>
      <c r="U54" s="21">
        <v>2.29626E-4</v>
      </c>
      <c r="V54" s="21">
        <v>2.29626E-4</v>
      </c>
      <c r="W54" s="21">
        <v>2.29626E-4</v>
      </c>
      <c r="X54" s="21">
        <v>2.29626E-4</v>
      </c>
      <c r="Y54" s="21">
        <v>2.29626E-4</v>
      </c>
      <c r="Z54" s="20" t="s">
        <v>155</v>
      </c>
      <c r="AA54" s="20"/>
      <c r="AB54" s="20"/>
      <c r="AC54" s="20"/>
    </row>
    <row r="55" spans="1:29" s="17" customFormat="1" x14ac:dyDescent="0.3">
      <c r="A55" s="17" t="s">
        <v>442</v>
      </c>
      <c r="B55" s="18" t="s">
        <v>64</v>
      </c>
      <c r="C55" s="19" t="s">
        <v>113</v>
      </c>
      <c r="D55" s="19" t="s">
        <v>119</v>
      </c>
      <c r="E55" s="20">
        <v>0.201544</v>
      </c>
      <c r="F55" s="20">
        <v>0.110995</v>
      </c>
      <c r="G55" s="20">
        <v>7.1097300000000002E-2</v>
      </c>
      <c r="H55" s="20">
        <v>6.2487000000000001E-2</v>
      </c>
      <c r="I55" s="20">
        <v>6.2487000000000001E-2</v>
      </c>
      <c r="J55" s="20">
        <v>6.2487000000000001E-2</v>
      </c>
      <c r="K55" s="20">
        <v>6.2487000000000001E-2</v>
      </c>
      <c r="L55" s="20">
        <v>6.2487000000000001E-2</v>
      </c>
      <c r="M55" s="20">
        <v>6.2487000000000001E-2</v>
      </c>
      <c r="N55" s="20">
        <v>6.2487000000000001E-2</v>
      </c>
      <c r="O55" s="20">
        <v>6.2487000000000001E-2</v>
      </c>
      <c r="P55" s="20">
        <v>6.2487000000000001E-2</v>
      </c>
      <c r="Q55" s="20">
        <v>6.2487000000000001E-2</v>
      </c>
      <c r="R55" s="20">
        <v>6.2487000000000001E-2</v>
      </c>
      <c r="S55" s="20">
        <v>6.2487000000000001E-2</v>
      </c>
      <c r="T55" s="20">
        <v>6.2487000000000001E-2</v>
      </c>
      <c r="U55" s="20">
        <v>6.2487000000000001E-2</v>
      </c>
      <c r="V55" s="20">
        <v>6.2487000000000001E-2</v>
      </c>
      <c r="W55" s="20">
        <v>6.2487000000000001E-2</v>
      </c>
      <c r="X55" s="20">
        <v>6.2487000000000001E-2</v>
      </c>
      <c r="Y55" s="20">
        <v>6.2487000000000001E-2</v>
      </c>
      <c r="Z55" s="20" t="s">
        <v>155</v>
      </c>
      <c r="AA55" s="20"/>
      <c r="AB55" s="20"/>
      <c r="AC55" s="20"/>
    </row>
    <row r="56" spans="1:29" s="17" customFormat="1" x14ac:dyDescent="0.3">
      <c r="A56" s="17" t="s">
        <v>442</v>
      </c>
      <c r="B56" s="18" t="s">
        <v>64</v>
      </c>
      <c r="C56" s="19" t="s">
        <v>113</v>
      </c>
      <c r="D56" s="19" t="s">
        <v>156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 t="s">
        <v>155</v>
      </c>
      <c r="AA56" s="20"/>
      <c r="AB56" s="20"/>
      <c r="AC56" s="20"/>
    </row>
    <row r="57" spans="1:29" s="17" customFormat="1" x14ac:dyDescent="0.3">
      <c r="A57" s="17" t="s">
        <v>442</v>
      </c>
      <c r="B57" s="18" t="s">
        <v>64</v>
      </c>
      <c r="C57" s="19" t="s">
        <v>120</v>
      </c>
      <c r="D57" s="19" t="s">
        <v>121</v>
      </c>
      <c r="E57" s="20">
        <v>1</v>
      </c>
      <c r="F57" s="20">
        <v>1</v>
      </c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 t="s">
        <v>155</v>
      </c>
      <c r="AA57" s="20"/>
      <c r="AB57" s="20"/>
      <c r="AC57" s="20"/>
    </row>
    <row r="58" spans="1:29" s="17" customFormat="1" x14ac:dyDescent="0.3">
      <c r="A58" s="17" t="s">
        <v>442</v>
      </c>
      <c r="B58" s="18" t="s">
        <v>64</v>
      </c>
      <c r="C58" s="19" t="s">
        <v>120</v>
      </c>
      <c r="D58" s="19" t="s">
        <v>122</v>
      </c>
      <c r="E58" s="20">
        <v>0.388042</v>
      </c>
      <c r="F58" s="20">
        <v>0.32650699999999999</v>
      </c>
      <c r="G58" s="20">
        <v>0.29575200000000001</v>
      </c>
      <c r="H58" s="20">
        <v>0.29556500000000002</v>
      </c>
      <c r="I58" s="20">
        <v>0.29556500000000002</v>
      </c>
      <c r="J58" s="20">
        <v>0.29556500000000002</v>
      </c>
      <c r="K58" s="20">
        <v>0.29556500000000002</v>
      </c>
      <c r="L58" s="20">
        <v>0.29556500000000002</v>
      </c>
      <c r="M58" s="20">
        <v>0.29556500000000002</v>
      </c>
      <c r="N58" s="20">
        <v>0.29556500000000002</v>
      </c>
      <c r="O58" s="20">
        <v>0.29556500000000002</v>
      </c>
      <c r="P58" s="20">
        <v>0.29556500000000002</v>
      </c>
      <c r="Q58" s="20">
        <v>0.29556500000000002</v>
      </c>
      <c r="R58" s="20">
        <v>0.29556500000000002</v>
      </c>
      <c r="S58" s="20">
        <v>0.29556500000000002</v>
      </c>
      <c r="T58" s="20">
        <v>0.29556500000000002</v>
      </c>
      <c r="U58" s="20">
        <v>0.29556500000000002</v>
      </c>
      <c r="V58" s="20">
        <v>0.29556500000000002</v>
      </c>
      <c r="W58" s="20">
        <v>0.29556500000000002</v>
      </c>
      <c r="X58" s="20">
        <v>0.29556500000000002</v>
      </c>
      <c r="Y58" s="20">
        <v>0.29556500000000002</v>
      </c>
      <c r="Z58" s="20" t="s">
        <v>155</v>
      </c>
      <c r="AA58" s="20"/>
      <c r="AB58" s="20"/>
      <c r="AC58" s="20"/>
    </row>
    <row r="59" spans="1:29" s="17" customFormat="1" x14ac:dyDescent="0.3">
      <c r="A59" s="17" t="s">
        <v>442</v>
      </c>
      <c r="B59" s="18" t="s">
        <v>64</v>
      </c>
      <c r="C59" s="19" t="s">
        <v>120</v>
      </c>
      <c r="D59" s="19" t="s">
        <v>123</v>
      </c>
      <c r="E59" s="20">
        <v>0.49975799999999998</v>
      </c>
      <c r="F59" s="20">
        <v>0.48830899999999999</v>
      </c>
      <c r="G59" s="20">
        <v>0.46190100000000001</v>
      </c>
      <c r="H59" s="20">
        <v>0.45769300000000002</v>
      </c>
      <c r="I59" s="20">
        <v>0.45769300000000002</v>
      </c>
      <c r="J59" s="20">
        <v>0.45769300000000002</v>
      </c>
      <c r="K59" s="20">
        <v>0.45769300000000002</v>
      </c>
      <c r="L59" s="20">
        <v>0.45769300000000002</v>
      </c>
      <c r="M59" s="20">
        <v>0.45769300000000002</v>
      </c>
      <c r="N59" s="20">
        <v>0.45769300000000002</v>
      </c>
      <c r="O59" s="20">
        <v>0.45769300000000002</v>
      </c>
      <c r="P59" s="20">
        <v>0.45769300000000002</v>
      </c>
      <c r="Q59" s="20">
        <v>0.45769300000000002</v>
      </c>
      <c r="R59" s="20">
        <v>0.45769300000000002</v>
      </c>
      <c r="S59" s="20">
        <v>0.45769300000000002</v>
      </c>
      <c r="T59" s="20">
        <v>0.45769300000000002</v>
      </c>
      <c r="U59" s="20">
        <v>0.45769300000000002</v>
      </c>
      <c r="V59" s="20">
        <v>0.45769300000000002</v>
      </c>
      <c r="W59" s="20">
        <v>0.45769300000000002</v>
      </c>
      <c r="X59" s="20">
        <v>0.45769300000000002</v>
      </c>
      <c r="Y59" s="20">
        <v>0.45769300000000002</v>
      </c>
      <c r="Z59" s="20" t="s">
        <v>155</v>
      </c>
      <c r="AA59" s="20"/>
      <c r="AB59" s="20"/>
      <c r="AC59" s="20"/>
    </row>
    <row r="60" spans="1:29" s="17" customFormat="1" x14ac:dyDescent="0.3">
      <c r="A60" s="17" t="s">
        <v>442</v>
      </c>
      <c r="B60" s="18" t="s">
        <v>64</v>
      </c>
      <c r="C60" s="19" t="s">
        <v>114</v>
      </c>
      <c r="D60" s="19" t="s">
        <v>157</v>
      </c>
      <c r="E60" s="20">
        <v>1.5098800000000001E-2</v>
      </c>
      <c r="F60" s="20">
        <v>1.40179E-2</v>
      </c>
      <c r="G60" s="20">
        <v>1.2829399999999999E-2</v>
      </c>
      <c r="H60" s="20">
        <v>1.37751E-2</v>
      </c>
      <c r="I60" s="20">
        <v>1.37751E-2</v>
      </c>
      <c r="J60" s="20">
        <v>1.37751E-2</v>
      </c>
      <c r="K60" s="20">
        <v>1.37751E-2</v>
      </c>
      <c r="L60" s="20">
        <v>1.37751E-2</v>
      </c>
      <c r="M60" s="20">
        <v>1.37751E-2</v>
      </c>
      <c r="N60" s="20">
        <v>1.37751E-2</v>
      </c>
      <c r="O60" s="20">
        <v>1.37751E-2</v>
      </c>
      <c r="P60" s="20">
        <v>1.37751E-2</v>
      </c>
      <c r="Q60" s="20">
        <v>1.37751E-2</v>
      </c>
      <c r="R60" s="20">
        <v>1.37751E-2</v>
      </c>
      <c r="S60" s="20">
        <v>1.37751E-2</v>
      </c>
      <c r="T60" s="20">
        <v>1.37751E-2</v>
      </c>
      <c r="U60" s="20">
        <v>1.37751E-2</v>
      </c>
      <c r="V60" s="20">
        <v>1.37751E-2</v>
      </c>
      <c r="W60" s="20">
        <v>1.37751E-2</v>
      </c>
      <c r="X60" s="20">
        <v>1.37751E-2</v>
      </c>
      <c r="Y60" s="20">
        <v>1.37751E-2</v>
      </c>
      <c r="Z60" s="20" t="s">
        <v>155</v>
      </c>
      <c r="AA60" s="20"/>
      <c r="AB60" s="20"/>
      <c r="AC60" s="20"/>
    </row>
    <row r="61" spans="1:29" s="17" customFormat="1" x14ac:dyDescent="0.3">
      <c r="A61" s="17" t="s">
        <v>442</v>
      </c>
      <c r="B61" s="18" t="s">
        <v>64</v>
      </c>
      <c r="C61" s="19" t="s">
        <v>114</v>
      </c>
      <c r="D61" s="19" t="s">
        <v>124</v>
      </c>
      <c r="E61" s="20">
        <v>2.5703499999999999E-3</v>
      </c>
      <c r="F61" s="20">
        <v>1.57745E-3</v>
      </c>
      <c r="G61" s="20">
        <v>1.5847000000000001E-3</v>
      </c>
      <c r="H61" s="20">
        <v>1.4951299999999999E-3</v>
      </c>
      <c r="I61" s="20">
        <v>1.4951299999999999E-3</v>
      </c>
      <c r="J61" s="20">
        <v>1.4951299999999999E-3</v>
      </c>
      <c r="K61" s="20">
        <v>1.4951299999999999E-3</v>
      </c>
      <c r="L61" s="20">
        <v>1.4951299999999999E-3</v>
      </c>
      <c r="M61" s="20">
        <v>1.4951299999999999E-3</v>
      </c>
      <c r="N61" s="20">
        <v>1.4951299999999999E-3</v>
      </c>
      <c r="O61" s="20">
        <v>1.4951299999999999E-3</v>
      </c>
      <c r="P61" s="20">
        <v>1.4951299999999999E-3</v>
      </c>
      <c r="Q61" s="20">
        <v>1.4951299999999999E-3</v>
      </c>
      <c r="R61" s="20">
        <v>1.4951299999999999E-3</v>
      </c>
      <c r="S61" s="20">
        <v>1.4951299999999999E-3</v>
      </c>
      <c r="T61" s="20">
        <v>1.4951299999999999E-3</v>
      </c>
      <c r="U61" s="20">
        <v>1.4951299999999999E-3</v>
      </c>
      <c r="V61" s="20">
        <v>1.4951299999999999E-3</v>
      </c>
      <c r="W61" s="20">
        <v>1.4951299999999999E-3</v>
      </c>
      <c r="X61" s="20">
        <v>1.4951299999999999E-3</v>
      </c>
      <c r="Y61" s="20">
        <v>1.4951299999999999E-3</v>
      </c>
      <c r="Z61" s="20" t="s">
        <v>155</v>
      </c>
      <c r="AA61" s="20"/>
      <c r="AB61" s="20"/>
      <c r="AC61" s="20"/>
    </row>
    <row r="62" spans="1:29" s="17" customFormat="1" x14ac:dyDescent="0.3">
      <c r="A62" s="17" t="s">
        <v>442</v>
      </c>
      <c r="B62" s="18" t="s">
        <v>64</v>
      </c>
      <c r="C62" s="19" t="s">
        <v>114</v>
      </c>
      <c r="D62" s="19" t="s">
        <v>125</v>
      </c>
      <c r="E62" s="20">
        <v>0</v>
      </c>
      <c r="F62" s="20">
        <v>0</v>
      </c>
      <c r="G62" s="20">
        <v>0</v>
      </c>
      <c r="H62" s="20">
        <v>0</v>
      </c>
      <c r="I62" s="21">
        <v>5.8823499999999997E-5</v>
      </c>
      <c r="J62" s="21">
        <v>1.1764699999999999E-4</v>
      </c>
      <c r="K62" s="21">
        <v>1.7647100000000001E-4</v>
      </c>
      <c r="L62" s="21">
        <v>2.3529399999999999E-4</v>
      </c>
      <c r="M62" s="21">
        <v>2.9411800000000001E-4</v>
      </c>
      <c r="N62" s="21">
        <v>3.5294100000000001E-4</v>
      </c>
      <c r="O62" s="21">
        <v>4.1176500000000003E-4</v>
      </c>
      <c r="P62" s="21">
        <v>4.7058799999999997E-4</v>
      </c>
      <c r="Q62" s="21">
        <v>5.2941200000000005E-4</v>
      </c>
      <c r="R62" s="21">
        <v>5.8823499999999999E-4</v>
      </c>
      <c r="S62" s="21">
        <v>6.4705899999999996E-4</v>
      </c>
      <c r="T62" s="21">
        <v>7.0588200000000002E-4</v>
      </c>
      <c r="U62" s="21">
        <v>7.6470599999999998E-4</v>
      </c>
      <c r="V62" s="21">
        <v>8.2352900000000004E-4</v>
      </c>
      <c r="W62" s="21">
        <v>8.82353E-4</v>
      </c>
      <c r="X62" s="21">
        <v>9.4117599999999995E-4</v>
      </c>
      <c r="Y62" s="20">
        <v>1E-3</v>
      </c>
      <c r="Z62" s="20" t="s">
        <v>155</v>
      </c>
      <c r="AA62" s="20"/>
      <c r="AB62" s="20"/>
      <c r="AC62" s="20"/>
    </row>
    <row r="63" spans="1:29" s="17" customFormat="1" x14ac:dyDescent="0.3">
      <c r="A63" s="17" t="s">
        <v>442</v>
      </c>
      <c r="B63" s="18" t="s">
        <v>64</v>
      </c>
      <c r="C63" s="19" t="s">
        <v>114</v>
      </c>
      <c r="D63" s="19" t="s">
        <v>126</v>
      </c>
      <c r="E63" s="20">
        <v>3.5350699999999999E-2</v>
      </c>
      <c r="F63" s="20">
        <v>2.0358000000000001E-2</v>
      </c>
      <c r="G63" s="20">
        <v>1.4702099999999999E-2</v>
      </c>
      <c r="H63" s="20">
        <v>1.32408E-2</v>
      </c>
      <c r="I63" s="20">
        <v>1.32408E-2</v>
      </c>
      <c r="J63" s="20">
        <v>1.32408E-2</v>
      </c>
      <c r="K63" s="20">
        <v>1.32408E-2</v>
      </c>
      <c r="L63" s="20">
        <v>1.32408E-2</v>
      </c>
      <c r="M63" s="20">
        <v>1.32408E-2</v>
      </c>
      <c r="N63" s="20">
        <v>1.32408E-2</v>
      </c>
      <c r="O63" s="20">
        <v>1.32408E-2</v>
      </c>
      <c r="P63" s="20">
        <v>1.32408E-2</v>
      </c>
      <c r="Q63" s="20">
        <v>1.32408E-2</v>
      </c>
      <c r="R63" s="20">
        <v>1.32408E-2</v>
      </c>
      <c r="S63" s="20">
        <v>1.32408E-2</v>
      </c>
      <c r="T63" s="20">
        <v>1.32408E-2</v>
      </c>
      <c r="U63" s="20">
        <v>1.32408E-2</v>
      </c>
      <c r="V63" s="20">
        <v>1.32408E-2</v>
      </c>
      <c r="W63" s="20">
        <v>1.32408E-2</v>
      </c>
      <c r="X63" s="20">
        <v>1.32408E-2</v>
      </c>
      <c r="Y63" s="20">
        <v>1.32408E-2</v>
      </c>
      <c r="Z63" s="20" t="s">
        <v>155</v>
      </c>
      <c r="AA63" s="20"/>
      <c r="AB63" s="20"/>
      <c r="AC63" s="20"/>
    </row>
    <row r="64" spans="1:29" s="17" customFormat="1" x14ac:dyDescent="0.3">
      <c r="A64" s="17" t="s">
        <v>442</v>
      </c>
      <c r="B64" s="18" t="s">
        <v>64</v>
      </c>
      <c r="C64" s="19" t="s">
        <v>114</v>
      </c>
      <c r="D64" s="19" t="s">
        <v>158</v>
      </c>
      <c r="E64" s="20">
        <v>0.442357</v>
      </c>
      <c r="F64" s="20">
        <v>0.41068100000000002</v>
      </c>
      <c r="G64" s="20">
        <v>0.375863</v>
      </c>
      <c r="H64" s="20">
        <v>0.40357500000000002</v>
      </c>
      <c r="I64" s="20">
        <v>0.40357500000000002</v>
      </c>
      <c r="J64" s="20">
        <v>0.40357500000000002</v>
      </c>
      <c r="K64" s="20">
        <v>0.40357500000000002</v>
      </c>
      <c r="L64" s="20">
        <v>0.40357500000000002</v>
      </c>
      <c r="M64" s="20">
        <v>0.40357500000000002</v>
      </c>
      <c r="N64" s="20">
        <v>0.40357500000000002</v>
      </c>
      <c r="O64" s="20">
        <v>0.40357500000000002</v>
      </c>
      <c r="P64" s="20">
        <v>0.40357500000000002</v>
      </c>
      <c r="Q64" s="20">
        <v>0.40357500000000002</v>
      </c>
      <c r="R64" s="20">
        <v>0.40357500000000002</v>
      </c>
      <c r="S64" s="20">
        <v>0.40357500000000002</v>
      </c>
      <c r="T64" s="20">
        <v>0.40357500000000002</v>
      </c>
      <c r="U64" s="20">
        <v>0.40357500000000002</v>
      </c>
      <c r="V64" s="20">
        <v>0.40357500000000002</v>
      </c>
      <c r="W64" s="20">
        <v>0.40357500000000002</v>
      </c>
      <c r="X64" s="20">
        <v>0.40357500000000002</v>
      </c>
      <c r="Y64" s="20">
        <v>0.40357500000000002</v>
      </c>
      <c r="Z64" s="20" t="s">
        <v>155</v>
      </c>
      <c r="AA64" s="20"/>
      <c r="AB64" s="20"/>
      <c r="AC64" s="20"/>
    </row>
    <row r="65" spans="1:29" s="17" customFormat="1" x14ac:dyDescent="0.3">
      <c r="A65" s="17" t="s">
        <v>442</v>
      </c>
      <c r="B65" s="23" t="s">
        <v>64</v>
      </c>
      <c r="C65" s="19" t="s">
        <v>114</v>
      </c>
      <c r="D65" s="19" t="s">
        <v>156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1</v>
      </c>
      <c r="S65" s="20">
        <v>1</v>
      </c>
      <c r="T65" s="20">
        <v>1</v>
      </c>
      <c r="U65" s="20">
        <v>1</v>
      </c>
      <c r="V65" s="20">
        <v>1</v>
      </c>
      <c r="W65" s="20">
        <v>1</v>
      </c>
      <c r="X65" s="20">
        <v>1</v>
      </c>
      <c r="Y65" s="20">
        <v>1</v>
      </c>
      <c r="Z65" s="20" t="s">
        <v>155</v>
      </c>
      <c r="AA65" s="20"/>
      <c r="AB65" s="20"/>
      <c r="AC65" s="20"/>
    </row>
    <row r="66" spans="1:29" s="17" customFormat="1" x14ac:dyDescent="0.3">
      <c r="A66" s="17" t="s">
        <v>442</v>
      </c>
      <c r="B66" s="23" t="s">
        <v>64</v>
      </c>
      <c r="C66" s="19" t="s">
        <v>127</v>
      </c>
      <c r="D66" s="19" t="s">
        <v>128</v>
      </c>
      <c r="E66" s="20">
        <v>0.384266</v>
      </c>
      <c r="F66" s="20">
        <v>0.44448799999999999</v>
      </c>
      <c r="G66" s="20">
        <v>0.40245900000000001</v>
      </c>
      <c r="H66" s="20">
        <v>0.38813399999999998</v>
      </c>
      <c r="I66" s="20">
        <v>0.38813399999999998</v>
      </c>
      <c r="J66" s="20">
        <v>0.38813399999999998</v>
      </c>
      <c r="K66" s="20">
        <v>0.38813399999999998</v>
      </c>
      <c r="L66" s="20">
        <v>0.38813399999999998</v>
      </c>
      <c r="M66" s="20">
        <v>0.38813399999999998</v>
      </c>
      <c r="N66" s="20">
        <v>0.38813399999999998</v>
      </c>
      <c r="O66" s="20">
        <v>0.38813399999999998</v>
      </c>
      <c r="P66" s="20">
        <v>0.38813399999999998</v>
      </c>
      <c r="Q66" s="20">
        <v>0.38813399999999998</v>
      </c>
      <c r="R66" s="20">
        <v>0.38813399999999998</v>
      </c>
      <c r="S66" s="20">
        <v>0.38813399999999998</v>
      </c>
      <c r="T66" s="20">
        <v>0.38813399999999998</v>
      </c>
      <c r="U66" s="20">
        <v>0.38813399999999998</v>
      </c>
      <c r="V66" s="20">
        <v>0.38813399999999998</v>
      </c>
      <c r="W66" s="20">
        <v>0.38813399999999998</v>
      </c>
      <c r="X66" s="20">
        <v>0.38813399999999998</v>
      </c>
      <c r="Y66" s="20">
        <v>0.38813399999999998</v>
      </c>
      <c r="Z66" s="20" t="s">
        <v>155</v>
      </c>
      <c r="AA66" s="20"/>
      <c r="AB66" s="20"/>
      <c r="AC66" s="20"/>
    </row>
    <row r="67" spans="1:29" s="17" customFormat="1" x14ac:dyDescent="0.3">
      <c r="A67" s="17" t="s">
        <v>442</v>
      </c>
      <c r="B67" s="24" t="s">
        <v>64</v>
      </c>
      <c r="C67" s="17" t="s">
        <v>127</v>
      </c>
      <c r="D67" s="17" t="s">
        <v>159</v>
      </c>
      <c r="E67" s="36">
        <v>1</v>
      </c>
      <c r="F67" s="36">
        <v>1</v>
      </c>
      <c r="G67" s="36">
        <v>1</v>
      </c>
      <c r="H67" s="36">
        <v>1</v>
      </c>
      <c r="I67" s="36">
        <v>1</v>
      </c>
      <c r="J67" s="36">
        <v>1</v>
      </c>
      <c r="K67" s="36">
        <v>1</v>
      </c>
      <c r="L67" s="36">
        <v>1</v>
      </c>
      <c r="M67" s="36">
        <v>1</v>
      </c>
      <c r="N67" s="36">
        <v>1</v>
      </c>
      <c r="O67" s="36">
        <v>1</v>
      </c>
      <c r="P67" s="36">
        <v>1</v>
      </c>
      <c r="Q67" s="36">
        <v>1</v>
      </c>
      <c r="R67" s="36">
        <v>1</v>
      </c>
      <c r="S67" s="36">
        <v>1</v>
      </c>
      <c r="T67" s="36">
        <v>1</v>
      </c>
      <c r="U67" s="36">
        <v>1</v>
      </c>
      <c r="V67" s="36">
        <v>1</v>
      </c>
      <c r="W67" s="36">
        <v>1</v>
      </c>
      <c r="X67" s="36">
        <v>1</v>
      </c>
      <c r="Y67" s="17">
        <v>1</v>
      </c>
      <c r="Z67" s="17" t="s">
        <v>155</v>
      </c>
    </row>
    <row r="68" spans="1:29" s="17" customFormat="1" x14ac:dyDescent="0.3">
      <c r="A68" s="17" t="s">
        <v>442</v>
      </c>
      <c r="B68" s="24" t="s">
        <v>64</v>
      </c>
      <c r="C68" s="17" t="s">
        <v>129</v>
      </c>
      <c r="D68" s="17" t="s">
        <v>130</v>
      </c>
      <c r="E68" s="36">
        <v>1.2316300000000001E-2</v>
      </c>
      <c r="F68" s="36">
        <v>1.07405E-2</v>
      </c>
      <c r="G68" s="36">
        <v>1.1504500000000001E-2</v>
      </c>
      <c r="H68" s="36">
        <v>1.2729000000000001E-2</v>
      </c>
      <c r="I68" s="36">
        <v>1.2729000000000001E-2</v>
      </c>
      <c r="J68" s="36">
        <v>1.2729000000000001E-2</v>
      </c>
      <c r="K68" s="36">
        <v>1.2729000000000001E-2</v>
      </c>
      <c r="L68" s="36">
        <v>1.2729000000000001E-2</v>
      </c>
      <c r="M68" s="36">
        <v>1.2729000000000001E-2</v>
      </c>
      <c r="N68" s="36">
        <v>1.2729000000000001E-2</v>
      </c>
      <c r="O68" s="36">
        <v>1.2729000000000001E-2</v>
      </c>
      <c r="P68" s="36">
        <v>1.2729000000000001E-2</v>
      </c>
      <c r="Q68" s="36">
        <v>1.2729000000000001E-2</v>
      </c>
      <c r="R68" s="36">
        <v>1.2729000000000001E-2</v>
      </c>
      <c r="S68" s="36">
        <v>1.2729000000000001E-2</v>
      </c>
      <c r="T68" s="36">
        <v>1.2729000000000001E-2</v>
      </c>
      <c r="U68" s="36">
        <v>1.2729000000000001E-2</v>
      </c>
      <c r="V68" s="36">
        <v>1.2729000000000001E-2</v>
      </c>
      <c r="W68" s="36">
        <v>1.2729000000000001E-2</v>
      </c>
      <c r="X68" s="36">
        <v>1.2729000000000001E-2</v>
      </c>
      <c r="Y68" s="17">
        <v>1.2729000000000001E-2</v>
      </c>
      <c r="Z68" s="17" t="s">
        <v>155</v>
      </c>
    </row>
    <row r="69" spans="1:29" s="17" customFormat="1" x14ac:dyDescent="0.3">
      <c r="A69" s="17" t="s">
        <v>442</v>
      </c>
      <c r="B69" s="24" t="s">
        <v>64</v>
      </c>
      <c r="C69" s="17" t="s">
        <v>129</v>
      </c>
      <c r="D69" s="17" t="s">
        <v>160</v>
      </c>
      <c r="E69" s="36">
        <v>1</v>
      </c>
      <c r="F69" s="36">
        <v>1</v>
      </c>
      <c r="G69" s="36">
        <v>1</v>
      </c>
      <c r="H69" s="36">
        <v>1</v>
      </c>
      <c r="I69" s="36">
        <v>1</v>
      </c>
      <c r="J69" s="36">
        <v>1</v>
      </c>
      <c r="K69" s="36">
        <v>1</v>
      </c>
      <c r="L69" s="36">
        <v>1</v>
      </c>
      <c r="M69" s="36">
        <v>1</v>
      </c>
      <c r="N69" s="36">
        <v>1</v>
      </c>
      <c r="O69" s="36">
        <v>1</v>
      </c>
      <c r="P69" s="36">
        <v>1</v>
      </c>
      <c r="Q69" s="36">
        <v>1</v>
      </c>
      <c r="R69" s="36">
        <v>1</v>
      </c>
      <c r="S69" s="36">
        <v>1</v>
      </c>
      <c r="T69" s="36">
        <v>1</v>
      </c>
      <c r="U69" s="36">
        <v>1</v>
      </c>
      <c r="V69" s="36">
        <v>1</v>
      </c>
      <c r="W69" s="36">
        <v>1</v>
      </c>
      <c r="X69" s="36">
        <v>1</v>
      </c>
      <c r="Y69" s="17">
        <v>1</v>
      </c>
      <c r="Z69" s="17" t="s">
        <v>155</v>
      </c>
    </row>
    <row r="70" spans="1:29" s="17" customFormat="1" x14ac:dyDescent="0.3">
      <c r="A70" s="17" t="s">
        <v>442</v>
      </c>
      <c r="B70" s="24" t="s">
        <v>64</v>
      </c>
      <c r="C70" s="17" t="s">
        <v>131</v>
      </c>
      <c r="D70" s="17" t="s">
        <v>132</v>
      </c>
      <c r="E70" s="36">
        <v>1</v>
      </c>
      <c r="F70" s="36">
        <v>1</v>
      </c>
      <c r="G70" s="36">
        <v>1</v>
      </c>
      <c r="H70" s="36">
        <v>1</v>
      </c>
      <c r="I70" s="36">
        <v>1</v>
      </c>
      <c r="J70" s="36">
        <v>1</v>
      </c>
      <c r="K70" s="36">
        <v>1</v>
      </c>
      <c r="L70" s="36">
        <v>1</v>
      </c>
      <c r="M70" s="36">
        <v>1</v>
      </c>
      <c r="N70" s="36">
        <v>1</v>
      </c>
      <c r="O70" s="36">
        <v>1</v>
      </c>
      <c r="P70" s="36">
        <v>1</v>
      </c>
      <c r="Q70" s="36">
        <v>1</v>
      </c>
      <c r="R70" s="36">
        <v>1</v>
      </c>
      <c r="S70" s="36">
        <v>1</v>
      </c>
      <c r="T70" s="36">
        <v>1</v>
      </c>
      <c r="U70" s="36">
        <v>1</v>
      </c>
      <c r="V70" s="36">
        <v>1</v>
      </c>
      <c r="W70" s="36">
        <v>1</v>
      </c>
      <c r="X70" s="36">
        <v>1</v>
      </c>
      <c r="Y70" s="17">
        <v>1</v>
      </c>
      <c r="Z70" s="17" t="s">
        <v>155</v>
      </c>
    </row>
    <row r="71" spans="1:29" s="17" customFormat="1" x14ac:dyDescent="0.3">
      <c r="A71" s="17" t="s">
        <v>442</v>
      </c>
      <c r="B71" s="24" t="s">
        <v>64</v>
      </c>
      <c r="C71" s="17" t="s">
        <v>131</v>
      </c>
      <c r="D71" s="17" t="s">
        <v>133</v>
      </c>
      <c r="E71" s="36">
        <v>0.359823</v>
      </c>
      <c r="F71" s="36">
        <v>0.26042300000000002</v>
      </c>
      <c r="G71" s="36">
        <v>0.208065</v>
      </c>
      <c r="H71" s="36">
        <v>0.175646</v>
      </c>
      <c r="I71" s="36">
        <v>0.175646</v>
      </c>
      <c r="J71" s="36">
        <v>0.175646</v>
      </c>
      <c r="K71" s="36">
        <v>0.175646</v>
      </c>
      <c r="L71" s="36">
        <v>0.175646</v>
      </c>
      <c r="M71" s="36">
        <v>0.175646</v>
      </c>
      <c r="N71" s="36">
        <v>0.175646</v>
      </c>
      <c r="O71" s="36">
        <v>0.175646</v>
      </c>
      <c r="P71" s="36">
        <v>0.175646</v>
      </c>
      <c r="Q71" s="36">
        <v>0.175646</v>
      </c>
      <c r="R71" s="36">
        <v>0.175646</v>
      </c>
      <c r="S71" s="36">
        <v>0.175646</v>
      </c>
      <c r="T71" s="36">
        <v>0.175646</v>
      </c>
      <c r="U71" s="36">
        <v>0.175646</v>
      </c>
      <c r="V71" s="36">
        <v>0.175646</v>
      </c>
      <c r="W71" s="36">
        <v>0.175646</v>
      </c>
      <c r="X71" s="36">
        <v>0.175646</v>
      </c>
      <c r="Y71" s="17">
        <v>0.175646</v>
      </c>
      <c r="Z71" s="17" t="s">
        <v>155</v>
      </c>
    </row>
    <row r="72" spans="1:29" s="17" customFormat="1" x14ac:dyDescent="0.3">
      <c r="A72" s="17" t="s">
        <v>442</v>
      </c>
      <c r="B72" s="24" t="s">
        <v>64</v>
      </c>
      <c r="C72" s="17" t="s">
        <v>115</v>
      </c>
      <c r="D72" s="17" t="s">
        <v>134</v>
      </c>
      <c r="E72" s="36">
        <v>1</v>
      </c>
      <c r="F72" s="36">
        <v>1</v>
      </c>
      <c r="G72" s="36">
        <v>1</v>
      </c>
      <c r="H72" s="36">
        <v>1</v>
      </c>
      <c r="I72" s="36">
        <v>1</v>
      </c>
      <c r="J72" s="36">
        <v>1</v>
      </c>
      <c r="K72" s="36">
        <v>1</v>
      </c>
      <c r="L72" s="36">
        <v>1</v>
      </c>
      <c r="M72" s="36">
        <v>1</v>
      </c>
      <c r="N72" s="36">
        <v>1</v>
      </c>
      <c r="O72" s="36">
        <v>1</v>
      </c>
      <c r="P72" s="36">
        <v>1</v>
      </c>
      <c r="Q72" s="36">
        <v>1</v>
      </c>
      <c r="R72" s="36">
        <v>1</v>
      </c>
      <c r="S72" s="36">
        <v>1</v>
      </c>
      <c r="T72" s="36">
        <v>1</v>
      </c>
      <c r="U72" s="36">
        <v>1</v>
      </c>
      <c r="V72" s="36">
        <v>1</v>
      </c>
      <c r="W72" s="36">
        <v>1</v>
      </c>
      <c r="X72" s="36">
        <v>1</v>
      </c>
      <c r="Y72" s="17">
        <v>1</v>
      </c>
      <c r="Z72" s="17" t="s">
        <v>155</v>
      </c>
    </row>
    <row r="73" spans="1:29" s="17" customFormat="1" x14ac:dyDescent="0.3">
      <c r="A73" s="17" t="s">
        <v>442</v>
      </c>
      <c r="B73" s="24" t="s">
        <v>65</v>
      </c>
      <c r="C73" s="17" t="s">
        <v>112</v>
      </c>
      <c r="D73" s="17" t="s">
        <v>117</v>
      </c>
      <c r="E73" s="36">
        <v>1</v>
      </c>
      <c r="F73" s="36">
        <v>1</v>
      </c>
      <c r="G73" s="36">
        <v>1</v>
      </c>
      <c r="H73" s="36">
        <v>1</v>
      </c>
      <c r="I73" s="36">
        <v>1</v>
      </c>
      <c r="J73" s="36">
        <v>1</v>
      </c>
      <c r="K73" s="36">
        <v>1</v>
      </c>
      <c r="L73" s="36">
        <v>1</v>
      </c>
      <c r="M73" s="36">
        <v>1</v>
      </c>
      <c r="N73" s="36">
        <v>1</v>
      </c>
      <c r="O73" s="36">
        <v>1</v>
      </c>
      <c r="P73" s="36">
        <v>1</v>
      </c>
      <c r="Q73" s="36">
        <v>1</v>
      </c>
      <c r="R73" s="36">
        <v>1</v>
      </c>
      <c r="S73" s="36">
        <v>1</v>
      </c>
      <c r="T73" s="36">
        <v>1</v>
      </c>
      <c r="U73" s="36">
        <v>1</v>
      </c>
      <c r="V73" s="36">
        <v>1</v>
      </c>
      <c r="W73" s="36">
        <v>1</v>
      </c>
      <c r="X73" s="36">
        <v>1</v>
      </c>
      <c r="Y73" s="17">
        <v>1</v>
      </c>
      <c r="Z73" s="17" t="s">
        <v>155</v>
      </c>
    </row>
    <row r="74" spans="1:29" s="17" customFormat="1" x14ac:dyDescent="0.3">
      <c r="A74" s="17" t="s">
        <v>442</v>
      </c>
      <c r="B74" s="24" t="s">
        <v>65</v>
      </c>
      <c r="C74" s="17" t="s">
        <v>113</v>
      </c>
      <c r="D74" s="17" t="s">
        <v>118</v>
      </c>
      <c r="E74" s="22">
        <v>4.7439200000000002E-4</v>
      </c>
      <c r="F74" s="22">
        <v>4.8746199999999998E-4</v>
      </c>
      <c r="G74" s="22">
        <v>9.3373000000000002E-4</v>
      </c>
      <c r="H74" s="22">
        <v>8.18087E-4</v>
      </c>
      <c r="I74" s="22">
        <v>8.18087E-4</v>
      </c>
      <c r="J74" s="22">
        <v>8.18087E-4</v>
      </c>
      <c r="K74" s="22">
        <v>8.18087E-4</v>
      </c>
      <c r="L74" s="22">
        <v>8.18087E-4</v>
      </c>
      <c r="M74" s="22">
        <v>8.18087E-4</v>
      </c>
      <c r="N74" s="22">
        <v>8.18087E-4</v>
      </c>
      <c r="O74" s="22">
        <v>8.18087E-4</v>
      </c>
      <c r="P74" s="22">
        <v>8.18087E-4</v>
      </c>
      <c r="Q74" s="22">
        <v>8.18087E-4</v>
      </c>
      <c r="R74" s="22">
        <v>8.18087E-4</v>
      </c>
      <c r="S74" s="22">
        <v>8.18087E-4</v>
      </c>
      <c r="T74" s="22">
        <v>8.18087E-4</v>
      </c>
      <c r="U74" s="22">
        <v>8.18087E-4</v>
      </c>
      <c r="V74" s="22">
        <v>8.18087E-4</v>
      </c>
      <c r="W74" s="22">
        <v>8.18087E-4</v>
      </c>
      <c r="X74" s="22">
        <v>8.18087E-4</v>
      </c>
      <c r="Y74" s="22">
        <v>8.18087E-4</v>
      </c>
      <c r="Z74" s="17" t="s">
        <v>155</v>
      </c>
    </row>
    <row r="75" spans="1:29" s="17" customFormat="1" x14ac:dyDescent="0.3">
      <c r="A75" s="17" t="s">
        <v>442</v>
      </c>
      <c r="B75" s="24" t="s">
        <v>65</v>
      </c>
      <c r="C75" s="17" t="s">
        <v>113</v>
      </c>
      <c r="D75" s="17" t="s">
        <v>119</v>
      </c>
      <c r="E75" s="36">
        <v>1.54354E-2</v>
      </c>
      <c r="F75" s="36">
        <v>1.49341E-2</v>
      </c>
      <c r="G75" s="36">
        <v>1.4138100000000001E-2</v>
      </c>
      <c r="H75" s="36">
        <v>1.46433E-2</v>
      </c>
      <c r="I75" s="36">
        <v>1.46433E-2</v>
      </c>
      <c r="J75" s="36">
        <v>1.46433E-2</v>
      </c>
      <c r="K75" s="36">
        <v>1.46433E-2</v>
      </c>
      <c r="L75" s="36">
        <v>1.46433E-2</v>
      </c>
      <c r="M75" s="36">
        <v>1.46433E-2</v>
      </c>
      <c r="N75" s="36">
        <v>1.46433E-2</v>
      </c>
      <c r="O75" s="36">
        <v>1.46433E-2</v>
      </c>
      <c r="P75" s="36">
        <v>1.46433E-2</v>
      </c>
      <c r="Q75" s="36">
        <v>1.46433E-2</v>
      </c>
      <c r="R75" s="36">
        <v>1.46433E-2</v>
      </c>
      <c r="S75" s="36">
        <v>1.46433E-2</v>
      </c>
      <c r="T75" s="36">
        <v>1.46433E-2</v>
      </c>
      <c r="U75" s="36">
        <v>1.46433E-2</v>
      </c>
      <c r="V75" s="36">
        <v>1.46433E-2</v>
      </c>
      <c r="W75" s="36">
        <v>1.46433E-2</v>
      </c>
      <c r="X75" s="36">
        <v>1.46433E-2</v>
      </c>
      <c r="Y75" s="17">
        <v>1.46433E-2</v>
      </c>
      <c r="Z75" s="17" t="s">
        <v>155</v>
      </c>
    </row>
    <row r="76" spans="1:29" s="17" customFormat="1" x14ac:dyDescent="0.3">
      <c r="A76" s="17" t="s">
        <v>442</v>
      </c>
      <c r="B76" s="24" t="s">
        <v>65</v>
      </c>
      <c r="C76" s="17" t="s">
        <v>113</v>
      </c>
      <c r="D76" s="17" t="s">
        <v>156</v>
      </c>
      <c r="E76" s="36">
        <v>1</v>
      </c>
      <c r="F76" s="36">
        <v>1</v>
      </c>
      <c r="G76" s="36">
        <v>1</v>
      </c>
      <c r="H76" s="36">
        <v>1</v>
      </c>
      <c r="I76" s="36">
        <v>1</v>
      </c>
      <c r="J76" s="36">
        <v>1</v>
      </c>
      <c r="K76" s="36">
        <v>1</v>
      </c>
      <c r="L76" s="36">
        <v>1</v>
      </c>
      <c r="M76" s="36">
        <v>1</v>
      </c>
      <c r="N76" s="36">
        <v>1</v>
      </c>
      <c r="O76" s="36">
        <v>1</v>
      </c>
      <c r="P76" s="36">
        <v>1</v>
      </c>
      <c r="Q76" s="36">
        <v>1</v>
      </c>
      <c r="R76" s="36">
        <v>1</v>
      </c>
      <c r="S76" s="36">
        <v>1</v>
      </c>
      <c r="T76" s="36">
        <v>1</v>
      </c>
      <c r="U76" s="36">
        <v>1</v>
      </c>
      <c r="V76" s="36">
        <v>1</v>
      </c>
      <c r="W76" s="36">
        <v>1</v>
      </c>
      <c r="X76" s="36">
        <v>1</v>
      </c>
      <c r="Y76" s="17">
        <v>1</v>
      </c>
      <c r="Z76" s="17" t="s">
        <v>155</v>
      </c>
    </row>
    <row r="77" spans="1:29" s="17" customFormat="1" x14ac:dyDescent="0.3">
      <c r="A77" s="17" t="s">
        <v>442</v>
      </c>
      <c r="B77" s="24" t="s">
        <v>65</v>
      </c>
      <c r="C77" s="17" t="s">
        <v>120</v>
      </c>
      <c r="D77" s="17" t="s">
        <v>121</v>
      </c>
      <c r="E77" s="36">
        <v>1</v>
      </c>
      <c r="F77" s="36">
        <v>1</v>
      </c>
      <c r="G77" s="36">
        <v>1</v>
      </c>
      <c r="H77" s="36">
        <v>1</v>
      </c>
      <c r="I77" s="36">
        <v>1</v>
      </c>
      <c r="J77" s="36">
        <v>1</v>
      </c>
      <c r="K77" s="36">
        <v>1</v>
      </c>
      <c r="L77" s="36">
        <v>1</v>
      </c>
      <c r="M77" s="36">
        <v>1</v>
      </c>
      <c r="N77" s="36">
        <v>1</v>
      </c>
      <c r="O77" s="36">
        <v>1</v>
      </c>
      <c r="P77" s="36">
        <v>1</v>
      </c>
      <c r="Q77" s="36">
        <v>1</v>
      </c>
      <c r="R77" s="36">
        <v>1</v>
      </c>
      <c r="S77" s="36">
        <v>1</v>
      </c>
      <c r="T77" s="36">
        <v>1</v>
      </c>
      <c r="U77" s="36">
        <v>1</v>
      </c>
      <c r="V77" s="36">
        <v>1</v>
      </c>
      <c r="W77" s="36">
        <v>1</v>
      </c>
      <c r="X77" s="36">
        <v>1</v>
      </c>
      <c r="Y77" s="17">
        <v>1</v>
      </c>
      <c r="Z77" s="17" t="s">
        <v>155</v>
      </c>
    </row>
    <row r="78" spans="1:29" s="17" customFormat="1" x14ac:dyDescent="0.3">
      <c r="A78" s="17" t="s">
        <v>442</v>
      </c>
      <c r="B78" s="24" t="s">
        <v>65</v>
      </c>
      <c r="C78" s="17" t="s">
        <v>120</v>
      </c>
      <c r="D78" s="17" t="s">
        <v>122</v>
      </c>
      <c r="E78" s="36">
        <v>0.423821</v>
      </c>
      <c r="F78" s="36">
        <v>0.42169499999999999</v>
      </c>
      <c r="G78" s="36">
        <v>0.40509299999999998</v>
      </c>
      <c r="H78" s="36">
        <v>0.40347699999999997</v>
      </c>
      <c r="I78" s="36">
        <v>0.40347699999999997</v>
      </c>
      <c r="J78" s="36">
        <v>0.40347699999999997</v>
      </c>
      <c r="K78" s="36">
        <v>0.40347699999999997</v>
      </c>
      <c r="L78" s="36">
        <v>0.40347699999999997</v>
      </c>
      <c r="M78" s="36">
        <v>0.40347699999999997</v>
      </c>
      <c r="N78" s="36">
        <v>0.40347699999999997</v>
      </c>
      <c r="O78" s="36">
        <v>0.40347699999999997</v>
      </c>
      <c r="P78" s="36">
        <v>0.40347699999999997</v>
      </c>
      <c r="Q78" s="36">
        <v>0.40347699999999997</v>
      </c>
      <c r="R78" s="36">
        <v>0.40347699999999997</v>
      </c>
      <c r="S78" s="36">
        <v>0.40347699999999997</v>
      </c>
      <c r="T78" s="36">
        <v>0.40347699999999997</v>
      </c>
      <c r="U78" s="36">
        <v>0.40347699999999997</v>
      </c>
      <c r="V78" s="36">
        <v>0.40347699999999997</v>
      </c>
      <c r="W78" s="36">
        <v>0.40347699999999997</v>
      </c>
      <c r="X78" s="36">
        <v>0.40347699999999997</v>
      </c>
      <c r="Y78" s="17">
        <v>0.40347699999999997</v>
      </c>
      <c r="Z78" s="17" t="s">
        <v>155</v>
      </c>
    </row>
    <row r="79" spans="1:29" s="17" customFormat="1" x14ac:dyDescent="0.3">
      <c r="A79" s="17" t="s">
        <v>442</v>
      </c>
      <c r="B79" s="24" t="s">
        <v>65</v>
      </c>
      <c r="C79" s="17" t="s">
        <v>120</v>
      </c>
      <c r="D79" s="17" t="s">
        <v>123</v>
      </c>
      <c r="E79" s="36">
        <v>0.35778700000000002</v>
      </c>
      <c r="F79" s="36">
        <v>0.35619699999999999</v>
      </c>
      <c r="G79" s="36">
        <v>0.34202900000000003</v>
      </c>
      <c r="H79" s="36">
        <v>0.33907500000000002</v>
      </c>
      <c r="I79" s="36">
        <v>0.33907500000000002</v>
      </c>
      <c r="J79" s="36">
        <v>0.33907500000000002</v>
      </c>
      <c r="K79" s="36">
        <v>0.33907500000000002</v>
      </c>
      <c r="L79" s="36">
        <v>0.33907500000000002</v>
      </c>
      <c r="M79" s="36">
        <v>0.33907500000000002</v>
      </c>
      <c r="N79" s="36">
        <v>0.33907500000000002</v>
      </c>
      <c r="O79" s="36">
        <v>0.33907500000000002</v>
      </c>
      <c r="P79" s="36">
        <v>0.33907500000000002</v>
      </c>
      <c r="Q79" s="36">
        <v>0.33907500000000002</v>
      </c>
      <c r="R79" s="36">
        <v>0.33907500000000002</v>
      </c>
      <c r="S79" s="36">
        <v>0.33907500000000002</v>
      </c>
      <c r="T79" s="36">
        <v>0.33907500000000002</v>
      </c>
      <c r="U79" s="36">
        <v>0.33907500000000002</v>
      </c>
      <c r="V79" s="36">
        <v>0.33907500000000002</v>
      </c>
      <c r="W79" s="36">
        <v>0.33907500000000002</v>
      </c>
      <c r="X79" s="36">
        <v>0.33907500000000002</v>
      </c>
      <c r="Y79" s="17">
        <v>0.33907500000000002</v>
      </c>
      <c r="Z79" s="17" t="s">
        <v>155</v>
      </c>
    </row>
    <row r="80" spans="1:29" s="17" customFormat="1" x14ac:dyDescent="0.3">
      <c r="A80" s="17" t="s">
        <v>442</v>
      </c>
      <c r="B80" s="24" t="s">
        <v>65</v>
      </c>
      <c r="C80" s="17" t="s">
        <v>114</v>
      </c>
      <c r="D80" s="17" t="s">
        <v>157</v>
      </c>
      <c r="E80" s="36">
        <v>2.1260299999999999E-2</v>
      </c>
      <c r="F80" s="36">
        <v>2.3236E-2</v>
      </c>
      <c r="G80" s="36">
        <v>2.3265500000000001E-2</v>
      </c>
      <c r="H80" s="36">
        <v>2.39423E-2</v>
      </c>
      <c r="I80" s="36">
        <v>2.39423E-2</v>
      </c>
      <c r="J80" s="36">
        <v>2.39423E-2</v>
      </c>
      <c r="K80" s="36">
        <v>2.39423E-2</v>
      </c>
      <c r="L80" s="36">
        <v>2.39423E-2</v>
      </c>
      <c r="M80" s="36">
        <v>2.39423E-2</v>
      </c>
      <c r="N80" s="36">
        <v>2.39423E-2</v>
      </c>
      <c r="O80" s="36">
        <v>2.39423E-2</v>
      </c>
      <c r="P80" s="36">
        <v>2.39423E-2</v>
      </c>
      <c r="Q80" s="36">
        <v>2.39423E-2</v>
      </c>
      <c r="R80" s="36">
        <v>2.39423E-2</v>
      </c>
      <c r="S80" s="36">
        <v>2.39423E-2</v>
      </c>
      <c r="T80" s="36">
        <v>2.39423E-2</v>
      </c>
      <c r="U80" s="36">
        <v>2.39423E-2</v>
      </c>
      <c r="V80" s="36">
        <v>2.39423E-2</v>
      </c>
      <c r="W80" s="36">
        <v>2.39423E-2</v>
      </c>
      <c r="X80" s="36">
        <v>2.39423E-2</v>
      </c>
      <c r="Y80" s="17">
        <v>2.39423E-2</v>
      </c>
      <c r="Z80" s="17" t="s">
        <v>155</v>
      </c>
    </row>
    <row r="81" spans="1:26" s="17" customFormat="1" x14ac:dyDescent="0.3">
      <c r="A81" s="17" t="s">
        <v>442</v>
      </c>
      <c r="B81" s="24" t="s">
        <v>65</v>
      </c>
      <c r="C81" s="17" t="s">
        <v>114</v>
      </c>
      <c r="D81" s="17" t="s">
        <v>124</v>
      </c>
      <c r="E81" s="36">
        <v>5.0770099999999999E-3</v>
      </c>
      <c r="F81" s="36">
        <v>6.2876900000000003E-3</v>
      </c>
      <c r="G81" s="36">
        <v>7.5431500000000002E-3</v>
      </c>
      <c r="H81" s="36">
        <v>8.0709300000000005E-3</v>
      </c>
      <c r="I81" s="36">
        <v>8.0709300000000005E-3</v>
      </c>
      <c r="J81" s="36">
        <v>8.0709300000000005E-3</v>
      </c>
      <c r="K81" s="36">
        <v>8.0709300000000005E-3</v>
      </c>
      <c r="L81" s="36">
        <v>8.0709300000000005E-3</v>
      </c>
      <c r="M81" s="36">
        <v>8.0709300000000005E-3</v>
      </c>
      <c r="N81" s="36">
        <v>8.0709300000000005E-3</v>
      </c>
      <c r="O81" s="36">
        <v>8.0709300000000005E-3</v>
      </c>
      <c r="P81" s="36">
        <v>8.0709300000000005E-3</v>
      </c>
      <c r="Q81" s="36">
        <v>8.0709300000000005E-3</v>
      </c>
      <c r="R81" s="36">
        <v>8.0709300000000005E-3</v>
      </c>
      <c r="S81" s="36">
        <v>8.0709300000000005E-3</v>
      </c>
      <c r="T81" s="36">
        <v>8.0709300000000005E-3</v>
      </c>
      <c r="U81" s="36">
        <v>8.0709300000000005E-3</v>
      </c>
      <c r="V81" s="36">
        <v>8.0709300000000005E-3</v>
      </c>
      <c r="W81" s="36">
        <v>8.0709300000000005E-3</v>
      </c>
      <c r="X81" s="36">
        <v>8.0709300000000005E-3</v>
      </c>
      <c r="Y81" s="17">
        <v>8.0709300000000005E-3</v>
      </c>
      <c r="Z81" s="17" t="s">
        <v>155</v>
      </c>
    </row>
    <row r="82" spans="1:26" s="17" customFormat="1" x14ac:dyDescent="0.3">
      <c r="A82" s="17" t="s">
        <v>442</v>
      </c>
      <c r="B82" s="24" t="s">
        <v>65</v>
      </c>
      <c r="C82" s="17" t="s">
        <v>114</v>
      </c>
      <c r="D82" s="17" t="s">
        <v>125</v>
      </c>
      <c r="E82" s="36">
        <v>3.1317300000000001E-3</v>
      </c>
      <c r="F82" s="36">
        <v>2.5906100000000001E-3</v>
      </c>
      <c r="G82" s="36">
        <v>2.3641000000000001E-3</v>
      </c>
      <c r="H82" s="36">
        <v>2.40216E-3</v>
      </c>
      <c r="I82" s="36">
        <v>2.3196800000000002E-3</v>
      </c>
      <c r="J82" s="36">
        <v>2.2372E-3</v>
      </c>
      <c r="K82" s="36">
        <v>2.1547200000000002E-3</v>
      </c>
      <c r="L82" s="36">
        <v>2.0722399999999999E-3</v>
      </c>
      <c r="M82" s="36">
        <v>1.9897600000000001E-3</v>
      </c>
      <c r="N82" s="36">
        <v>1.9072799999999999E-3</v>
      </c>
      <c r="O82" s="36">
        <v>1.8247999999999999E-3</v>
      </c>
      <c r="P82" s="36">
        <v>1.7423199999999999E-3</v>
      </c>
      <c r="Q82" s="36">
        <v>1.6598400000000001E-3</v>
      </c>
      <c r="R82" s="36">
        <v>1.5773600000000001E-3</v>
      </c>
      <c r="S82" s="36">
        <v>1.4948800000000001E-3</v>
      </c>
      <c r="T82" s="36">
        <v>1.4124000000000001E-3</v>
      </c>
      <c r="U82" s="36">
        <v>1.3299200000000001E-3</v>
      </c>
      <c r="V82" s="36">
        <v>1.2474400000000001E-3</v>
      </c>
      <c r="W82" s="36">
        <v>1.16496E-3</v>
      </c>
      <c r="X82" s="36">
        <v>1.08248E-3</v>
      </c>
      <c r="Y82" s="17">
        <v>1E-3</v>
      </c>
      <c r="Z82" s="17" t="s">
        <v>155</v>
      </c>
    </row>
    <row r="83" spans="1:26" s="17" customFormat="1" x14ac:dyDescent="0.3">
      <c r="A83" s="17" t="s">
        <v>442</v>
      </c>
      <c r="B83" s="24" t="s">
        <v>65</v>
      </c>
      <c r="C83" s="17" t="s">
        <v>114</v>
      </c>
      <c r="D83" s="17" t="s">
        <v>126</v>
      </c>
      <c r="E83" s="36">
        <v>5.5995400000000001E-2</v>
      </c>
      <c r="F83" s="36">
        <v>5.3605899999999998E-2</v>
      </c>
      <c r="G83" s="36">
        <v>4.9826000000000002E-2</v>
      </c>
      <c r="H83" s="36">
        <v>5.0963399999999999E-2</v>
      </c>
      <c r="I83" s="36">
        <v>5.0963399999999999E-2</v>
      </c>
      <c r="J83" s="36">
        <v>5.0963399999999999E-2</v>
      </c>
      <c r="K83" s="36">
        <v>5.0963399999999999E-2</v>
      </c>
      <c r="L83" s="36">
        <v>5.0963399999999999E-2</v>
      </c>
      <c r="M83" s="36">
        <v>5.0963399999999999E-2</v>
      </c>
      <c r="N83" s="36">
        <v>5.0963399999999999E-2</v>
      </c>
      <c r="O83" s="36">
        <v>5.0963399999999999E-2</v>
      </c>
      <c r="P83" s="36">
        <v>5.0963399999999999E-2</v>
      </c>
      <c r="Q83" s="36">
        <v>5.0963399999999999E-2</v>
      </c>
      <c r="R83" s="36">
        <v>5.0963399999999999E-2</v>
      </c>
      <c r="S83" s="36">
        <v>5.0963399999999999E-2</v>
      </c>
      <c r="T83" s="36">
        <v>5.0963399999999999E-2</v>
      </c>
      <c r="U83" s="36">
        <v>5.0963399999999999E-2</v>
      </c>
      <c r="V83" s="36">
        <v>5.0963399999999999E-2</v>
      </c>
      <c r="W83" s="36">
        <v>5.0963399999999999E-2</v>
      </c>
      <c r="X83" s="36">
        <v>5.0963399999999999E-2</v>
      </c>
      <c r="Y83" s="17">
        <v>5.0963399999999999E-2</v>
      </c>
      <c r="Z83" s="17" t="s">
        <v>155</v>
      </c>
    </row>
    <row r="84" spans="1:26" s="17" customFormat="1" x14ac:dyDescent="0.3">
      <c r="A84" s="17" t="s">
        <v>442</v>
      </c>
      <c r="B84" s="24" t="s">
        <v>65</v>
      </c>
      <c r="C84" s="17" t="s">
        <v>114</v>
      </c>
      <c r="D84" s="17" t="s">
        <v>158</v>
      </c>
      <c r="E84" s="17">
        <v>0.62284799999999996</v>
      </c>
      <c r="F84" s="17">
        <v>0.68072999999999995</v>
      </c>
      <c r="G84" s="17">
        <v>0.68160699999999996</v>
      </c>
      <c r="H84" s="17">
        <v>0.701434</v>
      </c>
      <c r="I84" s="17">
        <v>0.701434</v>
      </c>
      <c r="J84" s="17">
        <v>0.701434</v>
      </c>
      <c r="K84" s="17">
        <v>0.701434</v>
      </c>
      <c r="L84" s="17">
        <v>0.701434</v>
      </c>
      <c r="M84" s="17">
        <v>0.701434</v>
      </c>
      <c r="N84" s="17">
        <v>0.701434</v>
      </c>
      <c r="O84" s="17">
        <v>0.701434</v>
      </c>
      <c r="P84" s="17">
        <v>0.701434</v>
      </c>
      <c r="Q84" s="17">
        <v>0.701434</v>
      </c>
      <c r="R84" s="17">
        <v>0.701434</v>
      </c>
      <c r="S84" s="17">
        <v>0.701434</v>
      </c>
      <c r="T84" s="17">
        <v>0.701434</v>
      </c>
      <c r="U84" s="17">
        <v>0.701434</v>
      </c>
      <c r="V84" s="17">
        <v>0.701434</v>
      </c>
      <c r="W84" s="17">
        <v>0.701434</v>
      </c>
      <c r="X84" s="17">
        <v>0.701434</v>
      </c>
      <c r="Y84" s="17">
        <v>0.701434</v>
      </c>
      <c r="Z84" s="17" t="s">
        <v>155</v>
      </c>
    </row>
    <row r="85" spans="1:26" s="17" customFormat="1" x14ac:dyDescent="0.3">
      <c r="A85" s="17" t="s">
        <v>442</v>
      </c>
      <c r="B85" s="24" t="s">
        <v>65</v>
      </c>
      <c r="C85" s="17" t="s">
        <v>114</v>
      </c>
      <c r="D85" s="17" t="s">
        <v>156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 t="s">
        <v>155</v>
      </c>
    </row>
    <row r="86" spans="1:26" s="17" customFormat="1" x14ac:dyDescent="0.3">
      <c r="A86" s="17" t="s">
        <v>442</v>
      </c>
      <c r="B86" s="24" t="s">
        <v>65</v>
      </c>
      <c r="C86" s="17" t="s">
        <v>127</v>
      </c>
      <c r="D86" s="17" t="s">
        <v>128</v>
      </c>
      <c r="E86" s="17">
        <v>3.5795199999999999E-2</v>
      </c>
      <c r="F86" s="17">
        <v>4.9430200000000001E-2</v>
      </c>
      <c r="G86" s="17">
        <v>4.9579100000000001E-2</v>
      </c>
      <c r="H86" s="17">
        <v>5.2677799999999997E-2</v>
      </c>
      <c r="I86" s="17">
        <v>5.2677799999999997E-2</v>
      </c>
      <c r="J86" s="17">
        <v>5.2677799999999997E-2</v>
      </c>
      <c r="K86" s="17">
        <v>5.2677799999999997E-2</v>
      </c>
      <c r="L86" s="17">
        <v>5.2677799999999997E-2</v>
      </c>
      <c r="M86" s="17">
        <v>5.2677799999999997E-2</v>
      </c>
      <c r="N86" s="17">
        <v>5.2677799999999997E-2</v>
      </c>
      <c r="O86" s="17">
        <v>5.2677799999999997E-2</v>
      </c>
      <c r="P86" s="17">
        <v>5.2677799999999997E-2</v>
      </c>
      <c r="Q86" s="17">
        <v>5.2677799999999997E-2</v>
      </c>
      <c r="R86" s="17">
        <v>5.2677799999999997E-2</v>
      </c>
      <c r="S86" s="17">
        <v>5.2677799999999997E-2</v>
      </c>
      <c r="T86" s="17">
        <v>5.2677799999999997E-2</v>
      </c>
      <c r="U86" s="17">
        <v>5.2677799999999997E-2</v>
      </c>
      <c r="V86" s="17">
        <v>5.2677799999999997E-2</v>
      </c>
      <c r="W86" s="17">
        <v>5.2677799999999997E-2</v>
      </c>
      <c r="X86" s="17">
        <v>5.2677799999999997E-2</v>
      </c>
      <c r="Y86" s="17">
        <v>5.2677799999999997E-2</v>
      </c>
      <c r="Z86" s="17" t="s">
        <v>155</v>
      </c>
    </row>
    <row r="87" spans="1:26" s="17" customFormat="1" x14ac:dyDescent="0.3">
      <c r="A87" s="17" t="s">
        <v>442</v>
      </c>
      <c r="B87" s="24" t="s">
        <v>65</v>
      </c>
      <c r="C87" s="17" t="s">
        <v>127</v>
      </c>
      <c r="D87" s="17" t="s">
        <v>159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17">
        <v>1</v>
      </c>
      <c r="O87" s="17">
        <v>1</v>
      </c>
      <c r="P87" s="17">
        <v>1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>
        <v>1</v>
      </c>
      <c r="X87" s="17">
        <v>1</v>
      </c>
      <c r="Y87" s="17">
        <v>1</v>
      </c>
      <c r="Z87" s="17" t="s">
        <v>155</v>
      </c>
    </row>
    <row r="88" spans="1:26" s="17" customFormat="1" x14ac:dyDescent="0.3">
      <c r="A88" s="17" t="s">
        <v>442</v>
      </c>
      <c r="B88" s="24" t="s">
        <v>65</v>
      </c>
      <c r="C88" s="17" t="s">
        <v>129</v>
      </c>
      <c r="D88" s="17" t="s">
        <v>130</v>
      </c>
      <c r="E88" s="17">
        <v>1.8978999999999999E-2</v>
      </c>
      <c r="F88" s="17">
        <v>1.9852999999999999E-2</v>
      </c>
      <c r="G88" s="17">
        <v>1.9424E-2</v>
      </c>
      <c r="H88" s="17">
        <v>1.9504000000000001E-2</v>
      </c>
      <c r="I88" s="17">
        <v>1.9504000000000001E-2</v>
      </c>
      <c r="J88" s="17">
        <v>1.9504000000000001E-2</v>
      </c>
      <c r="K88" s="17">
        <v>1.9504000000000001E-2</v>
      </c>
      <c r="L88" s="17">
        <v>1.9504000000000001E-2</v>
      </c>
      <c r="M88" s="17">
        <v>1.9504000000000001E-2</v>
      </c>
      <c r="N88" s="17">
        <v>1.9504000000000001E-2</v>
      </c>
      <c r="O88" s="17">
        <v>1.9504000000000001E-2</v>
      </c>
      <c r="P88" s="17">
        <v>1.9504000000000001E-2</v>
      </c>
      <c r="Q88" s="17">
        <v>1.9504000000000001E-2</v>
      </c>
      <c r="R88" s="17">
        <v>1.9504000000000001E-2</v>
      </c>
      <c r="S88" s="17">
        <v>1.9504000000000001E-2</v>
      </c>
      <c r="T88" s="17">
        <v>1.9504000000000001E-2</v>
      </c>
      <c r="U88" s="17">
        <v>1.9504000000000001E-2</v>
      </c>
      <c r="V88" s="17">
        <v>1.9504000000000001E-2</v>
      </c>
      <c r="W88" s="17">
        <v>1.9504000000000001E-2</v>
      </c>
      <c r="X88" s="17">
        <v>1.9504000000000001E-2</v>
      </c>
      <c r="Y88" s="17">
        <v>1.9504000000000001E-2</v>
      </c>
      <c r="Z88" s="17" t="s">
        <v>155</v>
      </c>
    </row>
    <row r="89" spans="1:26" s="17" customFormat="1" x14ac:dyDescent="0.3">
      <c r="A89" s="17" t="s">
        <v>442</v>
      </c>
      <c r="B89" s="24" t="s">
        <v>65</v>
      </c>
      <c r="C89" s="17" t="s">
        <v>129</v>
      </c>
      <c r="D89" s="17" t="s">
        <v>160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7" t="s">
        <v>155</v>
      </c>
    </row>
    <row r="90" spans="1:26" s="17" customFormat="1" x14ac:dyDescent="0.3">
      <c r="A90" s="17" t="s">
        <v>442</v>
      </c>
      <c r="B90" s="24" t="s">
        <v>65</v>
      </c>
      <c r="C90" s="17" t="s">
        <v>131</v>
      </c>
      <c r="D90" s="17" t="s">
        <v>132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 t="s">
        <v>155</v>
      </c>
    </row>
    <row r="91" spans="1:26" s="17" customFormat="1" x14ac:dyDescent="0.3">
      <c r="A91" s="17" t="s">
        <v>442</v>
      </c>
      <c r="B91" s="24" t="s">
        <v>65</v>
      </c>
      <c r="C91" s="17" t="s">
        <v>131</v>
      </c>
      <c r="D91" s="17" t="s">
        <v>133</v>
      </c>
      <c r="E91" s="17">
        <v>3.96516</v>
      </c>
      <c r="F91" s="17">
        <v>3.6748599999999998</v>
      </c>
      <c r="G91" s="17">
        <v>3.5106099999999998</v>
      </c>
      <c r="H91" s="17">
        <v>3.4653999999999998</v>
      </c>
      <c r="I91" s="17">
        <v>3.4653999999999998</v>
      </c>
      <c r="J91" s="17">
        <v>3.4653999999999998</v>
      </c>
      <c r="K91" s="17">
        <v>3.4653999999999998</v>
      </c>
      <c r="L91" s="17">
        <v>3.4653999999999998</v>
      </c>
      <c r="M91" s="17">
        <v>3.4653999999999998</v>
      </c>
      <c r="N91" s="17">
        <v>3.4653999999999998</v>
      </c>
      <c r="O91" s="17">
        <v>3.4653999999999998</v>
      </c>
      <c r="P91" s="17">
        <v>3.4653999999999998</v>
      </c>
      <c r="Q91" s="17">
        <v>3.4653999999999998</v>
      </c>
      <c r="R91" s="17">
        <v>3.4653999999999998</v>
      </c>
      <c r="S91" s="17">
        <v>3.4653999999999998</v>
      </c>
      <c r="T91" s="17">
        <v>3.4653999999999998</v>
      </c>
      <c r="U91" s="17">
        <v>3.4653999999999998</v>
      </c>
      <c r="V91" s="17">
        <v>3.4653999999999998</v>
      </c>
      <c r="W91" s="17">
        <v>3.4653999999999998</v>
      </c>
      <c r="X91" s="17">
        <v>3.4653999999999998</v>
      </c>
      <c r="Y91" s="17">
        <v>3.4653999999999998</v>
      </c>
      <c r="Z91" s="17" t="s">
        <v>155</v>
      </c>
    </row>
    <row r="92" spans="1:26" s="17" customFormat="1" x14ac:dyDescent="0.3">
      <c r="A92" s="17" t="s">
        <v>442</v>
      </c>
      <c r="B92" s="24" t="s">
        <v>65</v>
      </c>
      <c r="C92" s="17" t="s">
        <v>115</v>
      </c>
      <c r="D92" s="17" t="s">
        <v>134</v>
      </c>
      <c r="E92" s="17">
        <v>1</v>
      </c>
      <c r="F92" s="17">
        <v>1</v>
      </c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>
        <v>1</v>
      </c>
      <c r="N92" s="17">
        <v>1</v>
      </c>
      <c r="O92" s="17">
        <v>1</v>
      </c>
      <c r="P92" s="17">
        <v>1</v>
      </c>
      <c r="Q92" s="17">
        <v>1</v>
      </c>
      <c r="R92" s="17">
        <v>1</v>
      </c>
      <c r="S92" s="17">
        <v>1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7">
        <v>1</v>
      </c>
      <c r="Z92" s="17" t="s">
        <v>155</v>
      </c>
    </row>
    <row r="95" spans="1:26" s="5" customFormat="1" x14ac:dyDescent="0.3">
      <c r="A95" s="5" t="s">
        <v>139</v>
      </c>
    </row>
    <row r="96" spans="1:26" x14ac:dyDescent="0.3">
      <c r="A96" t="s">
        <v>116</v>
      </c>
      <c r="B96" t="s">
        <v>102</v>
      </c>
      <c r="C96">
        <v>2015</v>
      </c>
      <c r="D96">
        <v>2020</v>
      </c>
      <c r="E96">
        <v>2050</v>
      </c>
      <c r="F96" t="s">
        <v>145</v>
      </c>
      <c r="G96" t="s">
        <v>109</v>
      </c>
      <c r="H96" s="8"/>
      <c r="I96" s="8"/>
      <c r="J96" s="8"/>
      <c r="K96" s="8"/>
      <c r="L96" s="8"/>
      <c r="M96" s="8"/>
      <c r="N96" s="8"/>
      <c r="O96" s="8"/>
      <c r="P96" s="8"/>
    </row>
    <row r="97" spans="1:16" hidden="1" x14ac:dyDescent="0.3">
      <c r="A97" t="s">
        <v>140</v>
      </c>
      <c r="B97" t="s">
        <v>75</v>
      </c>
      <c r="C97">
        <v>6.9199999999999998E-2</v>
      </c>
      <c r="D97">
        <v>7.0000000000000007E-2</v>
      </c>
      <c r="E97">
        <v>0.13450000000000001</v>
      </c>
      <c r="F97">
        <v>13</v>
      </c>
      <c r="G97" t="s">
        <v>146</v>
      </c>
    </row>
    <row r="98" spans="1:16" hidden="1" x14ac:dyDescent="0.3">
      <c r="A98" t="s">
        <v>140</v>
      </c>
      <c r="B98" t="s">
        <v>76</v>
      </c>
      <c r="C98">
        <v>5.2299999999999999E-2</v>
      </c>
      <c r="D98">
        <v>5.62E-2</v>
      </c>
      <c r="E98">
        <v>0.13450000000000001</v>
      </c>
      <c r="F98">
        <v>13</v>
      </c>
      <c r="G98" t="s">
        <v>146</v>
      </c>
      <c r="J98" s="8"/>
      <c r="K98" s="8"/>
    </row>
    <row r="99" spans="1:16" hidden="1" x14ac:dyDescent="0.3">
      <c r="A99" t="s">
        <v>140</v>
      </c>
      <c r="B99" t="s">
        <v>77</v>
      </c>
      <c r="C99">
        <v>7.6799999999999993E-2</v>
      </c>
      <c r="D99">
        <v>7.7600000000000002E-2</v>
      </c>
      <c r="E99">
        <v>7.5499999999999998E-2</v>
      </c>
      <c r="F99">
        <v>12</v>
      </c>
      <c r="G99" t="s">
        <v>146</v>
      </c>
    </row>
    <row r="100" spans="1:16" hidden="1" x14ac:dyDescent="0.3">
      <c r="A100" t="s">
        <v>140</v>
      </c>
      <c r="B100" t="s">
        <v>78</v>
      </c>
      <c r="C100">
        <v>7.3999999999999996E-2</v>
      </c>
      <c r="D100">
        <v>7.3999999999999996E-2</v>
      </c>
      <c r="E100">
        <v>7.5499999999999998E-2</v>
      </c>
      <c r="F100">
        <v>12</v>
      </c>
      <c r="G100" t="s">
        <v>146</v>
      </c>
    </row>
    <row r="101" spans="1:16" hidden="1" x14ac:dyDescent="0.3">
      <c r="A101" t="s">
        <v>140</v>
      </c>
      <c r="B101" t="s">
        <v>79</v>
      </c>
      <c r="C101">
        <v>4.2599999999999999E-2</v>
      </c>
      <c r="D101">
        <v>4.36E-2</v>
      </c>
      <c r="E101">
        <v>4.3700000000000003E-2</v>
      </c>
      <c r="F101">
        <v>12</v>
      </c>
      <c r="G101" t="s">
        <v>146</v>
      </c>
      <c r="M101" s="8"/>
      <c r="N101" s="8"/>
      <c r="O101" s="8"/>
      <c r="P101" s="8"/>
    </row>
    <row r="102" spans="1:16" hidden="1" x14ac:dyDescent="0.3">
      <c r="A102" t="s">
        <v>140</v>
      </c>
      <c r="B102" t="s">
        <v>80</v>
      </c>
      <c r="C102">
        <v>7.5899999999999995E-2</v>
      </c>
      <c r="D102">
        <v>7.6300000000000007E-2</v>
      </c>
      <c r="E102">
        <v>7.5499999999999998E-2</v>
      </c>
      <c r="F102">
        <v>12</v>
      </c>
      <c r="G102" t="s">
        <v>146</v>
      </c>
      <c r="M102" s="8"/>
      <c r="N102" s="8"/>
      <c r="O102" s="8"/>
      <c r="P102" s="8"/>
    </row>
    <row r="103" spans="1:16" hidden="1" x14ac:dyDescent="0.3">
      <c r="A103" t="s">
        <v>140</v>
      </c>
      <c r="B103" t="s">
        <v>81</v>
      </c>
      <c r="C103">
        <v>4.8399999999999999E-2</v>
      </c>
      <c r="D103">
        <v>4.3299999999999998E-2</v>
      </c>
      <c r="E103">
        <v>8.4699999999999998E-2</v>
      </c>
      <c r="F103">
        <v>13</v>
      </c>
      <c r="G103" t="s">
        <v>146</v>
      </c>
    </row>
    <row r="104" spans="1:16" hidden="1" x14ac:dyDescent="0.3">
      <c r="A104" t="s">
        <v>140</v>
      </c>
      <c r="B104" t="s">
        <v>82</v>
      </c>
      <c r="C104">
        <v>7.5600000000000001E-2</v>
      </c>
      <c r="D104">
        <v>7.6799999999999993E-2</v>
      </c>
      <c r="E104">
        <v>7.5499999999999998E-2</v>
      </c>
      <c r="F104">
        <v>12</v>
      </c>
      <c r="G104" t="s">
        <v>146</v>
      </c>
      <c r="M104" s="8"/>
      <c r="N104" s="8"/>
      <c r="O104" s="8"/>
      <c r="P104" s="8"/>
    </row>
    <row r="105" spans="1:16" hidden="1" x14ac:dyDescent="0.3">
      <c r="A105" t="s">
        <v>140</v>
      </c>
      <c r="B105" t="s">
        <v>83</v>
      </c>
      <c r="C105">
        <v>6.59E-2</v>
      </c>
      <c r="D105">
        <v>6.6100000000000006E-2</v>
      </c>
      <c r="E105">
        <v>7.4999999999999997E-2</v>
      </c>
      <c r="F105">
        <v>13</v>
      </c>
      <c r="G105" t="s">
        <v>146</v>
      </c>
      <c r="M105" s="8"/>
      <c r="N105" s="8"/>
      <c r="O105" s="8"/>
      <c r="P105" s="8"/>
    </row>
    <row r="106" spans="1:16" hidden="1" x14ac:dyDescent="0.3">
      <c r="A106" t="s">
        <v>140</v>
      </c>
      <c r="B106" t="s">
        <v>84</v>
      </c>
      <c r="C106">
        <v>2.29E-2</v>
      </c>
      <c r="D106">
        <v>2.2499999999999999E-2</v>
      </c>
      <c r="E106">
        <v>7.8700000000000006E-2</v>
      </c>
      <c r="F106">
        <v>13</v>
      </c>
      <c r="G106" t="s">
        <v>146</v>
      </c>
    </row>
    <row r="107" spans="1:16" hidden="1" x14ac:dyDescent="0.3">
      <c r="A107" t="s">
        <v>140</v>
      </c>
      <c r="B107" t="s">
        <v>85</v>
      </c>
      <c r="C107">
        <v>5.3600000000000002E-2</v>
      </c>
      <c r="D107">
        <v>5.6599999999999998E-2</v>
      </c>
      <c r="E107">
        <v>8.7300000000000003E-2</v>
      </c>
      <c r="F107">
        <v>13</v>
      </c>
      <c r="G107" t="s">
        <v>146</v>
      </c>
      <c r="M107" s="8"/>
      <c r="N107" s="8"/>
      <c r="O107" s="8"/>
    </row>
    <row r="108" spans="1:16" hidden="1" x14ac:dyDescent="0.3">
      <c r="A108" t="s">
        <v>140</v>
      </c>
      <c r="B108" t="s">
        <v>86</v>
      </c>
      <c r="C108">
        <v>2.5100000000000001E-2</v>
      </c>
      <c r="D108">
        <v>2.4400000000000002E-2</v>
      </c>
      <c r="E108">
        <v>8.3900000000000002E-2</v>
      </c>
      <c r="F108">
        <v>13</v>
      </c>
      <c r="G108" t="s">
        <v>146</v>
      </c>
    </row>
    <row r="109" spans="1:16" hidden="1" x14ac:dyDescent="0.3">
      <c r="A109" t="s">
        <v>140</v>
      </c>
      <c r="B109" t="s">
        <v>87</v>
      </c>
      <c r="C109">
        <v>7.7799999999999994E-2</v>
      </c>
      <c r="D109">
        <v>7.8E-2</v>
      </c>
      <c r="E109">
        <v>7.5499999999999998E-2</v>
      </c>
      <c r="F109">
        <v>12</v>
      </c>
      <c r="G109" t="s">
        <v>146</v>
      </c>
    </row>
    <row r="110" spans="1:16" hidden="1" x14ac:dyDescent="0.3">
      <c r="A110" t="s">
        <v>140</v>
      </c>
      <c r="B110" t="s">
        <v>88</v>
      </c>
      <c r="C110">
        <v>5.8999999999999997E-2</v>
      </c>
      <c r="D110">
        <v>6.0100000000000001E-2</v>
      </c>
      <c r="E110">
        <v>7.3899999999999993E-2</v>
      </c>
      <c r="F110">
        <v>13</v>
      </c>
      <c r="G110" t="s">
        <v>146</v>
      </c>
      <c r="M110" s="8"/>
      <c r="N110" s="8"/>
    </row>
    <row r="111" spans="1:16" hidden="1" x14ac:dyDescent="0.3">
      <c r="A111" t="s">
        <v>140</v>
      </c>
      <c r="B111" t="s">
        <v>89</v>
      </c>
      <c r="C111">
        <v>2.5899999999999999E-2</v>
      </c>
      <c r="D111">
        <v>2.53E-2</v>
      </c>
      <c r="E111">
        <v>8.8300000000000003E-2</v>
      </c>
      <c r="F111">
        <v>13</v>
      </c>
      <c r="G111" t="s">
        <v>146</v>
      </c>
    </row>
    <row r="112" spans="1:16" hidden="1" x14ac:dyDescent="0.3">
      <c r="A112" t="s">
        <v>140</v>
      </c>
      <c r="B112" t="s">
        <v>90</v>
      </c>
      <c r="C112">
        <v>6.9599999999999995E-2</v>
      </c>
      <c r="D112">
        <v>7.0300000000000001E-2</v>
      </c>
      <c r="E112">
        <v>7.5499999999999998E-2</v>
      </c>
      <c r="F112">
        <v>12</v>
      </c>
      <c r="G112" t="s">
        <v>146</v>
      </c>
    </row>
    <row r="113" spans="1:15" hidden="1" x14ac:dyDescent="0.3">
      <c r="A113" t="s">
        <v>140</v>
      </c>
      <c r="B113" t="s">
        <v>91</v>
      </c>
      <c r="C113">
        <v>7.6200000000000004E-2</v>
      </c>
      <c r="D113">
        <v>7.7299999999999994E-2</v>
      </c>
      <c r="E113">
        <v>7.5499999999999998E-2</v>
      </c>
      <c r="F113">
        <v>12</v>
      </c>
      <c r="G113" t="s">
        <v>146</v>
      </c>
    </row>
    <row r="114" spans="1:15" hidden="1" x14ac:dyDescent="0.3">
      <c r="A114" t="s">
        <v>140</v>
      </c>
      <c r="B114" t="s">
        <v>92</v>
      </c>
      <c r="C114">
        <v>5.4899999999999997E-2</v>
      </c>
      <c r="D114">
        <v>5.6800000000000003E-2</v>
      </c>
      <c r="E114">
        <v>7.1900000000000006E-2</v>
      </c>
      <c r="F114">
        <v>13</v>
      </c>
      <c r="G114" t="s">
        <v>146</v>
      </c>
      <c r="K114" s="8"/>
      <c r="L114" s="8"/>
      <c r="M114" s="8"/>
      <c r="N114" s="8"/>
    </row>
    <row r="115" spans="1:15" hidden="1" x14ac:dyDescent="0.3">
      <c r="A115" t="s">
        <v>140</v>
      </c>
      <c r="B115" t="s">
        <v>93</v>
      </c>
      <c r="C115">
        <v>3.95E-2</v>
      </c>
      <c r="D115">
        <v>4.2099999999999999E-2</v>
      </c>
      <c r="E115">
        <v>4.2200000000000001E-2</v>
      </c>
      <c r="F115">
        <v>12</v>
      </c>
      <c r="G115" t="s">
        <v>146</v>
      </c>
      <c r="K115" s="8"/>
      <c r="L115" s="8"/>
    </row>
    <row r="116" spans="1:15" hidden="1" x14ac:dyDescent="0.3">
      <c r="A116" t="s">
        <v>140</v>
      </c>
      <c r="B116" t="s">
        <v>94</v>
      </c>
      <c r="C116">
        <v>4.9200000000000001E-2</v>
      </c>
      <c r="D116">
        <v>4.87E-2</v>
      </c>
      <c r="E116">
        <v>7.2499999999999995E-2</v>
      </c>
      <c r="F116">
        <v>13</v>
      </c>
      <c r="G116" t="s">
        <v>146</v>
      </c>
      <c r="K116" s="8"/>
      <c r="L116" s="8"/>
    </row>
    <row r="117" spans="1:15" hidden="1" x14ac:dyDescent="0.3">
      <c r="A117" t="s">
        <v>140</v>
      </c>
      <c r="B117" t="s">
        <v>95</v>
      </c>
      <c r="C117">
        <v>7.6899999999999996E-2</v>
      </c>
      <c r="D117">
        <v>7.6899999999999996E-2</v>
      </c>
      <c r="E117">
        <v>7.5499999999999998E-2</v>
      </c>
      <c r="F117">
        <v>12</v>
      </c>
      <c r="G117" t="s">
        <v>146</v>
      </c>
      <c r="K117" s="8"/>
      <c r="L117" s="8"/>
      <c r="M117" s="8"/>
      <c r="N117" s="8"/>
      <c r="O117" s="8"/>
    </row>
    <row r="118" spans="1:15" hidden="1" x14ac:dyDescent="0.3">
      <c r="A118" t="s">
        <v>140</v>
      </c>
      <c r="B118" t="s">
        <v>96</v>
      </c>
      <c r="C118">
        <v>6.1600000000000002E-2</v>
      </c>
      <c r="D118">
        <v>6.13E-2</v>
      </c>
      <c r="E118">
        <v>7.51E-2</v>
      </c>
      <c r="F118">
        <v>13</v>
      </c>
      <c r="G118" t="s">
        <v>146</v>
      </c>
      <c r="K118" s="8"/>
    </row>
    <row r="119" spans="1:15" hidden="1" x14ac:dyDescent="0.3">
      <c r="A119" t="s">
        <v>140</v>
      </c>
      <c r="B119" t="s">
        <v>97</v>
      </c>
      <c r="C119">
        <v>7.7700000000000005E-2</v>
      </c>
      <c r="D119">
        <v>7.7899999999999997E-2</v>
      </c>
      <c r="E119">
        <v>7.5499999999999998E-2</v>
      </c>
      <c r="F119">
        <v>12</v>
      </c>
      <c r="G119" t="s">
        <v>146</v>
      </c>
      <c r="K119" s="8"/>
      <c r="L119" s="8"/>
    </row>
    <row r="120" spans="1:15" hidden="1" x14ac:dyDescent="0.3">
      <c r="A120" t="s">
        <v>140</v>
      </c>
      <c r="B120" t="s">
        <v>97</v>
      </c>
      <c r="C120">
        <v>7.7700000000000005E-2</v>
      </c>
      <c r="D120">
        <v>7.7899999999999997E-2</v>
      </c>
      <c r="E120">
        <v>7.5499999999999998E-2</v>
      </c>
      <c r="F120">
        <v>12</v>
      </c>
      <c r="G120" t="s">
        <v>146</v>
      </c>
    </row>
    <row r="121" spans="1:15" hidden="1" x14ac:dyDescent="0.3">
      <c r="A121" t="s">
        <v>140</v>
      </c>
      <c r="B121" t="s">
        <v>98</v>
      </c>
      <c r="C121">
        <v>7.9799999999999996E-2</v>
      </c>
      <c r="D121">
        <v>0.08</v>
      </c>
      <c r="E121">
        <v>7.5499999999999998E-2</v>
      </c>
      <c r="F121">
        <v>12</v>
      </c>
      <c r="G121" t="s">
        <v>146</v>
      </c>
    </row>
    <row r="122" spans="1:15" hidden="1" x14ac:dyDescent="0.3">
      <c r="A122" t="s">
        <v>140</v>
      </c>
      <c r="B122" t="s">
        <v>99</v>
      </c>
      <c r="C122">
        <v>8.0500000000000002E-2</v>
      </c>
      <c r="D122">
        <v>8.0600000000000005E-2</v>
      </c>
      <c r="E122">
        <v>7.5499999999999998E-2</v>
      </c>
      <c r="F122">
        <v>12</v>
      </c>
      <c r="G122" t="s">
        <v>146</v>
      </c>
    </row>
    <row r="123" spans="1:15" hidden="1" x14ac:dyDescent="0.3">
      <c r="A123" t="s">
        <v>140</v>
      </c>
      <c r="B123" t="s">
        <v>100</v>
      </c>
      <c r="C123">
        <v>5.0599999999999999E-2</v>
      </c>
      <c r="D123">
        <v>4.82E-2</v>
      </c>
      <c r="E123">
        <v>8.6400000000000005E-2</v>
      </c>
      <c r="F123">
        <v>13</v>
      </c>
      <c r="G123" t="s">
        <v>146</v>
      </c>
      <c r="M123" s="8"/>
    </row>
    <row r="124" spans="1:15" hidden="1" x14ac:dyDescent="0.3">
      <c r="A124" t="s">
        <v>140</v>
      </c>
      <c r="B124" t="s">
        <v>101</v>
      </c>
      <c r="C124">
        <v>2.7699999999999999E-2</v>
      </c>
      <c r="D124">
        <v>3.0499999999999999E-2</v>
      </c>
      <c r="E124">
        <v>7.9500000000000001E-2</v>
      </c>
      <c r="F124">
        <v>13</v>
      </c>
      <c r="G124" t="s">
        <v>146</v>
      </c>
    </row>
    <row r="125" spans="1:15" hidden="1" x14ac:dyDescent="0.3">
      <c r="A125" t="s">
        <v>141</v>
      </c>
      <c r="B125" t="s">
        <v>75</v>
      </c>
      <c r="C125">
        <v>0.1351</v>
      </c>
      <c r="D125">
        <v>0.14219999999999999</v>
      </c>
      <c r="E125">
        <v>0.1363</v>
      </c>
      <c r="F125">
        <v>13</v>
      </c>
      <c r="G125" t="s">
        <v>146</v>
      </c>
    </row>
    <row r="126" spans="1:15" hidden="1" x14ac:dyDescent="0.3">
      <c r="A126" t="s">
        <v>141</v>
      </c>
      <c r="B126" t="s">
        <v>76</v>
      </c>
      <c r="C126">
        <v>6.6600000000000006E-2</v>
      </c>
      <c r="D126">
        <v>6.9199999999999998E-2</v>
      </c>
      <c r="E126">
        <v>0.1363</v>
      </c>
      <c r="F126">
        <v>13</v>
      </c>
      <c r="G126" t="s">
        <v>146</v>
      </c>
    </row>
    <row r="127" spans="1:15" hidden="1" x14ac:dyDescent="0.3">
      <c r="A127" t="s">
        <v>141</v>
      </c>
      <c r="B127" t="s">
        <v>77</v>
      </c>
      <c r="C127">
        <v>2.6800000000000001E-2</v>
      </c>
      <c r="D127">
        <v>1.6199999999999999E-2</v>
      </c>
      <c r="E127">
        <v>5.2699999999999997E-2</v>
      </c>
      <c r="F127">
        <v>12</v>
      </c>
      <c r="G127" t="s">
        <v>146</v>
      </c>
    </row>
    <row r="128" spans="1:15" hidden="1" x14ac:dyDescent="0.3">
      <c r="A128" t="s">
        <v>141</v>
      </c>
      <c r="B128" t="s">
        <v>78</v>
      </c>
      <c r="C128">
        <v>4.0099999999999997E-2</v>
      </c>
      <c r="D128">
        <v>2.12E-2</v>
      </c>
      <c r="E128">
        <v>8.1900000000000001E-2</v>
      </c>
      <c r="F128">
        <v>12</v>
      </c>
      <c r="G128" t="s">
        <v>146</v>
      </c>
    </row>
    <row r="129" spans="1:16" hidden="1" x14ac:dyDescent="0.3">
      <c r="A129" t="s">
        <v>141</v>
      </c>
      <c r="B129" t="s">
        <v>79</v>
      </c>
      <c r="C129">
        <v>0</v>
      </c>
      <c r="D129">
        <v>0</v>
      </c>
      <c r="E129">
        <v>0</v>
      </c>
      <c r="F129">
        <v>12</v>
      </c>
      <c r="G129" t="s">
        <v>146</v>
      </c>
    </row>
    <row r="130" spans="1:16" hidden="1" x14ac:dyDescent="0.3">
      <c r="A130" t="s">
        <v>141</v>
      </c>
      <c r="B130" t="s">
        <v>80</v>
      </c>
      <c r="C130">
        <v>0.14050000000000001</v>
      </c>
      <c r="D130">
        <v>0.1487</v>
      </c>
      <c r="E130">
        <v>0.1817</v>
      </c>
      <c r="F130">
        <v>12</v>
      </c>
      <c r="G130" t="s">
        <v>146</v>
      </c>
    </row>
    <row r="131" spans="1:16" hidden="1" x14ac:dyDescent="0.3">
      <c r="A131" t="s">
        <v>141</v>
      </c>
      <c r="B131" t="s">
        <v>81</v>
      </c>
      <c r="C131">
        <v>7.1400000000000005E-2</v>
      </c>
      <c r="D131">
        <v>6.5699999999999995E-2</v>
      </c>
      <c r="E131">
        <v>0.18</v>
      </c>
      <c r="F131">
        <v>13</v>
      </c>
      <c r="G131" t="s">
        <v>146</v>
      </c>
    </row>
    <row r="132" spans="1:16" hidden="1" x14ac:dyDescent="0.3">
      <c r="A132" t="s">
        <v>141</v>
      </c>
      <c r="B132" t="s">
        <v>82</v>
      </c>
      <c r="C132">
        <v>2.3300000000000001E-2</v>
      </c>
      <c r="D132">
        <v>1.9599999999999999E-2</v>
      </c>
      <c r="E132">
        <v>4.6600000000000003E-2</v>
      </c>
      <c r="F132">
        <v>12</v>
      </c>
      <c r="G132" t="s">
        <v>146</v>
      </c>
    </row>
    <row r="133" spans="1:16" hidden="1" x14ac:dyDescent="0.3">
      <c r="A133" t="s">
        <v>141</v>
      </c>
      <c r="B133" t="s">
        <v>83</v>
      </c>
      <c r="C133">
        <v>4.2599999999999999E-2</v>
      </c>
      <c r="D133">
        <v>4.3099999999999999E-2</v>
      </c>
      <c r="E133">
        <v>9.69E-2</v>
      </c>
      <c r="F133">
        <v>13</v>
      </c>
      <c r="G133" t="s">
        <v>146</v>
      </c>
    </row>
    <row r="134" spans="1:16" hidden="1" x14ac:dyDescent="0.3">
      <c r="A134" t="s">
        <v>141</v>
      </c>
      <c r="B134" t="s">
        <v>84</v>
      </c>
      <c r="C134">
        <v>9.2299999999999993E-2</v>
      </c>
      <c r="D134">
        <v>9.2100000000000001E-2</v>
      </c>
      <c r="E134">
        <v>0.19239999999999999</v>
      </c>
      <c r="F134">
        <v>13</v>
      </c>
      <c r="G134" t="s">
        <v>146</v>
      </c>
    </row>
    <row r="135" spans="1:16" hidden="1" x14ac:dyDescent="0.3">
      <c r="A135" t="s">
        <v>141</v>
      </c>
      <c r="B135" t="s">
        <v>85</v>
      </c>
      <c r="C135">
        <v>8.0199999999999994E-2</v>
      </c>
      <c r="D135">
        <v>8.6300000000000002E-2</v>
      </c>
      <c r="E135">
        <v>0.21079999999999999</v>
      </c>
      <c r="F135">
        <v>13</v>
      </c>
      <c r="G135" t="s">
        <v>146</v>
      </c>
    </row>
    <row r="136" spans="1:16" hidden="1" x14ac:dyDescent="0.3">
      <c r="A136" t="s">
        <v>141</v>
      </c>
      <c r="B136" t="s">
        <v>86</v>
      </c>
      <c r="C136">
        <v>1.7999999999999999E-2</v>
      </c>
      <c r="D136">
        <v>1.7600000000000001E-2</v>
      </c>
      <c r="E136">
        <v>3.4299999999999997E-2</v>
      </c>
      <c r="F136">
        <v>13</v>
      </c>
      <c r="G136" t="s">
        <v>146</v>
      </c>
    </row>
    <row r="137" spans="1:16" hidden="1" x14ac:dyDescent="0.3">
      <c r="A137" t="s">
        <v>141</v>
      </c>
      <c r="B137" t="s">
        <v>87</v>
      </c>
      <c r="C137">
        <v>0.1082</v>
      </c>
      <c r="D137">
        <v>0.1074</v>
      </c>
      <c r="E137">
        <v>0.1678</v>
      </c>
      <c r="F137">
        <v>12</v>
      </c>
      <c r="G137" t="s">
        <v>146</v>
      </c>
      <c r="H137" s="8"/>
      <c r="L137" s="8"/>
      <c r="M137" s="8"/>
      <c r="N137" s="8"/>
      <c r="O137" s="8"/>
      <c r="P137" s="8"/>
    </row>
    <row r="138" spans="1:16" hidden="1" x14ac:dyDescent="0.3">
      <c r="A138" t="s">
        <v>141</v>
      </c>
      <c r="B138" t="s">
        <v>88</v>
      </c>
      <c r="C138">
        <v>2.1999999999999999E-2</v>
      </c>
      <c r="D138">
        <v>2.3900000000000001E-2</v>
      </c>
      <c r="E138">
        <v>5.5E-2</v>
      </c>
      <c r="F138">
        <v>13</v>
      </c>
      <c r="G138" t="s">
        <v>146</v>
      </c>
      <c r="H138" s="8"/>
      <c r="I138" s="8"/>
      <c r="J138" s="8"/>
      <c r="K138" s="8"/>
      <c r="L138" s="8"/>
      <c r="M138" s="8"/>
      <c r="N138" s="8"/>
      <c r="O138" s="8"/>
      <c r="P138" s="8"/>
    </row>
    <row r="139" spans="1:16" hidden="1" x14ac:dyDescent="0.3">
      <c r="A139" t="s">
        <v>141</v>
      </c>
      <c r="B139" t="s">
        <v>89</v>
      </c>
      <c r="C139">
        <v>5.6399999999999999E-2</v>
      </c>
      <c r="D139">
        <v>5.5899999999999998E-2</v>
      </c>
      <c r="E139">
        <v>8.9800000000000005E-2</v>
      </c>
      <c r="F139">
        <v>13</v>
      </c>
      <c r="G139" t="s">
        <v>146</v>
      </c>
    </row>
    <row r="140" spans="1:16" hidden="1" x14ac:dyDescent="0.3">
      <c r="A140" t="s">
        <v>141</v>
      </c>
      <c r="B140" t="s">
        <v>90</v>
      </c>
      <c r="C140">
        <v>3.27E-2</v>
      </c>
      <c r="D140">
        <v>2.4799999999999999E-2</v>
      </c>
      <c r="E140">
        <v>7.0900000000000005E-2</v>
      </c>
      <c r="F140">
        <v>12</v>
      </c>
      <c r="G140" t="s">
        <v>146</v>
      </c>
    </row>
    <row r="141" spans="1:16" hidden="1" x14ac:dyDescent="0.3">
      <c r="A141" t="s">
        <v>141</v>
      </c>
      <c r="B141" t="s">
        <v>91</v>
      </c>
      <c r="C141">
        <v>1.06E-2</v>
      </c>
      <c r="D141">
        <v>1.15E-2</v>
      </c>
      <c r="E141">
        <v>2.1000000000000001E-2</v>
      </c>
      <c r="F141">
        <v>12</v>
      </c>
      <c r="G141" t="s">
        <v>146</v>
      </c>
    </row>
    <row r="142" spans="1:16" hidden="1" x14ac:dyDescent="0.3">
      <c r="A142" t="s">
        <v>141</v>
      </c>
      <c r="B142" t="s">
        <v>92</v>
      </c>
      <c r="C142">
        <v>2.8500000000000001E-2</v>
      </c>
      <c r="D142">
        <v>3.1099999999999999E-2</v>
      </c>
      <c r="E142">
        <v>7.4700000000000003E-2</v>
      </c>
      <c r="F142">
        <v>13</v>
      </c>
      <c r="G142" t="s">
        <v>146</v>
      </c>
    </row>
    <row r="143" spans="1:16" hidden="1" x14ac:dyDescent="0.3">
      <c r="A143" t="s">
        <v>141</v>
      </c>
      <c r="B143" t="s">
        <v>93</v>
      </c>
      <c r="C143">
        <v>0</v>
      </c>
      <c r="D143">
        <v>0</v>
      </c>
      <c r="E143">
        <v>0</v>
      </c>
      <c r="F143">
        <v>12</v>
      </c>
      <c r="G143" t="s">
        <v>146</v>
      </c>
      <c r="M143" s="8"/>
      <c r="N143" s="8"/>
    </row>
    <row r="144" spans="1:16" hidden="1" x14ac:dyDescent="0.3">
      <c r="A144" t="s">
        <v>141</v>
      </c>
      <c r="B144" t="s">
        <v>94</v>
      </c>
      <c r="C144">
        <v>6.0699999999999997E-2</v>
      </c>
      <c r="D144">
        <v>6.3899999999999998E-2</v>
      </c>
      <c r="E144">
        <v>0.16109999999999999</v>
      </c>
      <c r="F144">
        <v>13</v>
      </c>
      <c r="G144" t="s">
        <v>146</v>
      </c>
      <c r="M144" s="8"/>
      <c r="N144" s="8"/>
      <c r="O144" s="8"/>
      <c r="P144" s="8"/>
    </row>
    <row r="145" spans="1:7" hidden="1" x14ac:dyDescent="0.3">
      <c r="A145" t="s">
        <v>141</v>
      </c>
      <c r="B145" t="s">
        <v>95</v>
      </c>
      <c r="C145">
        <v>7.0000000000000007E-2</v>
      </c>
      <c r="D145">
        <v>6.6000000000000003E-2</v>
      </c>
      <c r="E145">
        <v>0.13750000000000001</v>
      </c>
      <c r="F145">
        <v>12</v>
      </c>
      <c r="G145" t="s">
        <v>146</v>
      </c>
    </row>
    <row r="146" spans="1:7" hidden="1" x14ac:dyDescent="0.3">
      <c r="A146" t="s">
        <v>141</v>
      </c>
      <c r="B146" t="s">
        <v>96</v>
      </c>
      <c r="C146">
        <v>3.4700000000000002E-2</v>
      </c>
      <c r="D146">
        <v>3.2300000000000002E-2</v>
      </c>
      <c r="E146">
        <v>8.4699999999999998E-2</v>
      </c>
      <c r="F146">
        <v>13</v>
      </c>
      <c r="G146" t="s">
        <v>146</v>
      </c>
    </row>
    <row r="147" spans="1:7" hidden="1" x14ac:dyDescent="0.3">
      <c r="A147" t="s">
        <v>141</v>
      </c>
      <c r="B147" t="s">
        <v>97</v>
      </c>
      <c r="C147">
        <v>8.9099999999999999E-2</v>
      </c>
      <c r="D147">
        <v>7.9699999999999993E-2</v>
      </c>
      <c r="E147">
        <v>0.1678</v>
      </c>
      <c r="F147">
        <v>12</v>
      </c>
      <c r="G147" t="s">
        <v>146</v>
      </c>
    </row>
    <row r="148" spans="1:7" hidden="1" x14ac:dyDescent="0.3">
      <c r="A148" t="s">
        <v>141</v>
      </c>
      <c r="B148" t="s">
        <v>97</v>
      </c>
      <c r="C148">
        <v>8.9099999999999999E-2</v>
      </c>
      <c r="D148">
        <v>7.9699999999999993E-2</v>
      </c>
      <c r="E148">
        <v>0.1678</v>
      </c>
      <c r="F148">
        <v>12</v>
      </c>
      <c r="G148" t="s">
        <v>146</v>
      </c>
    </row>
    <row r="149" spans="1:7" hidden="1" x14ac:dyDescent="0.3">
      <c r="A149" t="s">
        <v>141</v>
      </c>
      <c r="B149" t="s">
        <v>98</v>
      </c>
      <c r="C149">
        <v>8.6900000000000005E-2</v>
      </c>
      <c r="D149">
        <v>0.1066</v>
      </c>
      <c r="E149">
        <v>0.16439999999999999</v>
      </c>
      <c r="F149">
        <v>12</v>
      </c>
      <c r="G149" t="s">
        <v>146</v>
      </c>
    </row>
    <row r="150" spans="1:7" hidden="1" x14ac:dyDescent="0.3">
      <c r="A150" t="s">
        <v>141</v>
      </c>
      <c r="B150" t="s">
        <v>99</v>
      </c>
      <c r="C150">
        <v>1.84E-2</v>
      </c>
      <c r="D150">
        <v>1.5100000000000001E-2</v>
      </c>
      <c r="E150">
        <v>3.4500000000000003E-2</v>
      </c>
      <c r="F150">
        <v>12</v>
      </c>
      <c r="G150" t="s">
        <v>146</v>
      </c>
    </row>
    <row r="151" spans="1:7" hidden="1" x14ac:dyDescent="0.3">
      <c r="A151" t="s">
        <v>141</v>
      </c>
      <c r="B151" t="s">
        <v>100</v>
      </c>
      <c r="C151">
        <v>5.6500000000000002E-2</v>
      </c>
      <c r="D151">
        <v>7.6700000000000004E-2</v>
      </c>
      <c r="E151">
        <v>0.21540000000000001</v>
      </c>
      <c r="F151">
        <v>13</v>
      </c>
      <c r="G151" t="s">
        <v>146</v>
      </c>
    </row>
    <row r="152" spans="1:7" hidden="1" x14ac:dyDescent="0.3">
      <c r="A152" t="s">
        <v>141</v>
      </c>
      <c r="B152" t="s">
        <v>101</v>
      </c>
      <c r="C152">
        <v>9.7699999999999995E-2</v>
      </c>
      <c r="D152">
        <v>8.7599999999999997E-2</v>
      </c>
      <c r="E152">
        <v>0.26390000000000002</v>
      </c>
      <c r="F152">
        <v>13</v>
      </c>
      <c r="G152" t="s">
        <v>146</v>
      </c>
    </row>
    <row r="153" spans="1:7" hidden="1" x14ac:dyDescent="0.3">
      <c r="A153" t="s">
        <v>142</v>
      </c>
      <c r="B153" t="s">
        <v>75</v>
      </c>
      <c r="C153">
        <v>0.6341</v>
      </c>
      <c r="D153">
        <v>0.6351</v>
      </c>
      <c r="E153">
        <v>0.62590000000000001</v>
      </c>
      <c r="F153">
        <v>13</v>
      </c>
      <c r="G153" t="s">
        <v>146</v>
      </c>
    </row>
    <row r="154" spans="1:7" hidden="1" x14ac:dyDescent="0.3">
      <c r="A154" t="s">
        <v>142</v>
      </c>
      <c r="B154" t="s">
        <v>76</v>
      </c>
      <c r="C154">
        <v>0.71299999999999997</v>
      </c>
      <c r="D154">
        <v>0.71330000000000005</v>
      </c>
      <c r="E154">
        <v>0.62590000000000001</v>
      </c>
      <c r="F154">
        <v>13</v>
      </c>
      <c r="G154" t="s">
        <v>146</v>
      </c>
    </row>
    <row r="155" spans="1:7" hidden="1" x14ac:dyDescent="0.3">
      <c r="A155" t="s">
        <v>142</v>
      </c>
      <c r="B155" t="s">
        <v>77</v>
      </c>
      <c r="C155">
        <v>0.82650000000000001</v>
      </c>
      <c r="D155">
        <v>0.84650000000000003</v>
      </c>
      <c r="E155">
        <v>0.78639999999999999</v>
      </c>
      <c r="F155">
        <v>12</v>
      </c>
      <c r="G155" t="s">
        <v>146</v>
      </c>
    </row>
    <row r="156" spans="1:7" hidden="1" x14ac:dyDescent="0.3">
      <c r="A156" t="s">
        <v>142</v>
      </c>
      <c r="B156" t="s">
        <v>78</v>
      </c>
      <c r="C156">
        <v>0.78180000000000005</v>
      </c>
      <c r="D156">
        <v>0.80120000000000002</v>
      </c>
      <c r="E156">
        <v>0.75719999999999998</v>
      </c>
      <c r="F156">
        <v>12</v>
      </c>
      <c r="G156" t="s">
        <v>146</v>
      </c>
    </row>
    <row r="157" spans="1:7" hidden="1" x14ac:dyDescent="0.3">
      <c r="A157" t="s">
        <v>142</v>
      </c>
      <c r="B157" t="s">
        <v>79</v>
      </c>
      <c r="C157">
        <v>0.47360000000000002</v>
      </c>
      <c r="D157">
        <v>0.48449999999999999</v>
      </c>
      <c r="E157">
        <v>0.4859</v>
      </c>
      <c r="F157">
        <v>12</v>
      </c>
      <c r="G157" t="s">
        <v>146</v>
      </c>
    </row>
    <row r="158" spans="1:7" hidden="1" x14ac:dyDescent="0.3">
      <c r="A158" t="s">
        <v>142</v>
      </c>
      <c r="B158" t="s">
        <v>80</v>
      </c>
      <c r="C158">
        <v>0.70289999999999997</v>
      </c>
      <c r="D158">
        <v>0.69850000000000001</v>
      </c>
      <c r="E158">
        <v>0.65739999999999998</v>
      </c>
      <c r="F158">
        <v>12</v>
      </c>
      <c r="G158" t="s">
        <v>146</v>
      </c>
    </row>
    <row r="159" spans="1:7" hidden="1" x14ac:dyDescent="0.3">
      <c r="A159" t="s">
        <v>142</v>
      </c>
      <c r="B159" t="s">
        <v>81</v>
      </c>
      <c r="C159">
        <v>0.67390000000000005</v>
      </c>
      <c r="D159">
        <v>0.69650000000000001</v>
      </c>
      <c r="E159">
        <v>0.6371</v>
      </c>
      <c r="F159">
        <v>13</v>
      </c>
      <c r="G159" t="s">
        <v>146</v>
      </c>
    </row>
    <row r="160" spans="1:7" hidden="1" x14ac:dyDescent="0.3">
      <c r="A160" t="s">
        <v>142</v>
      </c>
      <c r="B160" t="s">
        <v>82</v>
      </c>
      <c r="C160">
        <v>0.81679999999999997</v>
      </c>
      <c r="D160">
        <v>0.83350000000000002</v>
      </c>
      <c r="E160">
        <v>0.79249999999999998</v>
      </c>
      <c r="F160">
        <v>12</v>
      </c>
      <c r="G160" t="s">
        <v>146</v>
      </c>
    </row>
    <row r="161" spans="1:7" hidden="1" x14ac:dyDescent="0.3">
      <c r="A161" t="s">
        <v>142</v>
      </c>
      <c r="B161" t="s">
        <v>83</v>
      </c>
      <c r="C161">
        <v>0.68979999999999997</v>
      </c>
      <c r="D161">
        <v>0.69120000000000004</v>
      </c>
      <c r="E161">
        <v>0.73609999999999998</v>
      </c>
      <c r="F161">
        <v>13</v>
      </c>
      <c r="G161" t="s">
        <v>146</v>
      </c>
    </row>
    <row r="162" spans="1:7" hidden="1" x14ac:dyDescent="0.3">
      <c r="A162" t="s">
        <v>142</v>
      </c>
      <c r="B162" t="s">
        <v>84</v>
      </c>
      <c r="C162">
        <v>0.70830000000000004</v>
      </c>
      <c r="D162">
        <v>0.71850000000000003</v>
      </c>
      <c r="E162">
        <v>0.64200000000000002</v>
      </c>
      <c r="F162">
        <v>13</v>
      </c>
      <c r="G162" t="s">
        <v>146</v>
      </c>
    </row>
    <row r="163" spans="1:7" hidden="1" x14ac:dyDescent="0.3">
      <c r="A163" t="s">
        <v>142</v>
      </c>
      <c r="B163" t="s">
        <v>85</v>
      </c>
      <c r="C163">
        <v>0.72909999999999997</v>
      </c>
      <c r="D163">
        <v>0.72440000000000004</v>
      </c>
      <c r="E163">
        <v>0.58289999999999997</v>
      </c>
      <c r="F163">
        <v>13</v>
      </c>
      <c r="G163" t="s">
        <v>146</v>
      </c>
    </row>
    <row r="164" spans="1:7" hidden="1" x14ac:dyDescent="0.3">
      <c r="A164" t="s">
        <v>142</v>
      </c>
      <c r="B164" t="s">
        <v>86</v>
      </c>
      <c r="C164">
        <v>0.77480000000000004</v>
      </c>
      <c r="D164">
        <v>0.78879999999999995</v>
      </c>
      <c r="E164">
        <v>0.70520000000000005</v>
      </c>
      <c r="F164">
        <v>13</v>
      </c>
      <c r="G164" t="s">
        <v>146</v>
      </c>
    </row>
    <row r="165" spans="1:7" hidden="1" x14ac:dyDescent="0.3">
      <c r="A165" t="s">
        <v>142</v>
      </c>
      <c r="B165" t="s">
        <v>87</v>
      </c>
      <c r="C165">
        <v>0.75629999999999997</v>
      </c>
      <c r="D165">
        <v>0.75880000000000003</v>
      </c>
      <c r="E165">
        <v>0.67130000000000001</v>
      </c>
      <c r="F165">
        <v>12</v>
      </c>
      <c r="G165" t="s">
        <v>146</v>
      </c>
    </row>
    <row r="166" spans="1:7" hidden="1" x14ac:dyDescent="0.3">
      <c r="A166" t="s">
        <v>142</v>
      </c>
      <c r="B166" t="s">
        <v>88</v>
      </c>
      <c r="C166">
        <v>0.63400000000000001</v>
      </c>
      <c r="D166">
        <v>0.64429999999999998</v>
      </c>
      <c r="E166">
        <v>0.76580000000000004</v>
      </c>
      <c r="F166">
        <v>13</v>
      </c>
      <c r="G166" t="s">
        <v>146</v>
      </c>
    </row>
    <row r="167" spans="1:7" hidden="1" x14ac:dyDescent="0.3">
      <c r="A167" t="s">
        <v>142</v>
      </c>
      <c r="B167" t="s">
        <v>89</v>
      </c>
      <c r="C167">
        <v>0.77639999999999998</v>
      </c>
      <c r="D167">
        <v>0.78200000000000003</v>
      </c>
      <c r="E167">
        <v>0.7218</v>
      </c>
      <c r="F167">
        <v>13</v>
      </c>
      <c r="G167" t="s">
        <v>146</v>
      </c>
    </row>
    <row r="168" spans="1:7" hidden="1" x14ac:dyDescent="0.3">
      <c r="A168" t="s">
        <v>142</v>
      </c>
      <c r="B168" t="s">
        <v>90</v>
      </c>
      <c r="C168">
        <v>0.74080000000000001</v>
      </c>
      <c r="D168">
        <v>0.75629999999999997</v>
      </c>
      <c r="E168">
        <v>0.76819999999999999</v>
      </c>
      <c r="F168">
        <v>12</v>
      </c>
      <c r="G168" t="s">
        <v>146</v>
      </c>
    </row>
    <row r="169" spans="1:7" hidden="1" x14ac:dyDescent="0.3">
      <c r="A169" t="s">
        <v>142</v>
      </c>
      <c r="B169" t="s">
        <v>91</v>
      </c>
      <c r="C169">
        <v>0.83599999999999997</v>
      </c>
      <c r="D169">
        <v>0.84760000000000002</v>
      </c>
      <c r="E169">
        <v>0.81810000000000005</v>
      </c>
      <c r="F169">
        <v>12</v>
      </c>
      <c r="G169" t="s">
        <v>146</v>
      </c>
    </row>
    <row r="170" spans="1:7" hidden="1" x14ac:dyDescent="0.3">
      <c r="A170" t="s">
        <v>142</v>
      </c>
      <c r="B170" t="s">
        <v>92</v>
      </c>
      <c r="C170">
        <v>0.58140000000000003</v>
      </c>
      <c r="D170">
        <v>0.59989999999999999</v>
      </c>
      <c r="E170">
        <v>0.72370000000000001</v>
      </c>
      <c r="F170">
        <v>13</v>
      </c>
      <c r="G170" t="s">
        <v>146</v>
      </c>
    </row>
    <row r="171" spans="1:7" hidden="1" x14ac:dyDescent="0.3">
      <c r="A171" t="s">
        <v>142</v>
      </c>
      <c r="B171" t="s">
        <v>93</v>
      </c>
      <c r="C171">
        <v>0.43919999999999998</v>
      </c>
      <c r="D171">
        <v>0.46760000000000002</v>
      </c>
      <c r="E171">
        <v>0.46839999999999998</v>
      </c>
      <c r="F171">
        <v>12</v>
      </c>
      <c r="G171" t="s">
        <v>146</v>
      </c>
    </row>
    <row r="172" spans="1:7" hidden="1" x14ac:dyDescent="0.3">
      <c r="A172" t="s">
        <v>142</v>
      </c>
      <c r="B172" t="s">
        <v>94</v>
      </c>
      <c r="C172">
        <v>0.48570000000000002</v>
      </c>
      <c r="D172">
        <v>0.47689999999999999</v>
      </c>
      <c r="E172">
        <v>0.64459999999999995</v>
      </c>
      <c r="F172">
        <v>13</v>
      </c>
      <c r="G172" t="s">
        <v>146</v>
      </c>
    </row>
    <row r="173" spans="1:7" hidden="1" x14ac:dyDescent="0.3">
      <c r="A173" t="s">
        <v>142</v>
      </c>
      <c r="B173" t="s">
        <v>95</v>
      </c>
      <c r="C173">
        <v>0.78410000000000002</v>
      </c>
      <c r="D173">
        <v>0.78859999999999997</v>
      </c>
      <c r="E173">
        <v>0.7016</v>
      </c>
      <c r="F173">
        <v>12</v>
      </c>
      <c r="G173" t="s">
        <v>146</v>
      </c>
    </row>
    <row r="174" spans="1:7" hidden="1" x14ac:dyDescent="0.3">
      <c r="A174" t="s">
        <v>142</v>
      </c>
      <c r="B174" t="s">
        <v>96</v>
      </c>
      <c r="C174">
        <v>0.64939999999999998</v>
      </c>
      <c r="D174">
        <v>0.64929999999999999</v>
      </c>
      <c r="E174">
        <v>0.74990000000000001</v>
      </c>
      <c r="F174">
        <v>13</v>
      </c>
      <c r="G174" t="s">
        <v>146</v>
      </c>
    </row>
    <row r="175" spans="1:7" hidden="1" x14ac:dyDescent="0.3">
      <c r="A175" t="s">
        <v>142</v>
      </c>
      <c r="B175" t="s">
        <v>97</v>
      </c>
      <c r="C175">
        <v>0.77449999999999997</v>
      </c>
      <c r="D175">
        <v>0.78549999999999998</v>
      </c>
      <c r="E175">
        <v>0.67130000000000001</v>
      </c>
      <c r="F175">
        <v>12</v>
      </c>
      <c r="G175" t="s">
        <v>146</v>
      </c>
    </row>
    <row r="176" spans="1:7" hidden="1" x14ac:dyDescent="0.3">
      <c r="A176" t="s">
        <v>142</v>
      </c>
      <c r="B176" t="s">
        <v>97</v>
      </c>
      <c r="C176">
        <v>0.77449999999999997</v>
      </c>
      <c r="D176">
        <v>0.78549999999999998</v>
      </c>
      <c r="E176">
        <v>0.67130000000000001</v>
      </c>
      <c r="F176">
        <v>12</v>
      </c>
      <c r="G176" t="s">
        <v>146</v>
      </c>
    </row>
    <row r="177" spans="1:7" hidden="1" x14ac:dyDescent="0.3">
      <c r="A177" t="s">
        <v>142</v>
      </c>
      <c r="B177" t="s">
        <v>98</v>
      </c>
      <c r="C177">
        <v>0.8</v>
      </c>
      <c r="D177">
        <v>0.78190000000000004</v>
      </c>
      <c r="E177">
        <v>0.67469999999999997</v>
      </c>
      <c r="F177">
        <v>12</v>
      </c>
      <c r="G177" t="s">
        <v>146</v>
      </c>
    </row>
    <row r="178" spans="1:7" hidden="1" x14ac:dyDescent="0.3">
      <c r="A178" t="s">
        <v>142</v>
      </c>
      <c r="B178" t="s">
        <v>99</v>
      </c>
      <c r="C178">
        <v>0.876</v>
      </c>
      <c r="D178">
        <v>0.88</v>
      </c>
      <c r="E178">
        <v>0.80459999999999998</v>
      </c>
      <c r="F178">
        <v>12</v>
      </c>
      <c r="G178" t="s">
        <v>146</v>
      </c>
    </row>
    <row r="179" spans="1:7" hidden="1" x14ac:dyDescent="0.3">
      <c r="A179" t="s">
        <v>142</v>
      </c>
      <c r="B179" t="s">
        <v>100</v>
      </c>
      <c r="C179">
        <v>0.63639999999999997</v>
      </c>
      <c r="D179">
        <v>0.63049999999999995</v>
      </c>
      <c r="E179">
        <v>0.58789999999999998</v>
      </c>
      <c r="F179">
        <v>13</v>
      </c>
      <c r="G179" t="s">
        <v>146</v>
      </c>
    </row>
    <row r="180" spans="1:7" hidden="1" x14ac:dyDescent="0.3">
      <c r="A180" t="s">
        <v>142</v>
      </c>
      <c r="B180" t="s">
        <v>101</v>
      </c>
      <c r="C180">
        <v>0.79</v>
      </c>
      <c r="D180">
        <v>0.80200000000000005</v>
      </c>
      <c r="E180">
        <v>0.60109999999999997</v>
      </c>
      <c r="F180">
        <v>13</v>
      </c>
      <c r="G180" t="s">
        <v>146</v>
      </c>
    </row>
    <row r="181" spans="1:7" hidden="1" x14ac:dyDescent="0.3">
      <c r="A181" t="s">
        <v>143</v>
      </c>
      <c r="B181" t="s">
        <v>75</v>
      </c>
      <c r="C181">
        <v>4.7000000000000002E-3</v>
      </c>
      <c r="D181">
        <v>4.4999999999999997E-3</v>
      </c>
      <c r="E181">
        <v>0</v>
      </c>
      <c r="F181">
        <v>13</v>
      </c>
      <c r="G181" t="s">
        <v>146</v>
      </c>
    </row>
    <row r="182" spans="1:7" hidden="1" x14ac:dyDescent="0.3">
      <c r="A182" t="s">
        <v>143</v>
      </c>
      <c r="B182" t="s">
        <v>76</v>
      </c>
      <c r="C182">
        <v>0</v>
      </c>
      <c r="D182">
        <v>0</v>
      </c>
      <c r="E182">
        <v>0</v>
      </c>
      <c r="F182">
        <v>13</v>
      </c>
      <c r="G182" t="s">
        <v>146</v>
      </c>
    </row>
    <row r="183" spans="1:7" hidden="1" x14ac:dyDescent="0.3">
      <c r="A183" t="s">
        <v>143</v>
      </c>
      <c r="B183" t="s">
        <v>77</v>
      </c>
      <c r="C183">
        <v>3.3E-3</v>
      </c>
      <c r="D183">
        <v>1.5E-3</v>
      </c>
      <c r="E183">
        <v>0</v>
      </c>
      <c r="F183">
        <v>12</v>
      </c>
      <c r="G183" t="s">
        <v>146</v>
      </c>
    </row>
    <row r="184" spans="1:7" hidden="1" x14ac:dyDescent="0.3">
      <c r="A184" t="s">
        <v>143</v>
      </c>
      <c r="B184" t="s">
        <v>78</v>
      </c>
      <c r="C184">
        <v>5.7999999999999996E-3</v>
      </c>
      <c r="D184">
        <v>6.0000000000000001E-3</v>
      </c>
      <c r="E184">
        <v>0</v>
      </c>
      <c r="F184">
        <v>12</v>
      </c>
      <c r="G184" t="s">
        <v>146</v>
      </c>
    </row>
    <row r="185" spans="1:7" hidden="1" x14ac:dyDescent="0.3">
      <c r="A185" t="s">
        <v>143</v>
      </c>
      <c r="B185" t="s">
        <v>79</v>
      </c>
      <c r="C185">
        <v>0</v>
      </c>
      <c r="D185">
        <v>2.8E-3</v>
      </c>
      <c r="E185">
        <v>0</v>
      </c>
      <c r="F185">
        <v>12</v>
      </c>
      <c r="G185" t="s">
        <v>146</v>
      </c>
    </row>
    <row r="186" spans="1:7" hidden="1" x14ac:dyDescent="0.3">
      <c r="A186" t="s">
        <v>143</v>
      </c>
      <c r="B186" t="s">
        <v>80</v>
      </c>
      <c r="C186">
        <v>6.3E-3</v>
      </c>
      <c r="D186">
        <v>7.1000000000000004E-3</v>
      </c>
      <c r="E186">
        <v>0</v>
      </c>
      <c r="F186">
        <v>12</v>
      </c>
      <c r="G186" t="s">
        <v>146</v>
      </c>
    </row>
    <row r="187" spans="1:7" hidden="1" x14ac:dyDescent="0.3">
      <c r="A187" t="s">
        <v>143</v>
      </c>
      <c r="B187" t="s">
        <v>81</v>
      </c>
      <c r="C187">
        <v>3.7000000000000002E-3</v>
      </c>
      <c r="D187">
        <v>3.2000000000000002E-3</v>
      </c>
      <c r="E187">
        <v>0</v>
      </c>
      <c r="F187">
        <v>13</v>
      </c>
      <c r="G187" t="s">
        <v>146</v>
      </c>
    </row>
    <row r="188" spans="1:7" hidden="1" x14ac:dyDescent="0.3">
      <c r="A188" t="s">
        <v>143</v>
      </c>
      <c r="B188" t="s">
        <v>82</v>
      </c>
      <c r="C188">
        <v>1.5E-3</v>
      </c>
      <c r="D188">
        <v>1.1999999999999999E-3</v>
      </c>
      <c r="E188">
        <v>0</v>
      </c>
      <c r="F188">
        <v>12</v>
      </c>
      <c r="G188" t="s">
        <v>146</v>
      </c>
    </row>
    <row r="189" spans="1:7" hidden="1" x14ac:dyDescent="0.3">
      <c r="A189" t="s">
        <v>143</v>
      </c>
      <c r="B189" t="s">
        <v>83</v>
      </c>
      <c r="C189">
        <v>1.18E-2</v>
      </c>
      <c r="D189">
        <v>1.34E-2</v>
      </c>
      <c r="E189">
        <v>5.4000000000000003E-3</v>
      </c>
      <c r="F189">
        <v>13</v>
      </c>
      <c r="G189" t="s">
        <v>146</v>
      </c>
    </row>
    <row r="190" spans="1:7" hidden="1" x14ac:dyDescent="0.3">
      <c r="A190" t="s">
        <v>143</v>
      </c>
      <c r="B190" t="s">
        <v>84</v>
      </c>
      <c r="C190">
        <v>1.47E-2</v>
      </c>
      <c r="D190">
        <v>1.5299999999999999E-2</v>
      </c>
      <c r="E190" s="8">
        <v>2.7699999999999999E-5</v>
      </c>
      <c r="F190">
        <v>13</v>
      </c>
      <c r="G190" t="s">
        <v>146</v>
      </c>
    </row>
    <row r="191" spans="1:7" hidden="1" x14ac:dyDescent="0.3">
      <c r="A191" t="s">
        <v>143</v>
      </c>
      <c r="B191" t="s">
        <v>85</v>
      </c>
      <c r="C191">
        <v>7.4999999999999997E-3</v>
      </c>
      <c r="D191">
        <v>4.4999999999999997E-3</v>
      </c>
      <c r="E191">
        <v>0</v>
      </c>
      <c r="F191">
        <v>13</v>
      </c>
      <c r="G191" t="s">
        <v>146</v>
      </c>
    </row>
    <row r="192" spans="1:7" hidden="1" x14ac:dyDescent="0.3">
      <c r="A192" t="s">
        <v>143</v>
      </c>
      <c r="B192" t="s">
        <v>86</v>
      </c>
      <c r="C192">
        <v>2.1299999999999999E-2</v>
      </c>
      <c r="D192">
        <v>1.29E-2</v>
      </c>
      <c r="E192">
        <v>1.4200000000000001E-2</v>
      </c>
      <c r="F192">
        <v>13</v>
      </c>
      <c r="G192" t="s">
        <v>146</v>
      </c>
    </row>
    <row r="193" spans="1:7" hidden="1" x14ac:dyDescent="0.3">
      <c r="A193" t="s">
        <v>143</v>
      </c>
      <c r="B193" t="s">
        <v>87</v>
      </c>
      <c r="C193">
        <v>0</v>
      </c>
      <c r="D193" s="8">
        <v>5.9999999999999995E-4</v>
      </c>
      <c r="E193">
        <v>0</v>
      </c>
      <c r="F193">
        <v>12</v>
      </c>
      <c r="G193" t="s">
        <v>146</v>
      </c>
    </row>
    <row r="194" spans="1:7" hidden="1" x14ac:dyDescent="0.3">
      <c r="A194" t="s">
        <v>143</v>
      </c>
      <c r="B194" t="s">
        <v>88</v>
      </c>
      <c r="C194">
        <v>1.9E-3</v>
      </c>
      <c r="D194">
        <v>1.2999999999999999E-3</v>
      </c>
      <c r="E194">
        <v>0</v>
      </c>
      <c r="F194">
        <v>13</v>
      </c>
      <c r="G194" t="s">
        <v>146</v>
      </c>
    </row>
    <row r="195" spans="1:7" hidden="1" x14ac:dyDescent="0.3">
      <c r="A195" t="s">
        <v>143</v>
      </c>
      <c r="B195" t="s">
        <v>89</v>
      </c>
      <c r="C195">
        <v>1.6899999999999998E-2</v>
      </c>
      <c r="D195">
        <v>1.95E-2</v>
      </c>
      <c r="E195">
        <v>7.6E-3</v>
      </c>
      <c r="F195">
        <v>13</v>
      </c>
      <c r="G195" t="s">
        <v>146</v>
      </c>
    </row>
    <row r="196" spans="1:7" hidden="1" x14ac:dyDescent="0.3">
      <c r="A196" t="s">
        <v>143</v>
      </c>
      <c r="B196" t="s">
        <v>90</v>
      </c>
      <c r="C196">
        <v>0</v>
      </c>
      <c r="D196">
        <v>0</v>
      </c>
      <c r="E196">
        <v>0</v>
      </c>
      <c r="F196">
        <v>12</v>
      </c>
      <c r="G196" t="s">
        <v>146</v>
      </c>
    </row>
    <row r="197" spans="1:7" hidden="1" x14ac:dyDescent="0.3">
      <c r="A197" t="s">
        <v>143</v>
      </c>
      <c r="B197" t="s">
        <v>91</v>
      </c>
      <c r="C197">
        <v>0</v>
      </c>
      <c r="D197" s="8">
        <v>4.0000000000000002E-4</v>
      </c>
      <c r="E197">
        <v>0</v>
      </c>
      <c r="F197">
        <v>12</v>
      </c>
      <c r="G197" t="s">
        <v>146</v>
      </c>
    </row>
    <row r="198" spans="1:7" hidden="1" x14ac:dyDescent="0.3">
      <c r="A198" t="s">
        <v>143</v>
      </c>
      <c r="B198" t="s">
        <v>92</v>
      </c>
      <c r="C198" s="8">
        <v>2.9999999999999997E-4</v>
      </c>
      <c r="D198" s="8">
        <v>2.9999999999999997E-4</v>
      </c>
      <c r="E198">
        <v>0</v>
      </c>
      <c r="F198">
        <v>13</v>
      </c>
      <c r="G198" t="s">
        <v>146</v>
      </c>
    </row>
    <row r="199" spans="1:7" hidden="1" x14ac:dyDescent="0.3">
      <c r="A199" t="s">
        <v>143</v>
      </c>
      <c r="B199" t="s">
        <v>93</v>
      </c>
      <c r="C199">
        <v>3.0000000000000001E-3</v>
      </c>
      <c r="D199">
        <v>1.8E-3</v>
      </c>
      <c r="E199">
        <v>0</v>
      </c>
      <c r="F199">
        <v>12</v>
      </c>
      <c r="G199" t="s">
        <v>146</v>
      </c>
    </row>
    <row r="200" spans="1:7" hidden="1" x14ac:dyDescent="0.3">
      <c r="A200" t="s">
        <v>143</v>
      </c>
      <c r="B200" t="s">
        <v>94</v>
      </c>
      <c r="C200" s="8">
        <v>6.9999999999999999E-4</v>
      </c>
      <c r="D200" s="8">
        <v>8.0000000000000004E-4</v>
      </c>
      <c r="E200">
        <v>0</v>
      </c>
      <c r="F200">
        <v>13</v>
      </c>
      <c r="G200" t="s">
        <v>146</v>
      </c>
    </row>
    <row r="201" spans="1:7" hidden="1" x14ac:dyDescent="0.3">
      <c r="A201" t="s">
        <v>143</v>
      </c>
      <c r="B201" t="s">
        <v>95</v>
      </c>
      <c r="C201">
        <v>1.2999999999999999E-3</v>
      </c>
      <c r="D201">
        <v>2.5000000000000001E-3</v>
      </c>
      <c r="E201">
        <v>0</v>
      </c>
      <c r="F201">
        <v>12</v>
      </c>
      <c r="G201" t="s">
        <v>146</v>
      </c>
    </row>
    <row r="202" spans="1:7" hidden="1" x14ac:dyDescent="0.3">
      <c r="A202" t="s">
        <v>143</v>
      </c>
      <c r="B202" t="s">
        <v>96</v>
      </c>
      <c r="C202">
        <v>1.84E-2</v>
      </c>
      <c r="D202">
        <v>2.4500000000000001E-2</v>
      </c>
      <c r="E202">
        <v>5.4000000000000003E-3</v>
      </c>
      <c r="F202">
        <v>13</v>
      </c>
      <c r="G202" t="s">
        <v>146</v>
      </c>
    </row>
    <row r="203" spans="1:7" hidden="1" x14ac:dyDescent="0.3">
      <c r="A203" t="s">
        <v>143</v>
      </c>
      <c r="B203" t="s">
        <v>97</v>
      </c>
      <c r="C203">
        <v>4.7999999999999996E-3</v>
      </c>
      <c r="D203">
        <v>9.5999999999999992E-3</v>
      </c>
      <c r="E203">
        <v>0</v>
      </c>
      <c r="F203">
        <v>12</v>
      </c>
      <c r="G203" t="s">
        <v>146</v>
      </c>
    </row>
    <row r="204" spans="1:7" hidden="1" x14ac:dyDescent="0.3">
      <c r="A204" t="s">
        <v>143</v>
      </c>
      <c r="B204" t="s">
        <v>97</v>
      </c>
      <c r="C204">
        <v>4.7999999999999996E-3</v>
      </c>
      <c r="D204">
        <v>9.5999999999999992E-3</v>
      </c>
      <c r="E204">
        <v>0</v>
      </c>
      <c r="F204">
        <v>12</v>
      </c>
      <c r="G204" t="s">
        <v>146</v>
      </c>
    </row>
    <row r="205" spans="1:7" hidden="1" x14ac:dyDescent="0.3">
      <c r="A205" t="s">
        <v>143</v>
      </c>
      <c r="B205" t="s">
        <v>98</v>
      </c>
      <c r="C205">
        <v>0</v>
      </c>
      <c r="D205">
        <v>0</v>
      </c>
      <c r="E205">
        <v>0</v>
      </c>
      <c r="F205">
        <v>12</v>
      </c>
      <c r="G205" t="s">
        <v>146</v>
      </c>
    </row>
    <row r="206" spans="1:7" hidden="1" x14ac:dyDescent="0.3">
      <c r="A206" t="s">
        <v>143</v>
      </c>
      <c r="B206" t="s">
        <v>99</v>
      </c>
      <c r="C206" s="8">
        <v>5.9999999999999995E-4</v>
      </c>
      <c r="D206" s="8">
        <v>2.9999999999999997E-4</v>
      </c>
      <c r="E206">
        <v>0</v>
      </c>
      <c r="F206">
        <v>12</v>
      </c>
      <c r="G206" t="s">
        <v>146</v>
      </c>
    </row>
    <row r="207" spans="1:7" hidden="1" x14ac:dyDescent="0.3">
      <c r="A207" t="s">
        <v>143</v>
      </c>
      <c r="B207" t="s">
        <v>100</v>
      </c>
      <c r="C207">
        <v>4.41E-2</v>
      </c>
      <c r="D207">
        <v>4.2099999999999999E-2</v>
      </c>
      <c r="E207">
        <v>1.17E-2</v>
      </c>
      <c r="F207">
        <v>13</v>
      </c>
      <c r="G207" t="s">
        <v>146</v>
      </c>
    </row>
    <row r="208" spans="1:7" hidden="1" x14ac:dyDescent="0.3">
      <c r="A208" t="s">
        <v>143</v>
      </c>
      <c r="B208" t="s">
        <v>101</v>
      </c>
      <c r="C208">
        <v>2.3400000000000001E-2</v>
      </c>
      <c r="D208">
        <v>2.0799999999999999E-2</v>
      </c>
      <c r="E208">
        <v>1.11E-2</v>
      </c>
      <c r="F208">
        <v>13</v>
      </c>
      <c r="G208" t="s">
        <v>146</v>
      </c>
    </row>
    <row r="209" spans="1:7" hidden="1" x14ac:dyDescent="0.3">
      <c r="A209" t="s">
        <v>144</v>
      </c>
      <c r="B209" t="s">
        <v>75</v>
      </c>
      <c r="C209">
        <v>0.15690000000000001</v>
      </c>
      <c r="D209">
        <v>0.1482</v>
      </c>
      <c r="E209">
        <v>0.1033</v>
      </c>
      <c r="F209">
        <v>13</v>
      </c>
      <c r="G209" t="s">
        <v>146</v>
      </c>
    </row>
    <row r="210" spans="1:7" hidden="1" x14ac:dyDescent="0.3">
      <c r="A210" t="s">
        <v>144</v>
      </c>
      <c r="B210" t="s">
        <v>76</v>
      </c>
      <c r="C210">
        <v>0.1681</v>
      </c>
      <c r="D210">
        <v>0.1613</v>
      </c>
      <c r="E210">
        <v>0.1033</v>
      </c>
      <c r="F210">
        <v>13</v>
      </c>
      <c r="G210" t="s">
        <v>146</v>
      </c>
    </row>
    <row r="211" spans="1:7" hidden="1" x14ac:dyDescent="0.3">
      <c r="A211" t="s">
        <v>144</v>
      </c>
      <c r="B211" t="s">
        <v>77</v>
      </c>
      <c r="C211">
        <v>6.6600000000000006E-2</v>
      </c>
      <c r="D211">
        <v>5.8200000000000002E-2</v>
      </c>
      <c r="E211">
        <v>8.5400000000000004E-2</v>
      </c>
      <c r="F211">
        <v>12</v>
      </c>
      <c r="G211" t="s">
        <v>146</v>
      </c>
    </row>
    <row r="212" spans="1:7" hidden="1" x14ac:dyDescent="0.3">
      <c r="A212" t="s">
        <v>144</v>
      </c>
      <c r="B212" t="s">
        <v>78</v>
      </c>
      <c r="C212">
        <v>9.8299999999999998E-2</v>
      </c>
      <c r="D212">
        <v>9.7500000000000003E-2</v>
      </c>
      <c r="E212">
        <v>8.5400000000000004E-2</v>
      </c>
      <c r="F212">
        <v>12</v>
      </c>
      <c r="G212" t="s">
        <v>146</v>
      </c>
    </row>
    <row r="213" spans="1:7" hidden="1" x14ac:dyDescent="0.3">
      <c r="A213" t="s">
        <v>144</v>
      </c>
      <c r="B213" t="s">
        <v>79</v>
      </c>
      <c r="C213">
        <v>0.48370000000000002</v>
      </c>
      <c r="D213">
        <v>0.46899999999999997</v>
      </c>
      <c r="E213">
        <v>0.47039999999999998</v>
      </c>
      <c r="F213">
        <v>12</v>
      </c>
      <c r="G213" t="s">
        <v>146</v>
      </c>
    </row>
    <row r="214" spans="1:7" hidden="1" x14ac:dyDescent="0.3">
      <c r="A214" t="s">
        <v>144</v>
      </c>
      <c r="B214" t="s">
        <v>80</v>
      </c>
      <c r="C214">
        <v>7.4300000000000005E-2</v>
      </c>
      <c r="D214">
        <v>6.9400000000000003E-2</v>
      </c>
      <c r="E214">
        <v>8.5400000000000004E-2</v>
      </c>
      <c r="F214">
        <v>12</v>
      </c>
      <c r="G214" t="s">
        <v>146</v>
      </c>
    </row>
    <row r="215" spans="1:7" hidden="1" x14ac:dyDescent="0.3">
      <c r="A215" t="s">
        <v>144</v>
      </c>
      <c r="B215" t="s">
        <v>81</v>
      </c>
      <c r="C215">
        <v>0.20250000000000001</v>
      </c>
      <c r="D215">
        <v>0.1913</v>
      </c>
      <c r="E215">
        <v>9.8100000000000007E-2</v>
      </c>
      <c r="F215">
        <v>13</v>
      </c>
      <c r="G215" t="s">
        <v>146</v>
      </c>
    </row>
    <row r="216" spans="1:7" hidden="1" x14ac:dyDescent="0.3">
      <c r="A216" t="s">
        <v>144</v>
      </c>
      <c r="B216" t="s">
        <v>82</v>
      </c>
      <c r="C216">
        <v>8.2699999999999996E-2</v>
      </c>
      <c r="D216">
        <v>6.8900000000000003E-2</v>
      </c>
      <c r="E216">
        <v>8.5400000000000004E-2</v>
      </c>
      <c r="F216">
        <v>12</v>
      </c>
      <c r="G216" t="s">
        <v>146</v>
      </c>
    </row>
    <row r="217" spans="1:7" hidden="1" x14ac:dyDescent="0.3">
      <c r="A217" t="s">
        <v>144</v>
      </c>
      <c r="B217" t="s">
        <v>83</v>
      </c>
      <c r="C217">
        <v>0.1898</v>
      </c>
      <c r="D217">
        <v>0.18629999999999999</v>
      </c>
      <c r="E217">
        <v>8.6699999999999999E-2</v>
      </c>
      <c r="F217">
        <v>13</v>
      </c>
      <c r="G217" t="s">
        <v>146</v>
      </c>
    </row>
    <row r="218" spans="1:7" hidden="1" x14ac:dyDescent="0.3">
      <c r="A218" t="s">
        <v>144</v>
      </c>
      <c r="B218" t="s">
        <v>84</v>
      </c>
      <c r="C218">
        <v>0.1618</v>
      </c>
      <c r="D218">
        <v>0.1515</v>
      </c>
      <c r="E218">
        <v>8.6900000000000005E-2</v>
      </c>
      <c r="F218">
        <v>13</v>
      </c>
      <c r="G218" t="s">
        <v>146</v>
      </c>
    </row>
    <row r="219" spans="1:7" hidden="1" x14ac:dyDescent="0.3">
      <c r="A219" t="s">
        <v>144</v>
      </c>
      <c r="B219" t="s">
        <v>85</v>
      </c>
      <c r="C219">
        <v>0.1295</v>
      </c>
      <c r="D219">
        <v>0.12820000000000001</v>
      </c>
      <c r="E219">
        <v>0.1191</v>
      </c>
      <c r="F219">
        <v>13</v>
      </c>
      <c r="G219" t="s">
        <v>146</v>
      </c>
    </row>
    <row r="220" spans="1:7" hidden="1" x14ac:dyDescent="0.3">
      <c r="A220" t="s">
        <v>144</v>
      </c>
      <c r="B220" t="s">
        <v>86</v>
      </c>
      <c r="C220">
        <v>0.1608</v>
      </c>
      <c r="D220">
        <v>0.15620000000000001</v>
      </c>
      <c r="E220">
        <v>0.16239999999999999</v>
      </c>
      <c r="F220">
        <v>13</v>
      </c>
      <c r="G220" t="s">
        <v>146</v>
      </c>
    </row>
    <row r="221" spans="1:7" hidden="1" x14ac:dyDescent="0.3">
      <c r="A221" t="s">
        <v>144</v>
      </c>
      <c r="B221" t="s">
        <v>87</v>
      </c>
      <c r="C221">
        <v>5.7700000000000001E-2</v>
      </c>
      <c r="D221">
        <v>5.5300000000000002E-2</v>
      </c>
      <c r="E221">
        <v>8.5400000000000004E-2</v>
      </c>
      <c r="F221">
        <v>12</v>
      </c>
      <c r="G221" t="s">
        <v>146</v>
      </c>
    </row>
    <row r="222" spans="1:7" hidden="1" x14ac:dyDescent="0.3">
      <c r="A222" t="s">
        <v>144</v>
      </c>
      <c r="B222" t="s">
        <v>88</v>
      </c>
      <c r="C222">
        <v>0.28310000000000002</v>
      </c>
      <c r="D222">
        <v>0.27039999999999997</v>
      </c>
      <c r="E222">
        <v>0.10539999999999999</v>
      </c>
      <c r="F222">
        <v>13</v>
      </c>
      <c r="G222" t="s">
        <v>146</v>
      </c>
    </row>
    <row r="223" spans="1:7" hidden="1" x14ac:dyDescent="0.3">
      <c r="A223" t="s">
        <v>144</v>
      </c>
      <c r="B223" t="s">
        <v>89</v>
      </c>
      <c r="C223">
        <v>0.1245</v>
      </c>
      <c r="D223">
        <v>0.1173</v>
      </c>
      <c r="E223">
        <v>9.2499999999999999E-2</v>
      </c>
      <c r="F223">
        <v>13</v>
      </c>
      <c r="G223" t="s">
        <v>146</v>
      </c>
    </row>
    <row r="224" spans="1:7" hidden="1" x14ac:dyDescent="0.3">
      <c r="A224" t="s">
        <v>144</v>
      </c>
      <c r="B224" t="s">
        <v>90</v>
      </c>
      <c r="C224">
        <v>0.15690000000000001</v>
      </c>
      <c r="D224">
        <v>0.14849999999999999</v>
      </c>
      <c r="E224">
        <v>8.5400000000000004E-2</v>
      </c>
      <c r="F224">
        <v>12</v>
      </c>
      <c r="G224" t="s">
        <v>146</v>
      </c>
    </row>
    <row r="225" spans="1:13" hidden="1" x14ac:dyDescent="0.3">
      <c r="A225" t="s">
        <v>144</v>
      </c>
      <c r="B225" t="s">
        <v>91</v>
      </c>
      <c r="C225">
        <v>7.7200000000000005E-2</v>
      </c>
      <c r="D225">
        <v>6.3200000000000006E-2</v>
      </c>
      <c r="E225">
        <v>8.5400000000000004E-2</v>
      </c>
      <c r="F225">
        <v>12</v>
      </c>
      <c r="G225" t="s">
        <v>146</v>
      </c>
    </row>
    <row r="226" spans="1:13" hidden="1" x14ac:dyDescent="0.3">
      <c r="A226" t="s">
        <v>144</v>
      </c>
      <c r="B226" t="s">
        <v>92</v>
      </c>
      <c r="C226">
        <v>0.33489999999999998</v>
      </c>
      <c r="D226">
        <v>0.31190000000000001</v>
      </c>
      <c r="E226">
        <v>0.1298</v>
      </c>
      <c r="F226">
        <v>13</v>
      </c>
      <c r="G226" t="s">
        <v>146</v>
      </c>
    </row>
    <row r="227" spans="1:13" hidden="1" x14ac:dyDescent="0.3">
      <c r="A227" t="s">
        <v>144</v>
      </c>
      <c r="B227" t="s">
        <v>93</v>
      </c>
      <c r="C227">
        <v>0.51829999999999998</v>
      </c>
      <c r="D227">
        <v>0.48849999999999999</v>
      </c>
      <c r="E227">
        <v>0.4894</v>
      </c>
      <c r="F227">
        <v>12</v>
      </c>
      <c r="G227" t="s">
        <v>146</v>
      </c>
    </row>
    <row r="228" spans="1:13" hidden="1" x14ac:dyDescent="0.3">
      <c r="A228" t="s">
        <v>144</v>
      </c>
      <c r="B228" t="s">
        <v>94</v>
      </c>
      <c r="C228">
        <v>0.4037</v>
      </c>
      <c r="D228">
        <v>0.4098</v>
      </c>
      <c r="E228">
        <v>0.12180000000000001</v>
      </c>
      <c r="F228">
        <v>13</v>
      </c>
      <c r="G228" t="s">
        <v>146</v>
      </c>
    </row>
    <row r="229" spans="1:13" hidden="1" x14ac:dyDescent="0.3">
      <c r="A229" t="s">
        <v>144</v>
      </c>
      <c r="B229" t="s">
        <v>95</v>
      </c>
      <c r="C229">
        <v>6.7799999999999999E-2</v>
      </c>
      <c r="D229">
        <v>6.6000000000000003E-2</v>
      </c>
      <c r="E229">
        <v>8.5400000000000004E-2</v>
      </c>
      <c r="F229">
        <v>12</v>
      </c>
      <c r="G229" t="s">
        <v>146</v>
      </c>
    </row>
    <row r="230" spans="1:13" hidden="1" x14ac:dyDescent="0.3">
      <c r="A230" t="s">
        <v>144</v>
      </c>
      <c r="B230" t="s">
        <v>96</v>
      </c>
      <c r="C230">
        <v>0.2359</v>
      </c>
      <c r="D230">
        <v>0.23250000000000001</v>
      </c>
      <c r="E230">
        <v>8.4900000000000003E-2</v>
      </c>
      <c r="F230">
        <v>13</v>
      </c>
      <c r="G230" t="s">
        <v>146</v>
      </c>
    </row>
    <row r="231" spans="1:13" hidden="1" x14ac:dyDescent="0.3">
      <c r="A231" t="s">
        <v>144</v>
      </c>
      <c r="B231" t="s">
        <v>97</v>
      </c>
      <c r="C231">
        <v>5.3800000000000001E-2</v>
      </c>
      <c r="D231">
        <v>4.7399999999999998E-2</v>
      </c>
      <c r="E231">
        <v>8.5400000000000004E-2</v>
      </c>
      <c r="F231">
        <v>12</v>
      </c>
      <c r="G231" t="s">
        <v>146</v>
      </c>
    </row>
    <row r="232" spans="1:13" hidden="1" x14ac:dyDescent="0.3">
      <c r="A232" t="s">
        <v>144</v>
      </c>
      <c r="B232" t="s">
        <v>97</v>
      </c>
      <c r="C232">
        <v>5.3800000000000001E-2</v>
      </c>
      <c r="D232">
        <v>4.7399999999999998E-2</v>
      </c>
      <c r="E232">
        <v>8.5400000000000004E-2</v>
      </c>
      <c r="F232">
        <v>12</v>
      </c>
      <c r="G232" t="s">
        <v>146</v>
      </c>
    </row>
    <row r="233" spans="1:13" hidden="1" x14ac:dyDescent="0.3">
      <c r="A233" t="s">
        <v>144</v>
      </c>
      <c r="B233" t="s">
        <v>98</v>
      </c>
      <c r="C233">
        <v>3.32E-2</v>
      </c>
      <c r="D233">
        <v>3.15E-2</v>
      </c>
      <c r="E233">
        <v>8.5400000000000004E-2</v>
      </c>
      <c r="F233">
        <v>12</v>
      </c>
      <c r="G233" t="s">
        <v>146</v>
      </c>
    </row>
    <row r="234" spans="1:13" hidden="1" x14ac:dyDescent="0.3">
      <c r="A234" t="s">
        <v>144</v>
      </c>
      <c r="B234" t="s">
        <v>99</v>
      </c>
      <c r="C234">
        <v>2.4500000000000001E-2</v>
      </c>
      <c r="D234">
        <v>2.4E-2</v>
      </c>
      <c r="E234">
        <v>8.5400000000000004E-2</v>
      </c>
      <c r="F234">
        <v>12</v>
      </c>
      <c r="G234" t="s">
        <v>146</v>
      </c>
    </row>
    <row r="235" spans="1:13" hidden="1" x14ac:dyDescent="0.3">
      <c r="A235" t="s">
        <v>144</v>
      </c>
      <c r="B235" t="s">
        <v>100</v>
      </c>
      <c r="C235">
        <v>0.21240000000000001</v>
      </c>
      <c r="D235">
        <v>0.20250000000000001</v>
      </c>
      <c r="E235">
        <v>9.8699999999999996E-2</v>
      </c>
      <c r="F235">
        <v>13</v>
      </c>
      <c r="G235" t="s">
        <v>146</v>
      </c>
    </row>
    <row r="236" spans="1:13" hidden="1" x14ac:dyDescent="0.3">
      <c r="A236" t="s">
        <v>144</v>
      </c>
      <c r="B236" t="s">
        <v>101</v>
      </c>
      <c r="C236">
        <v>6.1100000000000002E-2</v>
      </c>
      <c r="D236">
        <v>5.91E-2</v>
      </c>
      <c r="E236">
        <v>4.4400000000000002E-2</v>
      </c>
      <c r="F236">
        <v>13</v>
      </c>
      <c r="G236" t="s">
        <v>146</v>
      </c>
    </row>
    <row r="239" spans="1:13" s="5" customFormat="1" x14ac:dyDescent="0.3">
      <c r="A239" s="5" t="s">
        <v>147</v>
      </c>
    </row>
    <row r="240" spans="1:13" x14ac:dyDescent="0.3">
      <c r="A240" t="s">
        <v>145</v>
      </c>
      <c r="B240" t="s">
        <v>116</v>
      </c>
      <c r="C240">
        <v>2015</v>
      </c>
      <c r="D240">
        <v>2020</v>
      </c>
      <c r="E240">
        <v>2050</v>
      </c>
      <c r="F240" t="s">
        <v>103</v>
      </c>
      <c r="H240" t="s">
        <v>116</v>
      </c>
      <c r="I240" t="s">
        <v>145</v>
      </c>
      <c r="J240">
        <v>2015</v>
      </c>
      <c r="K240">
        <v>2020</v>
      </c>
      <c r="L240">
        <v>2050</v>
      </c>
      <c r="M240" t="s">
        <v>109</v>
      </c>
    </row>
    <row r="241" spans="1:13" x14ac:dyDescent="0.3">
      <c r="A241">
        <v>12</v>
      </c>
      <c r="B241" t="s">
        <v>140</v>
      </c>
      <c r="C241">
        <v>7.1471428571428602E-2</v>
      </c>
      <c r="D241">
        <v>7.2092857142857097E-2</v>
      </c>
      <c r="E241">
        <v>7.0849999999999996E-2</v>
      </c>
      <c r="F241" t="s">
        <v>150</v>
      </c>
      <c r="H241" t="s">
        <v>144</v>
      </c>
      <c r="I241">
        <v>12</v>
      </c>
      <c r="J241">
        <v>26465.102519799999</v>
      </c>
      <c r="K241">
        <v>25082.175322700001</v>
      </c>
      <c r="L241">
        <v>30046.097194000002</v>
      </c>
      <c r="M241" s="39" t="s">
        <v>188</v>
      </c>
    </row>
    <row r="242" spans="1:13" x14ac:dyDescent="0.3">
      <c r="A242">
        <v>12</v>
      </c>
      <c r="B242" t="s">
        <v>143</v>
      </c>
      <c r="C242">
        <v>2.2428571428571402E-3</v>
      </c>
      <c r="D242">
        <v>3.0999999999999999E-3</v>
      </c>
      <c r="E242">
        <v>0</v>
      </c>
      <c r="F242" t="s">
        <v>150</v>
      </c>
      <c r="H242" t="s">
        <v>144</v>
      </c>
      <c r="I242">
        <v>13</v>
      </c>
      <c r="J242">
        <v>50618.2001771</v>
      </c>
      <c r="K242">
        <v>48798.193477200002</v>
      </c>
      <c r="L242">
        <v>20356.115123200001</v>
      </c>
      <c r="M242" s="39" t="s">
        <v>188</v>
      </c>
    </row>
    <row r="243" spans="1:13" x14ac:dyDescent="0.3">
      <c r="A243">
        <v>12</v>
      </c>
      <c r="B243" s="10" t="s">
        <v>144</v>
      </c>
      <c r="C243" s="10">
        <v>0.13205714285714301</v>
      </c>
      <c r="D243" s="10">
        <v>0.123914285714286</v>
      </c>
      <c r="E243" s="10">
        <v>0.141757142857143</v>
      </c>
      <c r="F243" t="s">
        <v>150</v>
      </c>
      <c r="H243" t="s">
        <v>186</v>
      </c>
      <c r="I243">
        <v>12</v>
      </c>
      <c r="J243">
        <v>145263.63542400001</v>
      </c>
      <c r="K243">
        <v>155496.28096800001</v>
      </c>
      <c r="L243">
        <v>181455.60719000001</v>
      </c>
      <c r="M243" s="39" t="s">
        <v>188</v>
      </c>
    </row>
    <row r="244" spans="1:13" x14ac:dyDescent="0.3">
      <c r="A244">
        <v>12</v>
      </c>
      <c r="B244" t="s">
        <v>142</v>
      </c>
      <c r="C244">
        <v>0.74164285714285705</v>
      </c>
      <c r="D244">
        <v>0.751142857142857</v>
      </c>
      <c r="E244">
        <v>0.69492142857142902</v>
      </c>
      <c r="F244" t="s">
        <v>150</v>
      </c>
      <c r="H244" t="s">
        <v>186</v>
      </c>
      <c r="I244">
        <v>13</v>
      </c>
      <c r="J244">
        <v>229105.25013999999</v>
      </c>
      <c r="K244">
        <v>231963.82196</v>
      </c>
      <c r="L244">
        <v>183841.65023999999</v>
      </c>
      <c r="M244" s="39" t="s">
        <v>188</v>
      </c>
    </row>
    <row r="245" spans="1:13" x14ac:dyDescent="0.3">
      <c r="A245">
        <v>12</v>
      </c>
      <c r="B245" t="s">
        <v>141</v>
      </c>
      <c r="C245">
        <v>5.2549999999999999E-2</v>
      </c>
      <c r="D245">
        <v>4.9750000000000003E-2</v>
      </c>
      <c r="E245">
        <v>9.2471428571428593E-2</v>
      </c>
      <c r="F245" t="s">
        <v>150</v>
      </c>
      <c r="M245" s="40"/>
    </row>
    <row r="246" spans="1:13" x14ac:dyDescent="0.3">
      <c r="A246">
        <v>13</v>
      </c>
      <c r="B246" t="s">
        <v>140</v>
      </c>
      <c r="C246">
        <v>4.7592857142857103E-2</v>
      </c>
      <c r="D246">
        <v>4.7857142857142897E-2</v>
      </c>
      <c r="E246">
        <v>8.7585714285714295E-2</v>
      </c>
      <c r="F246" t="s">
        <v>150</v>
      </c>
      <c r="H246" t="s">
        <v>441</v>
      </c>
    </row>
    <row r="247" spans="1:13" x14ac:dyDescent="0.3">
      <c r="A247">
        <v>13</v>
      </c>
      <c r="B247" t="s">
        <v>143</v>
      </c>
      <c r="C247">
        <v>1.21E-2</v>
      </c>
      <c r="D247">
        <v>1.1650000000000001E-2</v>
      </c>
      <c r="E247">
        <v>3.9591214285714304E-3</v>
      </c>
      <c r="F247" t="s">
        <v>150</v>
      </c>
      <c r="H247" t="s">
        <v>187</v>
      </c>
      <c r="I247">
        <v>12</v>
      </c>
      <c r="L247">
        <f>(L241-J241)/J241 * 0.5</f>
        <v>6.7655031215557618E-2</v>
      </c>
    </row>
    <row r="248" spans="1:13" x14ac:dyDescent="0.3">
      <c r="A248">
        <v>13</v>
      </c>
      <c r="B248" s="10" t="s">
        <v>144</v>
      </c>
      <c r="C248" s="10">
        <v>0.20178571428571401</v>
      </c>
      <c r="D248" s="10">
        <v>0.19475000000000001</v>
      </c>
      <c r="E248" s="10">
        <v>0.102664285714286</v>
      </c>
      <c r="F248" t="s">
        <v>150</v>
      </c>
      <c r="H248" t="s">
        <v>187</v>
      </c>
      <c r="I248">
        <v>13</v>
      </c>
      <c r="L248">
        <f>(L242-J242)/J242 * 0.5</f>
        <v>-0.29892494150345905</v>
      </c>
    </row>
    <row r="249" spans="1:13" x14ac:dyDescent="0.3">
      <c r="A249">
        <v>13</v>
      </c>
      <c r="B249" t="s">
        <v>142</v>
      </c>
      <c r="C249">
        <v>0.676878571428571</v>
      </c>
      <c r="D249">
        <v>0.68233571428571405</v>
      </c>
      <c r="E249">
        <v>0.66785000000000005</v>
      </c>
      <c r="F249" t="s">
        <v>150</v>
      </c>
    </row>
    <row r="250" spans="1:13" x14ac:dyDescent="0.3">
      <c r="A250">
        <v>13</v>
      </c>
      <c r="B250" t="s">
        <v>141</v>
      </c>
      <c r="C250">
        <v>6.1621428571428598E-2</v>
      </c>
      <c r="D250">
        <v>6.3399999999999998E-2</v>
      </c>
      <c r="E250">
        <v>0.13797142857142899</v>
      </c>
      <c r="F250" t="s">
        <v>150</v>
      </c>
    </row>
    <row r="253" spans="1:13" s="5" customFormat="1" x14ac:dyDescent="0.3">
      <c r="A253" s="5" t="s">
        <v>148</v>
      </c>
    </row>
    <row r="254" spans="1:13" x14ac:dyDescent="0.3">
      <c r="A254" t="s">
        <v>145</v>
      </c>
      <c r="B254" t="s">
        <v>116</v>
      </c>
      <c r="C254" t="s">
        <v>71</v>
      </c>
      <c r="D254" t="s">
        <v>149</v>
      </c>
      <c r="E254" t="s">
        <v>103</v>
      </c>
    </row>
    <row r="255" spans="1:13" x14ac:dyDescent="0.3">
      <c r="A255">
        <v>12</v>
      </c>
      <c r="B255" t="s">
        <v>140</v>
      </c>
      <c r="C255">
        <v>2015</v>
      </c>
      <c r="D255">
        <v>8.2349165068679203E-2</v>
      </c>
      <c r="E255" t="s">
        <v>150</v>
      </c>
    </row>
    <row r="256" spans="1:13" x14ac:dyDescent="0.3">
      <c r="A256">
        <v>12</v>
      </c>
      <c r="B256" t="s">
        <v>143</v>
      </c>
      <c r="C256">
        <v>2015</v>
      </c>
      <c r="D256">
        <v>2.5842132552034002E-3</v>
      </c>
      <c r="E256" t="s">
        <v>150</v>
      </c>
    </row>
    <row r="257" spans="1:5" x14ac:dyDescent="0.3">
      <c r="A257">
        <v>12</v>
      </c>
      <c r="B257" t="s">
        <v>142</v>
      </c>
      <c r="C257">
        <v>2015</v>
      </c>
      <c r="D257">
        <v>0.85451866970627199</v>
      </c>
      <c r="E257" t="s">
        <v>150</v>
      </c>
    </row>
    <row r="258" spans="1:5" x14ac:dyDescent="0.3">
      <c r="A258">
        <v>12</v>
      </c>
      <c r="B258" t="s">
        <v>141</v>
      </c>
      <c r="C258">
        <v>2015</v>
      </c>
      <c r="D258">
        <v>6.0547951969845401E-2</v>
      </c>
      <c r="E258" t="s">
        <v>150</v>
      </c>
    </row>
    <row r="259" spans="1:5" x14ac:dyDescent="0.3">
      <c r="A259">
        <v>12</v>
      </c>
      <c r="B259" t="s">
        <v>140</v>
      </c>
      <c r="C259">
        <v>2020</v>
      </c>
      <c r="D259">
        <v>8.22897302938395E-2</v>
      </c>
      <c r="E259" t="s">
        <v>150</v>
      </c>
    </row>
    <row r="260" spans="1:5" x14ac:dyDescent="0.3">
      <c r="A260">
        <v>12</v>
      </c>
      <c r="B260" t="s">
        <v>143</v>
      </c>
      <c r="C260">
        <v>2020</v>
      </c>
      <c r="D260">
        <v>3.5384665557838401E-3</v>
      </c>
      <c r="E260" t="s">
        <v>150</v>
      </c>
    </row>
    <row r="261" spans="1:5" x14ac:dyDescent="0.3">
      <c r="A261">
        <v>12</v>
      </c>
      <c r="B261" t="s">
        <v>142</v>
      </c>
      <c r="C261">
        <v>2020</v>
      </c>
      <c r="D261">
        <v>0.85738512213416795</v>
      </c>
      <c r="E261" t="s">
        <v>150</v>
      </c>
    </row>
    <row r="262" spans="1:5" x14ac:dyDescent="0.3">
      <c r="A262">
        <v>12</v>
      </c>
      <c r="B262" t="s">
        <v>141</v>
      </c>
      <c r="C262">
        <v>2020</v>
      </c>
      <c r="D262">
        <v>5.6786681016208498E-2</v>
      </c>
      <c r="E262" t="s">
        <v>150</v>
      </c>
    </row>
    <row r="263" spans="1:5" x14ac:dyDescent="0.3">
      <c r="A263">
        <v>12</v>
      </c>
      <c r="B263" t="s">
        <v>140</v>
      </c>
      <c r="C263">
        <v>2050</v>
      </c>
      <c r="D263">
        <v>8.2552391098090802E-2</v>
      </c>
      <c r="E263" t="s">
        <v>150</v>
      </c>
    </row>
    <row r="264" spans="1:5" x14ac:dyDescent="0.3">
      <c r="A264">
        <v>12</v>
      </c>
      <c r="B264" t="s">
        <v>143</v>
      </c>
      <c r="C264">
        <v>2050</v>
      </c>
      <c r="D264">
        <v>0</v>
      </c>
      <c r="E264" t="s">
        <v>150</v>
      </c>
    </row>
    <row r="265" spans="1:5" x14ac:dyDescent="0.3">
      <c r="A265">
        <v>12</v>
      </c>
      <c r="B265" t="s">
        <v>142</v>
      </c>
      <c r="C265">
        <v>2050</v>
      </c>
      <c r="D265">
        <v>0.80970254839622502</v>
      </c>
      <c r="E265" t="s">
        <v>150</v>
      </c>
    </row>
    <row r="266" spans="1:5" x14ac:dyDescent="0.3">
      <c r="A266">
        <v>12</v>
      </c>
      <c r="B266" t="s">
        <v>141</v>
      </c>
      <c r="C266">
        <v>2050</v>
      </c>
      <c r="D266">
        <v>0.107745060505684</v>
      </c>
      <c r="E266" t="s">
        <v>150</v>
      </c>
    </row>
    <row r="267" spans="1:5" x14ac:dyDescent="0.3">
      <c r="A267">
        <v>13</v>
      </c>
      <c r="B267" t="s">
        <v>140</v>
      </c>
      <c r="C267">
        <v>2015</v>
      </c>
      <c r="D267">
        <v>5.96257617654165E-2</v>
      </c>
      <c r="E267" t="s">
        <v>150</v>
      </c>
    </row>
    <row r="268" spans="1:5" x14ac:dyDescent="0.3">
      <c r="A268">
        <v>13</v>
      </c>
      <c r="B268" t="s">
        <v>143</v>
      </c>
      <c r="C268">
        <v>2015</v>
      </c>
      <c r="D268">
        <v>1.5159243648599101E-2</v>
      </c>
      <c r="E268" t="s">
        <v>150</v>
      </c>
    </row>
    <row r="269" spans="1:5" x14ac:dyDescent="0.3">
      <c r="A269">
        <v>13</v>
      </c>
      <c r="B269" t="s">
        <v>142</v>
      </c>
      <c r="C269">
        <v>2015</v>
      </c>
      <c r="D269">
        <v>0.84801381692573397</v>
      </c>
      <c r="E269" t="s">
        <v>150</v>
      </c>
    </row>
    <row r="270" spans="1:5" x14ac:dyDescent="0.3">
      <c r="A270">
        <v>13</v>
      </c>
      <c r="B270" t="s">
        <v>141</v>
      </c>
      <c r="C270">
        <v>2015</v>
      </c>
      <c r="D270">
        <v>7.7201177660250406E-2</v>
      </c>
      <c r="E270" t="s">
        <v>150</v>
      </c>
    </row>
    <row r="271" spans="1:5" x14ac:dyDescent="0.3">
      <c r="A271">
        <v>13</v>
      </c>
      <c r="B271" t="s">
        <v>140</v>
      </c>
      <c r="C271">
        <v>2020</v>
      </c>
      <c r="D271">
        <v>5.9431937126332803E-2</v>
      </c>
      <c r="E271" t="s">
        <v>150</v>
      </c>
    </row>
    <row r="272" spans="1:5" x14ac:dyDescent="0.3">
      <c r="A272">
        <v>13</v>
      </c>
      <c r="B272" t="s">
        <v>143</v>
      </c>
      <c r="C272">
        <v>2020</v>
      </c>
      <c r="D272">
        <v>1.44676849929924E-2</v>
      </c>
      <c r="E272" t="s">
        <v>150</v>
      </c>
    </row>
    <row r="273" spans="1:17" x14ac:dyDescent="0.3">
      <c r="A273">
        <v>13</v>
      </c>
      <c r="B273" t="s">
        <v>142</v>
      </c>
      <c r="C273">
        <v>2020</v>
      </c>
      <c r="D273">
        <v>0.84736636684584998</v>
      </c>
      <c r="E273" t="s">
        <v>150</v>
      </c>
    </row>
    <row r="274" spans="1:17" x14ac:dyDescent="0.3">
      <c r="A274">
        <v>13</v>
      </c>
      <c r="B274" t="s">
        <v>141</v>
      </c>
      <c r="C274">
        <v>2020</v>
      </c>
      <c r="D274">
        <v>7.8734011034825302E-2</v>
      </c>
      <c r="E274" t="s">
        <v>150</v>
      </c>
    </row>
    <row r="275" spans="1:17" x14ac:dyDescent="0.3">
      <c r="A275">
        <v>13</v>
      </c>
      <c r="B275" t="s">
        <v>140</v>
      </c>
      <c r="C275">
        <v>2050</v>
      </c>
      <c r="D275">
        <v>9.76030833468325E-2</v>
      </c>
      <c r="E275" t="s">
        <v>150</v>
      </c>
    </row>
    <row r="276" spans="1:17" x14ac:dyDescent="0.3">
      <c r="A276">
        <v>13</v>
      </c>
      <c r="B276" t="s">
        <v>143</v>
      </c>
      <c r="C276">
        <v>2050</v>
      </c>
      <c r="D276">
        <v>4.4119347764012603E-3</v>
      </c>
      <c r="E276" t="s">
        <v>150</v>
      </c>
    </row>
    <row r="277" spans="1:17" x14ac:dyDescent="0.3">
      <c r="A277">
        <v>13</v>
      </c>
      <c r="B277" t="s">
        <v>142</v>
      </c>
      <c r="C277">
        <v>2050</v>
      </c>
      <c r="D277">
        <v>0.74423346027120296</v>
      </c>
      <c r="E277" t="s">
        <v>150</v>
      </c>
    </row>
    <row r="278" spans="1:17" x14ac:dyDescent="0.3">
      <c r="A278">
        <v>13</v>
      </c>
      <c r="B278" t="s">
        <v>141</v>
      </c>
      <c r="C278">
        <v>2050</v>
      </c>
      <c r="D278">
        <v>0.15375152160556299</v>
      </c>
      <c r="E278" t="s">
        <v>150</v>
      </c>
    </row>
    <row r="281" spans="1:17" s="5" customFormat="1" x14ac:dyDescent="0.3">
      <c r="A281" s="5" t="s">
        <v>195</v>
      </c>
    </row>
    <row r="283" spans="1:17" x14ac:dyDescent="0.3">
      <c r="A283" s="12" t="s">
        <v>151</v>
      </c>
      <c r="B283">
        <v>2015</v>
      </c>
      <c r="C283">
        <v>2020</v>
      </c>
      <c r="D283">
        <v>2050</v>
      </c>
      <c r="E283" s="64" t="s">
        <v>189</v>
      </c>
      <c r="F283" s="64"/>
      <c r="G283" s="65" t="s">
        <v>181</v>
      </c>
      <c r="H283" s="65"/>
      <c r="J283">
        <v>2015</v>
      </c>
      <c r="K283">
        <v>2020</v>
      </c>
      <c r="L283">
        <v>2025</v>
      </c>
      <c r="M283">
        <v>2030</v>
      </c>
      <c r="N283">
        <v>2035</v>
      </c>
      <c r="O283">
        <v>2040</v>
      </c>
      <c r="P283">
        <v>2045</v>
      </c>
      <c r="Q283">
        <v>2050</v>
      </c>
    </row>
    <row r="284" spans="1:17" ht="43.2" x14ac:dyDescent="0.3">
      <c r="A284" s="11" t="s">
        <v>161</v>
      </c>
      <c r="E284" s="41" t="s">
        <v>151</v>
      </c>
      <c r="F284" s="41" t="s">
        <v>152</v>
      </c>
      <c r="G284" s="42" t="s">
        <v>182</v>
      </c>
      <c r="H284" s="43" t="s">
        <v>191</v>
      </c>
      <c r="I284" s="11" t="s">
        <v>162</v>
      </c>
    </row>
    <row r="285" spans="1:17" x14ac:dyDescent="0.3">
      <c r="A285" s="25" t="s">
        <v>64</v>
      </c>
      <c r="I285" s="25" t="s">
        <v>64</v>
      </c>
      <c r="J285">
        <v>1</v>
      </c>
      <c r="K285">
        <v>1</v>
      </c>
      <c r="L285">
        <f>$H$286</f>
        <v>1.1596562448547729</v>
      </c>
      <c r="M285">
        <f t="shared" ref="M285:Q285" si="0">$H$286</f>
        <v>1.1596562448547729</v>
      </c>
      <c r="N285">
        <f t="shared" si="0"/>
        <v>1.1596562448547729</v>
      </c>
      <c r="O285">
        <f t="shared" si="0"/>
        <v>1.1596562448547729</v>
      </c>
      <c r="P285">
        <f t="shared" si="0"/>
        <v>1.1596562448547729</v>
      </c>
      <c r="Q285">
        <f t="shared" si="0"/>
        <v>1.1596562448547729</v>
      </c>
    </row>
    <row r="286" spans="1:17" x14ac:dyDescent="0.3">
      <c r="A286" t="s">
        <v>184</v>
      </c>
      <c r="B286">
        <f>H6</f>
        <v>44763.7</v>
      </c>
      <c r="C286">
        <f t="shared" ref="C286" si="1">I6</f>
        <v>51257.599999999999</v>
      </c>
      <c r="D286">
        <f>O6</f>
        <v>47340.197469999999</v>
      </c>
      <c r="E286" s="49">
        <f>(D286-B286)/B286</f>
        <v>5.7557741428881037E-2</v>
      </c>
      <c r="F286" s="49">
        <f>L247</f>
        <v>6.7655031215557618E-2</v>
      </c>
      <c r="G286" s="13">
        <f>F286/E286</f>
        <v>1.1754288743096861</v>
      </c>
      <c r="H286" s="13">
        <f>G286/E294</f>
        <v>1.1596562448547729</v>
      </c>
    </row>
    <row r="287" spans="1:17" x14ac:dyDescent="0.3">
      <c r="A287" t="s">
        <v>185</v>
      </c>
      <c r="B287">
        <f>H13+H14+H15+H16+H18+H19+H21+H22</f>
        <v>2333204.09</v>
      </c>
      <c r="C287">
        <f t="shared" ref="C287" si="2">I13+I14+I15+I16+I18+I19+I21+I22</f>
        <v>2493555.6549999989</v>
      </c>
      <c r="D287">
        <f>O13+O14+O15+O16+O18+O19+O21+O22</f>
        <v>2830452.13</v>
      </c>
      <c r="G287" s="13"/>
      <c r="H287" s="13"/>
    </row>
    <row r="288" spans="1:17" x14ac:dyDescent="0.3">
      <c r="G288" s="13"/>
      <c r="H288" s="13"/>
    </row>
    <row r="289" spans="1:23" x14ac:dyDescent="0.3">
      <c r="A289" s="25" t="s">
        <v>65</v>
      </c>
      <c r="G289" s="13"/>
      <c r="H289" s="13"/>
      <c r="I289" s="25" t="s">
        <v>65</v>
      </c>
      <c r="J289">
        <v>1</v>
      </c>
      <c r="K289">
        <v>1</v>
      </c>
      <c r="L289">
        <f>$H$290</f>
        <v>1.6476492325939744</v>
      </c>
      <c r="M289">
        <f t="shared" ref="M289:Q289" si="3">$H$290</f>
        <v>1.6476492325939744</v>
      </c>
      <c r="N289">
        <f t="shared" si="3"/>
        <v>1.6476492325939744</v>
      </c>
      <c r="O289">
        <f t="shared" si="3"/>
        <v>1.6476492325939744</v>
      </c>
      <c r="P289">
        <f t="shared" si="3"/>
        <v>1.6476492325939744</v>
      </c>
      <c r="Q289">
        <f t="shared" si="3"/>
        <v>1.6476492325939744</v>
      </c>
    </row>
    <row r="290" spans="1:23" x14ac:dyDescent="0.3">
      <c r="A290" t="s">
        <v>184</v>
      </c>
      <c r="B290">
        <f>H26</f>
        <v>399505</v>
      </c>
      <c r="C290">
        <f>I26</f>
        <v>411222</v>
      </c>
      <c r="D290">
        <f>O26</f>
        <v>285680.02299999999</v>
      </c>
      <c r="E290" s="49">
        <f>(D290-B290)/B290</f>
        <v>-0.28491502484324355</v>
      </c>
      <c r="F290" s="49">
        <f>L248</f>
        <v>-0.29892494150345905</v>
      </c>
      <c r="G290" s="13">
        <f>F290/E290</f>
        <v>1.0491722634421388</v>
      </c>
      <c r="H290" s="13">
        <f>G290/E295</f>
        <v>1.6476492325939744</v>
      </c>
    </row>
    <row r="291" spans="1:23" x14ac:dyDescent="0.3">
      <c r="A291" t="s">
        <v>185</v>
      </c>
      <c r="B291">
        <f>H33+H34+H35+H36+H38+H39+H41+H42</f>
        <v>11615906.5</v>
      </c>
      <c r="C291">
        <f t="shared" ref="C291" si="4">I33+I34+I35+I36+I38+I39+I41+I42</f>
        <v>11813569.299999999</v>
      </c>
      <c r="D291">
        <f>O33+O34+O35+O36+O38+O39+O41+O42</f>
        <v>14200576.699999999</v>
      </c>
    </row>
    <row r="293" spans="1:23" x14ac:dyDescent="0.3">
      <c r="A293" s="11" t="s">
        <v>190</v>
      </c>
    </row>
    <row r="294" spans="1:23" x14ac:dyDescent="0.3">
      <c r="A294" s="25" t="s">
        <v>64</v>
      </c>
      <c r="B294">
        <v>803610</v>
      </c>
      <c r="C294">
        <v>915374</v>
      </c>
      <c r="D294" s="13">
        <v>1618150</v>
      </c>
      <c r="E294">
        <f>(D294-B294)/B294</f>
        <v>1.0136011249237815</v>
      </c>
    </row>
    <row r="295" spans="1:23" x14ac:dyDescent="0.3">
      <c r="A295" s="25" t="s">
        <v>65</v>
      </c>
      <c r="B295">
        <v>7428720</v>
      </c>
      <c r="C295">
        <v>7548350</v>
      </c>
      <c r="D295" s="13">
        <v>12159100</v>
      </c>
      <c r="E295">
        <f>(D295-B295)/B295</f>
        <v>0.63676918769316926</v>
      </c>
      <c r="J295" s="8"/>
      <c r="K295" s="8"/>
      <c r="L295" s="8"/>
    </row>
    <row r="299" spans="1:23" s="5" customFormat="1" x14ac:dyDescent="0.3">
      <c r="A299" s="5" t="s">
        <v>194</v>
      </c>
    </row>
    <row r="300" spans="1:23" ht="14.4" customHeight="1" x14ac:dyDescent="0.3">
      <c r="P300">
        <v>0</v>
      </c>
      <c r="Q300">
        <v>1</v>
      </c>
      <c r="R300">
        <v>2</v>
      </c>
      <c r="S300">
        <v>3</v>
      </c>
      <c r="T300">
        <v>4</v>
      </c>
      <c r="U300">
        <v>5</v>
      </c>
      <c r="V300">
        <v>6</v>
      </c>
    </row>
    <row r="301" spans="1:23" ht="28.8" x14ac:dyDescent="0.3">
      <c r="A301" s="12" t="s">
        <v>151</v>
      </c>
      <c r="B301">
        <v>2015</v>
      </c>
      <c r="C301">
        <v>2020</v>
      </c>
      <c r="D301">
        <v>2025</v>
      </c>
      <c r="E301">
        <v>2030</v>
      </c>
      <c r="F301">
        <v>2035</v>
      </c>
      <c r="G301">
        <v>2040</v>
      </c>
      <c r="H301">
        <v>2045</v>
      </c>
      <c r="I301">
        <v>2050</v>
      </c>
      <c r="J301" s="64" t="s">
        <v>189</v>
      </c>
      <c r="K301" s="64"/>
      <c r="L301" s="48" t="s">
        <v>181</v>
      </c>
      <c r="M301" s="47"/>
      <c r="O301">
        <v>2015</v>
      </c>
      <c r="P301">
        <v>2020</v>
      </c>
      <c r="Q301">
        <v>2025</v>
      </c>
      <c r="R301">
        <v>2030</v>
      </c>
      <c r="S301">
        <v>2035</v>
      </c>
      <c r="T301">
        <v>2040</v>
      </c>
      <c r="U301">
        <v>2045</v>
      </c>
      <c r="V301">
        <v>2050</v>
      </c>
      <c r="W301" t="s">
        <v>183</v>
      </c>
    </row>
    <row r="302" spans="1:23" x14ac:dyDescent="0.3">
      <c r="A302" s="11" t="s">
        <v>161</v>
      </c>
      <c r="J302" s="41" t="s">
        <v>151</v>
      </c>
      <c r="K302" s="41" t="s">
        <v>152</v>
      </c>
      <c r="L302" s="42" t="s">
        <v>182</v>
      </c>
      <c r="M302" s="43"/>
      <c r="N302" s="11" t="s">
        <v>163</v>
      </c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x14ac:dyDescent="0.3">
      <c r="A303" s="25" t="s">
        <v>64</v>
      </c>
      <c r="B303" s="13"/>
      <c r="C303" s="13"/>
      <c r="D303" s="13"/>
      <c r="E303" s="13"/>
      <c r="F303" s="13"/>
      <c r="G303" s="13"/>
      <c r="H303" s="13"/>
      <c r="I303" s="13"/>
      <c r="K303" t="s">
        <v>443</v>
      </c>
      <c r="N303" s="25" t="s">
        <v>64</v>
      </c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x14ac:dyDescent="0.3">
      <c r="A304" t="s">
        <v>164</v>
      </c>
      <c r="B304" s="13">
        <f t="shared" ref="B304" si="5">H13</f>
        <v>16023.9</v>
      </c>
      <c r="C304" s="13">
        <f t="shared" ref="C304" si="6">I13</f>
        <v>14530.4</v>
      </c>
      <c r="D304" s="13">
        <f t="shared" ref="D304" si="7">J13</f>
        <v>13040.5</v>
      </c>
      <c r="E304" s="13">
        <f t="shared" ref="E304" si="8">K13</f>
        <v>11654.1</v>
      </c>
      <c r="F304" s="13">
        <f t="shared" ref="F304" si="9">L13</f>
        <v>10622.4</v>
      </c>
      <c r="G304" s="13">
        <f t="shared" ref="G304" si="10">M13</f>
        <v>9916.4500000000007</v>
      </c>
      <c r="H304" s="13">
        <f t="shared" ref="H304" si="11">N13</f>
        <v>9355.67</v>
      </c>
      <c r="I304" s="13">
        <f t="shared" ref="I304" si="12">O13</f>
        <v>8880.07</v>
      </c>
      <c r="L304" s="13"/>
      <c r="M304" s="13"/>
      <c r="N304" t="s">
        <v>164</v>
      </c>
      <c r="O304" s="13">
        <f>H60</f>
        <v>1.37751E-2</v>
      </c>
      <c r="P304" s="13">
        <f>I60</f>
        <v>1.37751E-2</v>
      </c>
      <c r="Q304" s="13">
        <f>$P304+($P304*$L313-$P304)*Q300/$V$300</f>
        <v>1.941389406693847E-2</v>
      </c>
      <c r="R304" s="13">
        <f t="shared" ref="R304:V304" si="13">$P304+($P304*$L313-$P304)*R300/$V$300</f>
        <v>2.5052688133876934E-2</v>
      </c>
      <c r="S304" s="13">
        <f t="shared" si="13"/>
        <v>3.0691482200815405E-2</v>
      </c>
      <c r="T304" s="13">
        <f t="shared" si="13"/>
        <v>3.6330276267753869E-2</v>
      </c>
      <c r="U304" s="13">
        <f t="shared" si="13"/>
        <v>4.196907033469234E-2</v>
      </c>
      <c r="V304" s="13">
        <f t="shared" si="13"/>
        <v>4.7607864401630805E-2</v>
      </c>
      <c r="W304" s="13">
        <f t="shared" ref="W304:W309" si="14">V304/P304</f>
        <v>3.4560812191295023</v>
      </c>
    </row>
    <row r="305" spans="1:23" x14ac:dyDescent="0.3">
      <c r="A305" t="s">
        <v>165</v>
      </c>
      <c r="B305" s="13">
        <f>H17</f>
        <v>48072.800000000003</v>
      </c>
      <c r="C305" s="13">
        <f t="shared" ref="C305:I305" si="15">I17</f>
        <v>43592.2</v>
      </c>
      <c r="D305" s="13">
        <f t="shared" si="15"/>
        <v>39122.400000000001</v>
      </c>
      <c r="E305" s="13">
        <f t="shared" si="15"/>
        <v>34963</v>
      </c>
      <c r="F305" s="13">
        <f t="shared" si="15"/>
        <v>31868</v>
      </c>
      <c r="G305" s="13">
        <f t="shared" si="15"/>
        <v>29750</v>
      </c>
      <c r="H305" s="13">
        <f t="shared" si="15"/>
        <v>28067.599999999999</v>
      </c>
      <c r="I305" s="13">
        <f t="shared" si="15"/>
        <v>26640.799999999999</v>
      </c>
      <c r="L305" s="13"/>
      <c r="M305" s="13"/>
      <c r="N305" t="s">
        <v>165</v>
      </c>
      <c r="O305" s="13">
        <f>H64</f>
        <v>0.40357500000000002</v>
      </c>
      <c r="P305" s="13">
        <f>I64</f>
        <v>0.40357500000000002</v>
      </c>
      <c r="Q305" s="13">
        <f>$P305+($P305*$L313-$P305)*Q300/$V$300</f>
        <v>0.56877716300169812</v>
      </c>
      <c r="R305" s="13">
        <f t="shared" ref="R305:V305" si="16">$P305+($P305*$L313-$P305)*R300/$V$300</f>
        <v>0.73397932600339622</v>
      </c>
      <c r="S305" s="13">
        <f t="shared" si="16"/>
        <v>0.89918148900509443</v>
      </c>
      <c r="T305" s="13">
        <f t="shared" si="16"/>
        <v>1.0643836520067924</v>
      </c>
      <c r="U305" s="13">
        <f t="shared" si="16"/>
        <v>1.2295858150084906</v>
      </c>
      <c r="V305" s="13">
        <f t="shared" si="16"/>
        <v>1.3947879780101888</v>
      </c>
      <c r="W305" s="13">
        <f t="shared" si="14"/>
        <v>3.4560812191295018</v>
      </c>
    </row>
    <row r="306" spans="1:23" x14ac:dyDescent="0.3">
      <c r="A306" t="s">
        <v>170</v>
      </c>
      <c r="B306" s="13">
        <f t="shared" ref="B306" si="17">H22</f>
        <v>841165</v>
      </c>
      <c r="C306" s="13">
        <f t="shared" ref="C306" si="18">I22</f>
        <v>902927</v>
      </c>
      <c r="D306" s="13">
        <f t="shared" ref="D306" si="19">J22</f>
        <v>974403</v>
      </c>
      <c r="E306" s="13">
        <f t="shared" ref="E306" si="20">K22</f>
        <v>1029390</v>
      </c>
      <c r="F306" s="13">
        <f t="shared" ref="F306" si="21">L22</f>
        <v>1060210</v>
      </c>
      <c r="G306" s="13">
        <f t="shared" ref="G306" si="22">M22</f>
        <v>1046010</v>
      </c>
      <c r="H306" s="13">
        <f t="shared" ref="H306" si="23">N22</f>
        <v>1027160</v>
      </c>
      <c r="I306" s="13">
        <f t="shared" ref="I306" si="24">O22</f>
        <v>1005710</v>
      </c>
      <c r="L306" s="13"/>
      <c r="M306" s="13"/>
      <c r="N306" t="s">
        <v>170</v>
      </c>
      <c r="O306" s="13">
        <f>H69</f>
        <v>1</v>
      </c>
      <c r="P306" s="13">
        <f>I69</f>
        <v>1</v>
      </c>
      <c r="Q306" s="13">
        <f>$P306+($P306*$L314-$P306)*Q300/$V$300</f>
        <v>0.98404609979736013</v>
      </c>
      <c r="R306" s="13">
        <f t="shared" ref="R306:V306" si="25">$P306+($P306*$L314-$P306)*R300/$V$300</f>
        <v>0.96809219959472026</v>
      </c>
      <c r="S306" s="13">
        <f t="shared" si="25"/>
        <v>0.95213829939208039</v>
      </c>
      <c r="T306" s="13">
        <f t="shared" si="25"/>
        <v>0.93618439918944041</v>
      </c>
      <c r="U306" s="13">
        <f t="shared" si="25"/>
        <v>0.92023049898680054</v>
      </c>
      <c r="V306" s="13">
        <f t="shared" si="25"/>
        <v>0.90427659878416067</v>
      </c>
      <c r="W306" s="13">
        <f t="shared" si="14"/>
        <v>0.90427659878416067</v>
      </c>
    </row>
    <row r="307" spans="1:23" x14ac:dyDescent="0.3">
      <c r="A307" t="s">
        <v>171</v>
      </c>
      <c r="B307" s="13">
        <f t="shared" ref="B307" si="26">H21</f>
        <v>40976.699999999997</v>
      </c>
      <c r="C307" s="13">
        <f t="shared" ref="C307" si="27">I21</f>
        <v>40870.699999999997</v>
      </c>
      <c r="D307" s="13">
        <f t="shared" ref="D307" si="28">J21</f>
        <v>41764.1</v>
      </c>
      <c r="E307" s="13">
        <f t="shared" ref="E307" si="29">K21</f>
        <v>39742.699999999997</v>
      </c>
      <c r="F307" s="13">
        <f t="shared" ref="F307" si="30">L21</f>
        <v>37423.199999999997</v>
      </c>
      <c r="G307" s="13">
        <f t="shared" ref="G307" si="31">M21</f>
        <v>35303.699999999997</v>
      </c>
      <c r="H307" s="13">
        <f t="shared" ref="H307" si="32">N21</f>
        <v>33522.6</v>
      </c>
      <c r="I307" s="13">
        <f t="shared" ref="I307" si="33">O21</f>
        <v>31884.2</v>
      </c>
      <c r="L307" s="13"/>
      <c r="M307" s="13"/>
      <c r="N307" t="s">
        <v>171</v>
      </c>
      <c r="O307" s="13">
        <f>H68</f>
        <v>1.2729000000000001E-2</v>
      </c>
      <c r="P307" s="13">
        <f>I68</f>
        <v>1.2729000000000001E-2</v>
      </c>
      <c r="Q307" s="13">
        <f>$P307+($P307*$L314-$P307)*Q300/$V$300</f>
        <v>1.2525922804320598E-2</v>
      </c>
      <c r="R307" s="13">
        <f t="shared" ref="R307:V307" si="34">$P307+($P307*$L314-$P307)*R300/$V$300</f>
        <v>1.2322845608641194E-2</v>
      </c>
      <c r="S307" s="13">
        <f t="shared" si="34"/>
        <v>1.2119768412961791E-2</v>
      </c>
      <c r="T307" s="13">
        <f t="shared" si="34"/>
        <v>1.1916691217282388E-2</v>
      </c>
      <c r="U307" s="13">
        <f t="shared" si="34"/>
        <v>1.1713614021602984E-2</v>
      </c>
      <c r="V307" s="13">
        <f t="shared" si="34"/>
        <v>1.1510536825923581E-2</v>
      </c>
      <c r="W307" s="13">
        <f t="shared" si="14"/>
        <v>0.90427659878416067</v>
      </c>
    </row>
    <row r="308" spans="1:23" x14ac:dyDescent="0.3">
      <c r="A308" t="s">
        <v>172</v>
      </c>
      <c r="B308" s="13">
        <f t="shared" ref="B308" si="35">H19</f>
        <v>244407.8</v>
      </c>
      <c r="C308" s="13">
        <f t="shared" ref="C308" si="36">I19</f>
        <v>261289.44999999899</v>
      </c>
      <c r="D308" s="13">
        <f t="shared" ref="D308" si="37">J19</f>
        <v>286997.88</v>
      </c>
      <c r="E308" s="13">
        <f t="shared" ref="E308" si="38">K19</f>
        <v>293065.8</v>
      </c>
      <c r="F308" s="13">
        <f t="shared" ref="F308" si="39">L19</f>
        <v>299552.28999999998</v>
      </c>
      <c r="G308" s="13">
        <f t="shared" ref="G308" si="40">M19</f>
        <v>307417.84999999998</v>
      </c>
      <c r="H308" s="13">
        <f t="shared" ref="H308" si="41">N19</f>
        <v>317157.09999999998</v>
      </c>
      <c r="I308" s="13">
        <f t="shared" ref="I308" si="42">O19</f>
        <v>330569.36</v>
      </c>
      <c r="L308" s="13"/>
      <c r="M308" s="13"/>
      <c r="N308" t="s">
        <v>172</v>
      </c>
      <c r="O308" s="13">
        <f>H66</f>
        <v>0.38813399999999998</v>
      </c>
      <c r="P308" s="13">
        <f>I66</f>
        <v>0.38813399999999998</v>
      </c>
      <c r="Q308" s="13">
        <f>$P308+($P308*$L314-$P308)*Q300/$V$300</f>
        <v>0.38194174889874855</v>
      </c>
      <c r="R308" s="13">
        <f t="shared" ref="R308:V308" si="43">$P308+($P308*$L314-$P308)*R300/$V$300</f>
        <v>0.37574949779749711</v>
      </c>
      <c r="S308" s="13">
        <f t="shared" si="43"/>
        <v>0.36955724669624568</v>
      </c>
      <c r="T308" s="13">
        <f t="shared" si="43"/>
        <v>0.36336499559499424</v>
      </c>
      <c r="U308" s="13">
        <f t="shared" si="43"/>
        <v>0.35717274449374281</v>
      </c>
      <c r="V308" s="13">
        <f t="shared" si="43"/>
        <v>0.35098049339249138</v>
      </c>
      <c r="W308" s="13">
        <f t="shared" si="14"/>
        <v>0.90427659878416067</v>
      </c>
    </row>
    <row r="309" spans="1:23" x14ac:dyDescent="0.3">
      <c r="A309" t="s">
        <v>173</v>
      </c>
      <c r="B309" s="13">
        <f t="shared" ref="B309:B310" si="44">H15</f>
        <v>0</v>
      </c>
      <c r="C309" s="13">
        <f t="shared" ref="C309:C310" si="45">I15</f>
        <v>327.27499999999998</v>
      </c>
      <c r="D309" s="13">
        <f t="shared" ref="D309:D310" si="46">J15</f>
        <v>840.06399999999996</v>
      </c>
      <c r="E309" s="13">
        <f t="shared" ref="E309:E310" si="47">K15</f>
        <v>1489.98</v>
      </c>
      <c r="F309" s="13">
        <f t="shared" ref="F309:F310" si="48">L15</f>
        <v>2258.21</v>
      </c>
      <c r="G309" s="13">
        <f t="shared" ref="G309:G310" si="49">M15</f>
        <v>3144.15</v>
      </c>
      <c r="H309" s="13">
        <f t="shared" ref="H309:H310" si="50">N15</f>
        <v>4165.93</v>
      </c>
      <c r="I309" s="13">
        <f t="shared" ref="I309:I310" si="51">O15</f>
        <v>5336.89</v>
      </c>
      <c r="L309" s="13"/>
      <c r="M309" s="13"/>
      <c r="N309" t="s">
        <v>173</v>
      </c>
      <c r="O309" s="13">
        <f>H62</f>
        <v>0</v>
      </c>
      <c r="P309" s="13">
        <f>I62</f>
        <v>5.8823499999999997E-5</v>
      </c>
      <c r="Q309" s="13">
        <f>$P309+($P309*$L315-$P309)*Q300/$V$300</f>
        <v>6.3479158720853782E-5</v>
      </c>
      <c r="R309" s="13">
        <f t="shared" ref="R309:V309" si="52">$P309+($P309*$L315-$P309)*R300/$V$300</f>
        <v>6.813481744170758E-5</v>
      </c>
      <c r="S309" s="13">
        <f t="shared" si="52"/>
        <v>7.2790476162561379E-5</v>
      </c>
      <c r="T309" s="13">
        <f t="shared" si="52"/>
        <v>7.7446134883415164E-5</v>
      </c>
      <c r="U309" s="13">
        <f t="shared" si="52"/>
        <v>8.2101793604268949E-5</v>
      </c>
      <c r="V309" s="13">
        <f t="shared" si="52"/>
        <v>8.6757452325122747E-5</v>
      </c>
      <c r="W309" s="13">
        <f t="shared" si="14"/>
        <v>1.4748774269658003</v>
      </c>
    </row>
    <row r="310" spans="1:23" x14ac:dyDescent="0.3">
      <c r="A310" t="s">
        <v>174</v>
      </c>
      <c r="B310" s="13">
        <f t="shared" si="44"/>
        <v>57839.1</v>
      </c>
      <c r="C310" s="13">
        <f t="shared" si="45"/>
        <v>60894.8999999999</v>
      </c>
      <c r="D310" s="13">
        <f t="shared" si="46"/>
        <v>64288.8999999999</v>
      </c>
      <c r="E310" s="13">
        <f t="shared" si="47"/>
        <v>64529.2</v>
      </c>
      <c r="F310" s="13">
        <f t="shared" si="48"/>
        <v>63980.4</v>
      </c>
      <c r="G310" s="13">
        <f t="shared" si="49"/>
        <v>62937.7</v>
      </c>
      <c r="H310" s="13">
        <f t="shared" si="50"/>
        <v>61967.8</v>
      </c>
      <c r="I310" s="13">
        <f t="shared" si="51"/>
        <v>61041</v>
      </c>
      <c r="L310" s="13"/>
      <c r="M310" s="13"/>
      <c r="N310" t="s">
        <v>174</v>
      </c>
      <c r="O310" s="13">
        <f>H63</f>
        <v>1.32408E-2</v>
      </c>
      <c r="P310" s="13">
        <f>I63</f>
        <v>1.32408E-2</v>
      </c>
      <c r="Q310" s="13">
        <f>$P310+($P310*$L315-$P310)*Q300/$V$300</f>
        <v>1.4288759505828129E-2</v>
      </c>
      <c r="R310" s="13">
        <f t="shared" ref="R310:V310" si="53">$P310+($P310*$L315-$P310)*R300/$V$300</f>
        <v>1.5336719011656256E-2</v>
      </c>
      <c r="S310" s="13">
        <f t="shared" si="53"/>
        <v>1.6384678517484385E-2</v>
      </c>
      <c r="T310" s="13">
        <f t="shared" si="53"/>
        <v>1.7432638023312512E-2</v>
      </c>
      <c r="U310" s="13">
        <f t="shared" si="53"/>
        <v>1.8480597529140642E-2</v>
      </c>
      <c r="V310" s="13">
        <f t="shared" si="53"/>
        <v>1.9528557034968769E-2</v>
      </c>
      <c r="W310" s="13">
        <f>V310/P310</f>
        <v>1.4748774269658003</v>
      </c>
    </row>
    <row r="311" spans="1:23" x14ac:dyDescent="0.3">
      <c r="A311" t="s">
        <v>175</v>
      </c>
      <c r="B311" s="13">
        <f t="shared" ref="B311" si="54">H14</f>
        <v>6241.59</v>
      </c>
      <c r="C311" s="13">
        <f t="shared" ref="C311" si="55">I14</f>
        <v>7625.93</v>
      </c>
      <c r="D311" s="13">
        <f t="shared" ref="D311" si="56">J14</f>
        <v>10976.6</v>
      </c>
      <c r="E311" s="13">
        <f t="shared" ref="E311" si="57">K14</f>
        <v>13993.3</v>
      </c>
      <c r="F311" s="13">
        <f t="shared" ref="F311" si="58">L14</f>
        <v>15734.0476</v>
      </c>
      <c r="G311" s="13">
        <f t="shared" ref="G311" si="59">M14</f>
        <v>17165.870200000001</v>
      </c>
      <c r="H311" s="13">
        <f t="shared" ref="H311" si="60">N14</f>
        <v>18133.148000000001</v>
      </c>
      <c r="I311" s="13">
        <f t="shared" ref="I311" si="61">O14</f>
        <v>18860.609999999899</v>
      </c>
      <c r="L311" s="13"/>
      <c r="M311" s="13"/>
      <c r="N311" t="s">
        <v>175</v>
      </c>
      <c r="O311" s="13">
        <f>H61</f>
        <v>1.4951299999999999E-3</v>
      </c>
      <c r="P311" s="13">
        <f>I61</f>
        <v>1.4951299999999999E-3</v>
      </c>
      <c r="Q311" s="13">
        <f>$P311+($P311*$L316-$P311)*Q300/$V$300</f>
        <v>1.2459416666666665E-3</v>
      </c>
      <c r="R311" s="13">
        <f t="shared" ref="R311:V311" si="62">$P311+($P311*$L316-$P311)*R300/$V$300</f>
        <v>9.9675333333333312E-4</v>
      </c>
      <c r="S311" s="13">
        <f t="shared" si="62"/>
        <v>7.4756499999999995E-4</v>
      </c>
      <c r="T311" s="13">
        <f t="shared" si="62"/>
        <v>4.9837666666666656E-4</v>
      </c>
      <c r="U311" s="13">
        <f t="shared" si="62"/>
        <v>2.4918833333333339E-4</v>
      </c>
      <c r="V311" s="13">
        <f t="shared" si="62"/>
        <v>0</v>
      </c>
      <c r="W311" s="13">
        <f>V311/P311</f>
        <v>0</v>
      </c>
    </row>
    <row r="312" spans="1:23" x14ac:dyDescent="0.3">
      <c r="B312" s="13"/>
      <c r="C312" s="13"/>
      <c r="D312" s="13"/>
      <c r="E312" s="13"/>
      <c r="F312" s="13"/>
      <c r="G312" s="13"/>
      <c r="H312" s="13"/>
      <c r="I312" s="13"/>
      <c r="L312" s="13"/>
      <c r="M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x14ac:dyDescent="0.3">
      <c r="A313" t="s">
        <v>176</v>
      </c>
      <c r="B313" s="13">
        <f>B304+B305</f>
        <v>64096.700000000004</v>
      </c>
      <c r="C313" s="13">
        <f t="shared" ref="C313:I313" si="63">C304+C305</f>
        <v>58122.6</v>
      </c>
      <c r="D313" s="13">
        <f t="shared" si="63"/>
        <v>52162.9</v>
      </c>
      <c r="E313" s="13">
        <f t="shared" si="63"/>
        <v>46617.1</v>
      </c>
      <c r="F313" s="13">
        <f t="shared" si="63"/>
        <v>42490.400000000001</v>
      </c>
      <c r="G313" s="13">
        <f t="shared" si="63"/>
        <v>39666.449999999997</v>
      </c>
      <c r="H313" s="13">
        <f t="shared" si="63"/>
        <v>37423.269999999997</v>
      </c>
      <c r="I313" s="13">
        <f t="shared" si="63"/>
        <v>35520.869999999995</v>
      </c>
      <c r="J313" s="59">
        <f>I313/I$317</f>
        <v>2.3856652112383275E-2</v>
      </c>
      <c r="K313" s="59">
        <f>D263-D263*(D263-D255)*0.5/D255</f>
        <v>8.2450527316913991E-2</v>
      </c>
      <c r="L313" s="13">
        <f>K313/J313</f>
        <v>3.4560812191295018</v>
      </c>
      <c r="M313" s="13"/>
      <c r="N313" t="s">
        <v>176</v>
      </c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x14ac:dyDescent="0.3">
      <c r="A314" t="s">
        <v>177</v>
      </c>
      <c r="B314" s="13">
        <f>H18</f>
        <v>1126550</v>
      </c>
      <c r="C314" s="13">
        <f t="shared" ref="C314:I314" si="64">I18</f>
        <v>1205090</v>
      </c>
      <c r="D314" s="13">
        <f t="shared" si="64"/>
        <v>1303170</v>
      </c>
      <c r="E314" s="13">
        <f t="shared" si="64"/>
        <v>1362200</v>
      </c>
      <c r="F314" s="13">
        <f t="shared" si="64"/>
        <v>1397190</v>
      </c>
      <c r="G314" s="13">
        <f t="shared" si="64"/>
        <v>1388730</v>
      </c>
      <c r="H314" s="13">
        <f t="shared" si="64"/>
        <v>1377840</v>
      </c>
      <c r="I314" s="13">
        <f t="shared" si="64"/>
        <v>1368170</v>
      </c>
      <c r="J314" s="59">
        <f t="shared" ref="J314:J316" si="65">I314/I$317</f>
        <v>0.91889516559136719</v>
      </c>
      <c r="K314" s="59">
        <f>D265-D265*(D265-D257)*0.5/D257</f>
        <v>0.83093539498016966</v>
      </c>
      <c r="L314" s="13">
        <f>K314/J314</f>
        <v>0.90427659878416067</v>
      </c>
      <c r="M314" s="13"/>
      <c r="N314" t="s">
        <v>177</v>
      </c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x14ac:dyDescent="0.3">
      <c r="A315" t="s">
        <v>178</v>
      </c>
      <c r="B315" s="13">
        <f>B309+B310</f>
        <v>57839.1</v>
      </c>
      <c r="C315" s="13">
        <f t="shared" ref="C315:I315" si="66">C309+C310</f>
        <v>61222.174999999901</v>
      </c>
      <c r="D315" s="13">
        <f t="shared" si="66"/>
        <v>65128.963999999898</v>
      </c>
      <c r="E315" s="13">
        <f t="shared" si="66"/>
        <v>66019.179999999993</v>
      </c>
      <c r="F315" s="13">
        <f t="shared" si="66"/>
        <v>66238.61</v>
      </c>
      <c r="G315" s="13">
        <f t="shared" si="66"/>
        <v>66081.849999999991</v>
      </c>
      <c r="H315" s="13">
        <f t="shared" si="66"/>
        <v>66133.73000000001</v>
      </c>
      <c r="I315" s="13">
        <f t="shared" si="66"/>
        <v>66377.89</v>
      </c>
      <c r="J315" s="59">
        <f t="shared" si="65"/>
        <v>4.4580952822496883E-2</v>
      </c>
      <c r="K315" s="59">
        <f>D266-D266*(D266-D258)*0.5/D258</f>
        <v>6.5751440990527932E-2</v>
      </c>
      <c r="L315" s="13">
        <f>K315/J315</f>
        <v>1.4748774269658003</v>
      </c>
      <c r="M315" s="13"/>
      <c r="N315" t="s">
        <v>178</v>
      </c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x14ac:dyDescent="0.3">
      <c r="A316" t="s">
        <v>179</v>
      </c>
      <c r="B316" s="13">
        <f>B311</f>
        <v>6241.59</v>
      </c>
      <c r="C316" s="13">
        <f t="shared" ref="C316:I316" si="67">C311</f>
        <v>7625.93</v>
      </c>
      <c r="D316" s="13">
        <f t="shared" si="67"/>
        <v>10976.6</v>
      </c>
      <c r="E316" s="13">
        <f t="shared" si="67"/>
        <v>13993.3</v>
      </c>
      <c r="F316" s="13">
        <f t="shared" si="67"/>
        <v>15734.0476</v>
      </c>
      <c r="G316" s="13">
        <f t="shared" si="67"/>
        <v>17165.870200000001</v>
      </c>
      <c r="H316" s="13">
        <f t="shared" si="67"/>
        <v>18133.148000000001</v>
      </c>
      <c r="I316" s="13">
        <f t="shared" si="67"/>
        <v>18860.609999999899</v>
      </c>
      <c r="J316" s="59">
        <f t="shared" si="65"/>
        <v>1.2667229473752607E-2</v>
      </c>
      <c r="K316" s="59">
        <f>D264-D264*(D264-D256)*0.5/D256</f>
        <v>0</v>
      </c>
      <c r="L316" s="13">
        <f>K316/J316</f>
        <v>0</v>
      </c>
      <c r="M316" s="13"/>
      <c r="N316" t="s">
        <v>179</v>
      </c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x14ac:dyDescent="0.3">
      <c r="A317" t="s">
        <v>180</v>
      </c>
      <c r="B317" s="13">
        <f>SUM(B313:B316)</f>
        <v>1254727.3900000001</v>
      </c>
      <c r="C317" s="13">
        <f t="shared" ref="C317:I317" si="68">SUM(C313:C316)</f>
        <v>1332060.7049999998</v>
      </c>
      <c r="D317" s="13">
        <f t="shared" si="68"/>
        <v>1431438.4639999999</v>
      </c>
      <c r="E317" s="13">
        <f t="shared" si="68"/>
        <v>1488829.58</v>
      </c>
      <c r="F317" s="13">
        <f t="shared" si="68"/>
        <v>1521653.0575999999</v>
      </c>
      <c r="G317" s="13">
        <f t="shared" si="68"/>
        <v>1511644.1702000001</v>
      </c>
      <c r="H317" s="13">
        <f t="shared" si="68"/>
        <v>1499530.148</v>
      </c>
      <c r="I317" s="13">
        <f t="shared" si="68"/>
        <v>1488929.3699999999</v>
      </c>
      <c r="J317" s="59">
        <f>SUM(J313:J316)</f>
        <v>1</v>
      </c>
      <c r="K317" s="59">
        <f>SUM(K313:K316)</f>
        <v>0.9791373632876117</v>
      </c>
      <c r="L317" s="13"/>
      <c r="M317" s="13"/>
      <c r="N317" t="s">
        <v>180</v>
      </c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x14ac:dyDescent="0.3">
      <c r="B318" s="13"/>
      <c r="C318" s="13"/>
      <c r="D318" s="13"/>
      <c r="E318" s="13"/>
      <c r="F318" s="13"/>
      <c r="G318" s="13"/>
      <c r="H318" s="13"/>
      <c r="I318" s="13"/>
      <c r="J318" s="9"/>
      <c r="K318" s="9"/>
      <c r="L318" s="13"/>
      <c r="M318" s="13"/>
      <c r="N318" s="11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x14ac:dyDescent="0.3">
      <c r="A319" s="25" t="s">
        <v>65</v>
      </c>
      <c r="B319" s="13"/>
      <c r="C319" s="13"/>
      <c r="D319" s="13"/>
      <c r="E319" s="13"/>
      <c r="F319" s="13"/>
      <c r="G319" s="13"/>
      <c r="H319" s="13"/>
      <c r="I319" s="13"/>
      <c r="J319" s="9"/>
      <c r="K319" s="9"/>
      <c r="N319" s="25" t="s">
        <v>65</v>
      </c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x14ac:dyDescent="0.3">
      <c r="A320" t="s">
        <v>164</v>
      </c>
      <c r="B320" s="13">
        <f t="shared" ref="B320" si="69">H33</f>
        <v>38400.6</v>
      </c>
      <c r="C320" s="13">
        <f t="shared" ref="C320" si="70">I33</f>
        <v>38726.199999999997</v>
      </c>
      <c r="D320" s="13">
        <f t="shared" ref="D320" si="71">J33</f>
        <v>36000.699999999997</v>
      </c>
      <c r="E320" s="13">
        <f t="shared" ref="E320" si="72">K33</f>
        <v>34702.699999999997</v>
      </c>
      <c r="F320" s="13">
        <f t="shared" ref="F320" si="73">L33</f>
        <v>33538.9</v>
      </c>
      <c r="G320" s="13">
        <f t="shared" ref="G320" si="74">M33</f>
        <v>32525.1</v>
      </c>
      <c r="H320" s="13">
        <f t="shared" ref="H320" si="75">N33</f>
        <v>31561.3</v>
      </c>
      <c r="I320" s="13">
        <f t="shared" ref="I320" si="76">O33</f>
        <v>30653.3</v>
      </c>
      <c r="J320" s="9"/>
      <c r="K320" s="9"/>
      <c r="L320" s="13"/>
      <c r="M320" s="13"/>
      <c r="N320" t="s">
        <v>164</v>
      </c>
      <c r="O320" s="13">
        <f>H80</f>
        <v>2.39423E-2</v>
      </c>
      <c r="P320" s="13">
        <f>I80</f>
        <v>2.39423E-2</v>
      </c>
      <c r="Q320" s="13">
        <f>$P320+($P320*$L329-$P320)*Q300/$V$300</f>
        <v>3.6698092998502338E-2</v>
      </c>
      <c r="R320" s="13">
        <f t="shared" ref="R320:V320" si="77">$P320+($P320*$L329-$P320)*R300/$V$300</f>
        <v>4.9453885997004676E-2</v>
      </c>
      <c r="S320" s="13">
        <f t="shared" si="77"/>
        <v>6.2209678995507008E-2</v>
      </c>
      <c r="T320" s="13">
        <f t="shared" si="77"/>
        <v>7.4965471994009353E-2</v>
      </c>
      <c r="U320" s="13">
        <f t="shared" si="77"/>
        <v>8.7721264992511677E-2</v>
      </c>
      <c r="V320" s="13">
        <f t="shared" si="77"/>
        <v>0.10047705799101402</v>
      </c>
      <c r="W320" s="13">
        <f>V320/P320</f>
        <v>4.1966334893061239</v>
      </c>
    </row>
    <row r="321" spans="1:23" x14ac:dyDescent="0.3">
      <c r="A321" t="s">
        <v>165</v>
      </c>
      <c r="B321" s="13">
        <f>H37</f>
        <v>115202</v>
      </c>
      <c r="C321" s="13">
        <f t="shared" ref="C321:I321" si="78">I37</f>
        <v>116179</v>
      </c>
      <c r="D321" s="13">
        <f t="shared" si="78"/>
        <v>108002</v>
      </c>
      <c r="E321" s="13">
        <f t="shared" si="78"/>
        <v>104108</v>
      </c>
      <c r="F321" s="13">
        <f t="shared" si="78"/>
        <v>100617</v>
      </c>
      <c r="G321" s="13">
        <f t="shared" si="78"/>
        <v>97575.4</v>
      </c>
      <c r="H321" s="13">
        <f t="shared" si="78"/>
        <v>94683.9</v>
      </c>
      <c r="I321" s="13">
        <f t="shared" si="78"/>
        <v>91959.9</v>
      </c>
      <c r="J321" s="9"/>
      <c r="K321" s="9"/>
      <c r="L321" s="13"/>
      <c r="M321" s="13"/>
      <c r="N321" t="s">
        <v>165</v>
      </c>
      <c r="O321" s="13">
        <f>H84</f>
        <v>0.701434</v>
      </c>
      <c r="P321" s="13">
        <f>I84</f>
        <v>0.701434</v>
      </c>
      <c r="Q321" s="13">
        <f>$P321+($P321*$L329-$P321)*Q300/$V$300</f>
        <v>1.0751385691563253</v>
      </c>
      <c r="R321" s="13">
        <f t="shared" ref="R321:V321" si="79">$P321+($P321*$L329-$P321)*R300/$V$300</f>
        <v>1.4488431383126505</v>
      </c>
      <c r="S321" s="13">
        <f t="shared" si="79"/>
        <v>1.822547707468976</v>
      </c>
      <c r="T321" s="13">
        <f t="shared" si="79"/>
        <v>2.1962522766253012</v>
      </c>
      <c r="U321" s="13">
        <f t="shared" si="79"/>
        <v>2.5699568457816264</v>
      </c>
      <c r="V321" s="13">
        <f t="shared" si="79"/>
        <v>2.9436614149379516</v>
      </c>
      <c r="W321" s="13">
        <f>V321/P321</f>
        <v>4.1966334893061239</v>
      </c>
    </row>
    <row r="322" spans="1:23" x14ac:dyDescent="0.3">
      <c r="A322" t="s">
        <v>170</v>
      </c>
      <c r="B322" s="13">
        <f t="shared" ref="B322" si="80">H42</f>
        <v>4586780</v>
      </c>
      <c r="C322" s="13">
        <f t="shared" ref="C322" si="81">I42</f>
        <v>4673120</v>
      </c>
      <c r="D322" s="13">
        <f t="shared" ref="D322" si="82">J42</f>
        <v>5050420</v>
      </c>
      <c r="E322" s="13">
        <f t="shared" ref="E322" si="83">K42</f>
        <v>5218360</v>
      </c>
      <c r="F322" s="13">
        <f t="shared" ref="F322" si="84">L42</f>
        <v>5389400</v>
      </c>
      <c r="G322" s="13">
        <f t="shared" ref="G322" si="85">M42</f>
        <v>5533010</v>
      </c>
      <c r="H322" s="13">
        <f t="shared" ref="H322" si="86">N42</f>
        <v>5682090</v>
      </c>
      <c r="I322" s="13">
        <f t="shared" ref="I322" si="87">O42</f>
        <v>5837790</v>
      </c>
      <c r="J322" s="9"/>
      <c r="K322" s="9"/>
      <c r="L322" s="13"/>
      <c r="M322" s="13"/>
      <c r="N322" t="s">
        <v>170</v>
      </c>
      <c r="O322" s="13">
        <f>H89</f>
        <v>1</v>
      </c>
      <c r="P322" s="13">
        <f>I89</f>
        <v>1</v>
      </c>
      <c r="Q322" s="13">
        <f>$P322+($P322*$L330-$P322)*Q300/$V$300</f>
        <v>0.98861728637699731</v>
      </c>
      <c r="R322" s="13">
        <f t="shared" ref="R322:V322" si="88">$P322+($P322*$L330-$P322)*R300/$V$300</f>
        <v>0.97723457275399461</v>
      </c>
      <c r="S322" s="13">
        <f t="shared" si="88"/>
        <v>0.96585185913099192</v>
      </c>
      <c r="T322" s="13">
        <f t="shared" si="88"/>
        <v>0.95446914550798911</v>
      </c>
      <c r="U322" s="13">
        <f t="shared" si="88"/>
        <v>0.94308643188498642</v>
      </c>
      <c r="V322" s="13">
        <f t="shared" si="88"/>
        <v>0.93170371826198373</v>
      </c>
      <c r="W322" s="13">
        <f t="shared" ref="W322:W325" si="89">V322/P322</f>
        <v>0.93170371826198373</v>
      </c>
    </row>
    <row r="323" spans="1:23" x14ac:dyDescent="0.3">
      <c r="A323" t="s">
        <v>171</v>
      </c>
      <c r="B323" s="13">
        <f t="shared" ref="B323" si="90">H41</f>
        <v>93044.3</v>
      </c>
      <c r="C323" s="13">
        <f t="shared" ref="C323" si="91">I41</f>
        <v>95684.2</v>
      </c>
      <c r="D323" s="13">
        <f t="shared" ref="D323" si="92">J41</f>
        <v>104006.2</v>
      </c>
      <c r="E323" s="13">
        <f t="shared" ref="E323" si="93">K41</f>
        <v>106868.799999999</v>
      </c>
      <c r="F323" s="13">
        <f t="shared" ref="F323" si="94">L41</f>
        <v>109253.4</v>
      </c>
      <c r="G323" s="13">
        <f t="shared" ref="G323" si="95">M41</f>
        <v>110558.39999999999</v>
      </c>
      <c r="H323" s="13">
        <f t="shared" ref="H323" si="96">N41</f>
        <v>112365.9</v>
      </c>
      <c r="I323" s="13">
        <f t="shared" ref="I323" si="97">O41</f>
        <v>114562.2</v>
      </c>
      <c r="J323" s="9"/>
      <c r="K323" s="9"/>
      <c r="L323" s="13"/>
      <c r="M323" s="13"/>
      <c r="N323" t="s">
        <v>171</v>
      </c>
      <c r="O323" s="13">
        <f>H88</f>
        <v>1.9504000000000001E-2</v>
      </c>
      <c r="P323" s="13">
        <f>I88</f>
        <v>1.9504000000000001E-2</v>
      </c>
      <c r="Q323" s="13">
        <f>$P323+($P323*$L330-$P323)*Q300/$V$300</f>
        <v>1.9281991553496955E-2</v>
      </c>
      <c r="R323" s="13">
        <f t="shared" ref="R323:V323" si="98">$P323+($P323*$L330-$P323)*R300/$V$300</f>
        <v>1.9059983106993909E-2</v>
      </c>
      <c r="S323" s="13">
        <f t="shared" si="98"/>
        <v>1.8837974660490864E-2</v>
      </c>
      <c r="T323" s="13">
        <f t="shared" si="98"/>
        <v>1.8615966213987822E-2</v>
      </c>
      <c r="U323" s="13">
        <f t="shared" si="98"/>
        <v>1.8393957767484776E-2</v>
      </c>
      <c r="V323" s="13">
        <f t="shared" si="98"/>
        <v>1.8171949320981731E-2</v>
      </c>
      <c r="W323" s="13">
        <f t="shared" si="89"/>
        <v>0.93170371826198373</v>
      </c>
    </row>
    <row r="324" spans="1:23" x14ac:dyDescent="0.3">
      <c r="A324" t="s">
        <v>172</v>
      </c>
      <c r="B324" s="13">
        <f t="shared" ref="B324" si="99">H39</f>
        <v>777922</v>
      </c>
      <c r="C324" s="13">
        <f t="shared" ref="C324" si="100">I39</f>
        <v>777347.799999999</v>
      </c>
      <c r="D324" s="13">
        <f t="shared" ref="D324" si="101">J39</f>
        <v>727453.26</v>
      </c>
      <c r="E324" s="13">
        <f t="shared" ref="E324" si="102">K39</f>
        <v>696820.3</v>
      </c>
      <c r="F324" s="13">
        <f t="shared" ref="F324" si="103">L39</f>
        <v>665916.19999999995</v>
      </c>
      <c r="G324" s="13">
        <f t="shared" ref="G324" si="104">M39</f>
        <v>642071</v>
      </c>
      <c r="H324" s="13">
        <f t="shared" ref="H324" si="105">N39</f>
        <v>622331.9</v>
      </c>
      <c r="I324" s="13">
        <f t="shared" ref="I324" si="106">O39</f>
        <v>604729.1</v>
      </c>
      <c r="J324" s="9"/>
      <c r="K324" s="9"/>
      <c r="L324" s="13"/>
      <c r="M324" s="13"/>
      <c r="N324" t="s">
        <v>172</v>
      </c>
      <c r="O324" s="13">
        <f>H86</f>
        <v>5.2677799999999997E-2</v>
      </c>
      <c r="P324" s="13">
        <f>I86</f>
        <v>5.2677799999999997E-2</v>
      </c>
      <c r="Q324" s="13">
        <f>$P324+($P324*$L330-$P324)*Q300/$V$300</f>
        <v>5.2078183688310187E-2</v>
      </c>
      <c r="R324" s="13">
        <f t="shared" ref="R324:V324" si="107">$P324+($P324*$L330-$P324)*R300/$V$300</f>
        <v>5.147856737662037E-2</v>
      </c>
      <c r="S324" s="13">
        <f t="shared" si="107"/>
        <v>5.087895106493056E-2</v>
      </c>
      <c r="T324" s="13">
        <f t="shared" si="107"/>
        <v>5.0279334753240749E-2</v>
      </c>
      <c r="U324" s="13">
        <f t="shared" si="107"/>
        <v>4.9679718441550932E-2</v>
      </c>
      <c r="V324" s="13">
        <f t="shared" si="107"/>
        <v>4.9080102129861122E-2</v>
      </c>
      <c r="W324" s="13">
        <f t="shared" si="89"/>
        <v>0.93170371826198373</v>
      </c>
    </row>
    <row r="325" spans="1:23" x14ac:dyDescent="0.3">
      <c r="A325" t="s">
        <v>173</v>
      </c>
      <c r="B325" s="13">
        <f t="shared" ref="B325:B326" si="108">H35</f>
        <v>21065.1</v>
      </c>
      <c r="C325" s="13">
        <f t="shared" ref="C325:C326" si="109">I35</f>
        <v>21008.400000000001</v>
      </c>
      <c r="D325" s="13">
        <f t="shared" ref="D325:D326" si="110">J35</f>
        <v>26881.7</v>
      </c>
      <c r="E325" s="13">
        <f t="shared" ref="E325:E326" si="111">K35</f>
        <v>30754.6</v>
      </c>
      <c r="F325" s="13">
        <f t="shared" ref="F325:F326" si="112">L35</f>
        <v>34765.699999999997</v>
      </c>
      <c r="G325" s="13">
        <f t="shared" ref="G325:G326" si="113">M35</f>
        <v>35083.800000000003</v>
      </c>
      <c r="H325" s="13">
        <f t="shared" ref="H325:H326" si="114">N35</f>
        <v>35587.5</v>
      </c>
      <c r="I325" s="13">
        <f t="shared" ref="I325:I326" si="115">O35</f>
        <v>36193.300000000003</v>
      </c>
      <c r="J325" s="9"/>
      <c r="K325" s="9"/>
      <c r="L325" s="13"/>
      <c r="M325" s="13"/>
      <c r="N325" t="s">
        <v>173</v>
      </c>
      <c r="O325" s="13">
        <f>H82</f>
        <v>2.40216E-3</v>
      </c>
      <c r="P325" s="13">
        <f>I82</f>
        <v>2.3196800000000002E-3</v>
      </c>
      <c r="Q325" s="13">
        <f>$P325+($P325*$L331-$P325)*Q300/$V$300</f>
        <v>2.4024015822951997E-3</v>
      </c>
      <c r="R325" s="13">
        <f t="shared" ref="R325:V325" si="116">$P325+($P325*$L331-$P325)*R300/$V$300</f>
        <v>2.4851231645903991E-3</v>
      </c>
      <c r="S325" s="13">
        <f t="shared" si="116"/>
        <v>2.5678447468855982E-3</v>
      </c>
      <c r="T325" s="13">
        <f t="shared" si="116"/>
        <v>2.6505663291807977E-3</v>
      </c>
      <c r="U325" s="13">
        <f t="shared" si="116"/>
        <v>2.7332879114759972E-3</v>
      </c>
      <c r="V325" s="13">
        <f t="shared" si="116"/>
        <v>2.8160094937711966E-3</v>
      </c>
      <c r="W325" s="13">
        <f t="shared" si="89"/>
        <v>1.2139646389895142</v>
      </c>
    </row>
    <row r="326" spans="1:23" x14ac:dyDescent="0.3">
      <c r="A326" t="s">
        <v>174</v>
      </c>
      <c r="B326" s="13">
        <f t="shared" si="108"/>
        <v>363805.5</v>
      </c>
      <c r="C326" s="13">
        <f t="shared" si="109"/>
        <v>372521.7</v>
      </c>
      <c r="D326" s="13">
        <f t="shared" si="110"/>
        <v>407492.3</v>
      </c>
      <c r="E326" s="13">
        <f t="shared" si="111"/>
        <v>420974.8</v>
      </c>
      <c r="F326" s="13">
        <f t="shared" si="112"/>
        <v>431521</v>
      </c>
      <c r="G326" s="13">
        <f t="shared" si="113"/>
        <v>438852</v>
      </c>
      <c r="H326" s="13">
        <f t="shared" si="114"/>
        <v>447770.3</v>
      </c>
      <c r="I326" s="13">
        <f t="shared" si="115"/>
        <v>457793.4</v>
      </c>
      <c r="J326" s="9"/>
      <c r="K326" s="9"/>
      <c r="L326" s="13"/>
      <c r="M326" s="13"/>
      <c r="N326" t="s">
        <v>174</v>
      </c>
      <c r="O326" s="13">
        <f>H83</f>
        <v>5.0963399999999999E-2</v>
      </c>
      <c r="P326" s="13">
        <f>I83</f>
        <v>5.0963399999999999E-2</v>
      </c>
      <c r="Q326" s="13">
        <f>$P326+($P326*$L331-$P326)*Q300/$V$300</f>
        <v>5.278079424711303E-2</v>
      </c>
      <c r="R326" s="13">
        <f t="shared" ref="R326:V326" si="117">$P326+($P326*$L331-$P326)*R300/$V$300</f>
        <v>5.4598188494226069E-2</v>
      </c>
      <c r="S326" s="13">
        <f t="shared" si="117"/>
        <v>5.6415582741339107E-2</v>
      </c>
      <c r="T326" s="13">
        <f t="shared" si="117"/>
        <v>5.8232976988452138E-2</v>
      </c>
      <c r="U326" s="13">
        <f t="shared" si="117"/>
        <v>6.005037123556517E-2</v>
      </c>
      <c r="V326" s="13">
        <f t="shared" si="117"/>
        <v>6.1867765482678208E-2</v>
      </c>
      <c r="W326" s="13">
        <f>V326/P326</f>
        <v>1.2139646389895142</v>
      </c>
    </row>
    <row r="327" spans="1:23" x14ac:dyDescent="0.3">
      <c r="A327" t="s">
        <v>175</v>
      </c>
      <c r="B327" s="13">
        <f t="shared" ref="B327" si="118">H34</f>
        <v>277139</v>
      </c>
      <c r="C327" s="13">
        <f t="shared" ref="C327" si="119">I34</f>
        <v>289011</v>
      </c>
      <c r="D327" s="13">
        <f t="shared" ref="D327" si="120">J34</f>
        <v>380893</v>
      </c>
      <c r="E327" s="13">
        <f t="shared" ref="E327" si="121">K34</f>
        <v>441558</v>
      </c>
      <c r="F327" s="13">
        <f t="shared" ref="F327" si="122">L34</f>
        <v>476517.77500000002</v>
      </c>
      <c r="G327" s="13">
        <f t="shared" ref="G327" si="123">M34</f>
        <v>508914.21</v>
      </c>
      <c r="H327" s="13">
        <f t="shared" ref="H327" si="124">N34</f>
        <v>536639.22</v>
      </c>
      <c r="I327" s="13">
        <f t="shared" ref="I327" si="125">O34</f>
        <v>561775.4</v>
      </c>
      <c r="J327" s="9"/>
      <c r="K327" s="9"/>
      <c r="L327" s="13"/>
      <c r="M327" s="13"/>
      <c r="N327" t="s">
        <v>175</v>
      </c>
      <c r="O327" s="13">
        <f>H81</f>
        <v>8.0709300000000005E-3</v>
      </c>
      <c r="P327" s="13">
        <f>I81</f>
        <v>8.0709300000000005E-3</v>
      </c>
      <c r="Q327" s="13">
        <f>$P327+($P327*$L332-$P327)*Q300/$V$300</f>
        <v>6.8364621915229717E-3</v>
      </c>
      <c r="R327" s="13">
        <f t="shared" ref="R327:V327" si="126">$P327+($P327*$L332-$P327)*R300/$V$300</f>
        <v>5.601994383045943E-3</v>
      </c>
      <c r="S327" s="13">
        <f t="shared" si="126"/>
        <v>4.3675265745689133E-3</v>
      </c>
      <c r="T327" s="13">
        <f t="shared" si="126"/>
        <v>3.1330587660918846E-3</v>
      </c>
      <c r="U327" s="13">
        <f t="shared" si="126"/>
        <v>1.8985909576148549E-3</v>
      </c>
      <c r="V327" s="13">
        <f t="shared" si="126"/>
        <v>6.6412314913782619E-4</v>
      </c>
      <c r="W327" s="13">
        <f>V327/P327</f>
        <v>8.2285826929217099E-2</v>
      </c>
    </row>
    <row r="328" spans="1:23" x14ac:dyDescent="0.3">
      <c r="B328" s="13"/>
      <c r="C328" s="13"/>
      <c r="D328" s="13"/>
      <c r="E328" s="13"/>
      <c r="F328" s="13"/>
      <c r="G328" s="13"/>
      <c r="H328" s="13"/>
      <c r="I328" s="13"/>
      <c r="J328" s="9"/>
      <c r="K328" s="55"/>
      <c r="L328" s="13"/>
      <c r="M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x14ac:dyDescent="0.3">
      <c r="A329" t="s">
        <v>176</v>
      </c>
      <c r="B329" s="13">
        <f>B320+B321</f>
        <v>153602.6</v>
      </c>
      <c r="C329" s="13">
        <f t="shared" ref="C329:I329" si="127">C320+C321</f>
        <v>154905.20000000001</v>
      </c>
      <c r="D329" s="13">
        <f t="shared" si="127"/>
        <v>144002.70000000001</v>
      </c>
      <c r="E329" s="13">
        <f t="shared" si="127"/>
        <v>138810.70000000001</v>
      </c>
      <c r="F329" s="13">
        <f t="shared" si="127"/>
        <v>134155.9</v>
      </c>
      <c r="G329" s="13">
        <f t="shared" si="127"/>
        <v>130100.5</v>
      </c>
      <c r="H329" s="13">
        <f t="shared" si="127"/>
        <v>126245.2</v>
      </c>
      <c r="I329" s="13">
        <f t="shared" si="127"/>
        <v>122613.2</v>
      </c>
      <c r="J329" s="59">
        <f>I329/I$333</f>
        <v>1.5850803170429525E-2</v>
      </c>
      <c r="K329" s="59">
        <f>D275-D275*(D275-D267)*0.5/D267</f>
        <v>6.6520011417424224E-2</v>
      </c>
      <c r="L329" s="13">
        <f>K329/J329</f>
        <v>4.1966334893061239</v>
      </c>
      <c r="M329" s="13"/>
      <c r="N329" t="s">
        <v>176</v>
      </c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x14ac:dyDescent="0.3">
      <c r="A330" t="s">
        <v>177</v>
      </c>
      <c r="B330" s="13">
        <f>B322+B323+B324</f>
        <v>5457746.2999999998</v>
      </c>
      <c r="C330" s="13">
        <f t="shared" ref="C330:I330" si="128">C322+C323+C324</f>
        <v>5546151.9999999991</v>
      </c>
      <c r="D330" s="13">
        <f t="shared" si="128"/>
        <v>5881879.46</v>
      </c>
      <c r="E330" s="13">
        <f t="shared" si="128"/>
        <v>6022049.0999999987</v>
      </c>
      <c r="F330" s="13">
        <f t="shared" si="128"/>
        <v>6164569.6000000006</v>
      </c>
      <c r="G330" s="13">
        <f t="shared" si="128"/>
        <v>6285639.4000000004</v>
      </c>
      <c r="H330" s="13">
        <f t="shared" si="128"/>
        <v>6416787.8000000007</v>
      </c>
      <c r="I330" s="13">
        <f t="shared" si="128"/>
        <v>6557081.2999999998</v>
      </c>
      <c r="J330" s="59">
        <f t="shared" ref="J330:J332" si="129">I330/I$333</f>
        <v>0.84766570857627188</v>
      </c>
      <c r="K330" s="59">
        <f>D277-D277*(D277-D269)*0.5/D269</f>
        <v>0.78977329252369166</v>
      </c>
      <c r="L330" s="13">
        <f>K330/J330</f>
        <v>0.93170371826198373</v>
      </c>
      <c r="M330" s="13"/>
      <c r="N330" t="s">
        <v>177</v>
      </c>
      <c r="O330" s="13"/>
      <c r="P330" s="13"/>
      <c r="Q330" s="13"/>
      <c r="R330" s="13"/>
      <c r="S330" s="13"/>
    </row>
    <row r="331" spans="1:23" x14ac:dyDescent="0.3">
      <c r="A331" t="s">
        <v>178</v>
      </c>
      <c r="B331" s="13">
        <f>B325+B326</f>
        <v>384870.6</v>
      </c>
      <c r="C331" s="13">
        <f t="shared" ref="C331:I331" si="130">C325+C326</f>
        <v>393530.10000000003</v>
      </c>
      <c r="D331" s="13">
        <f t="shared" si="130"/>
        <v>434374</v>
      </c>
      <c r="E331" s="13">
        <f t="shared" si="130"/>
        <v>451729.39999999997</v>
      </c>
      <c r="F331" s="13">
        <f t="shared" si="130"/>
        <v>466286.7</v>
      </c>
      <c r="G331" s="13">
        <f t="shared" si="130"/>
        <v>473935.8</v>
      </c>
      <c r="H331" s="13">
        <f t="shared" si="130"/>
        <v>483357.8</v>
      </c>
      <c r="I331" s="13">
        <f t="shared" si="130"/>
        <v>493986.7</v>
      </c>
      <c r="J331" s="59">
        <f t="shared" si="129"/>
        <v>6.3860057077949339E-2</v>
      </c>
      <c r="K331" s="59">
        <f>D278-D278*(D278-D270)*0.5/D270</f>
        <v>7.7523851136482538E-2</v>
      </c>
      <c r="L331" s="13">
        <f>K331/J331</f>
        <v>1.2139646389895142</v>
      </c>
      <c r="M331" s="13"/>
      <c r="N331" t="s">
        <v>178</v>
      </c>
      <c r="O331" s="13"/>
      <c r="P331" s="13"/>
      <c r="Q331" s="13"/>
      <c r="R331" s="13"/>
      <c r="S331" s="13"/>
    </row>
    <row r="332" spans="1:23" x14ac:dyDescent="0.3">
      <c r="A332" t="s">
        <v>179</v>
      </c>
      <c r="B332" s="13">
        <f>B327</f>
        <v>277139</v>
      </c>
      <c r="C332" s="13">
        <f t="shared" ref="C332:I332" si="131">C327</f>
        <v>289011</v>
      </c>
      <c r="D332" s="13">
        <f t="shared" si="131"/>
        <v>380893</v>
      </c>
      <c r="E332" s="13">
        <f t="shared" si="131"/>
        <v>441558</v>
      </c>
      <c r="F332" s="13">
        <f t="shared" si="131"/>
        <v>476517.77500000002</v>
      </c>
      <c r="G332" s="13">
        <f t="shared" si="131"/>
        <v>508914.21</v>
      </c>
      <c r="H332" s="13">
        <f t="shared" si="131"/>
        <v>536639.22</v>
      </c>
      <c r="I332" s="13">
        <f t="shared" si="131"/>
        <v>561775.4</v>
      </c>
      <c r="J332" s="59">
        <f t="shared" si="129"/>
        <v>7.2623431175349099E-2</v>
      </c>
      <c r="K332" s="59">
        <f>D276-D276*(D276-D268)*0.5/D268</f>
        <v>5.9758790887006839E-3</v>
      </c>
      <c r="L332" s="13">
        <f>K332/J332</f>
        <v>8.2285826929217071E-2</v>
      </c>
      <c r="M332" s="13"/>
      <c r="N332" t="s">
        <v>179</v>
      </c>
      <c r="O332" s="13"/>
      <c r="P332" s="13"/>
      <c r="Q332" s="13"/>
      <c r="R332" s="13"/>
      <c r="S332" s="13"/>
    </row>
    <row r="333" spans="1:23" x14ac:dyDescent="0.3">
      <c r="A333" t="s">
        <v>180</v>
      </c>
      <c r="B333" s="13">
        <f>SUM(B329:B332)</f>
        <v>6273358.4999999991</v>
      </c>
      <c r="C333" s="13">
        <f t="shared" ref="C333:I333" si="132">SUM(C329:C332)</f>
        <v>6383598.2999999989</v>
      </c>
      <c r="D333" s="13">
        <f t="shared" si="132"/>
        <v>6841149.1600000001</v>
      </c>
      <c r="E333" s="13">
        <f t="shared" si="132"/>
        <v>7054147.1999999993</v>
      </c>
      <c r="F333" s="13">
        <f t="shared" si="132"/>
        <v>7241529.9750000015</v>
      </c>
      <c r="G333" s="13">
        <f t="shared" si="132"/>
        <v>7398589.9100000001</v>
      </c>
      <c r="H333" s="13">
        <f t="shared" si="132"/>
        <v>7563030.0200000005</v>
      </c>
      <c r="I333" s="13">
        <f t="shared" si="132"/>
        <v>7735456.6000000006</v>
      </c>
      <c r="J333" s="59">
        <f>SUM(J329:J332)</f>
        <v>0.99999999999999978</v>
      </c>
      <c r="K333" s="59">
        <f>SUM(K329:K332)</f>
        <v>0.93979303416629911</v>
      </c>
      <c r="L333" s="13"/>
      <c r="M333" s="13"/>
      <c r="N333" t="s">
        <v>180</v>
      </c>
      <c r="O333" s="13"/>
      <c r="P333" s="13"/>
      <c r="Q333" s="13"/>
      <c r="R333" s="13"/>
      <c r="S333" s="13"/>
    </row>
  </sheetData>
  <mergeCells count="3">
    <mergeCell ref="E283:F283"/>
    <mergeCell ref="G283:H283"/>
    <mergeCell ref="J301:K30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38F2-8746-42EB-9E35-785B9A764CF2}">
  <sheetPr>
    <tabColor theme="9" tint="0.79998168889431442"/>
  </sheetPr>
  <dimension ref="A1:K17"/>
  <sheetViews>
    <sheetView workbookViewId="0">
      <selection activeCell="J5" sqref="J5"/>
    </sheetView>
  </sheetViews>
  <sheetFormatPr defaultRowHeight="14.4" x14ac:dyDescent="0.3"/>
  <sheetData>
    <row r="1" spans="1:11" x14ac:dyDescent="0.3">
      <c r="A1" t="s">
        <v>73</v>
      </c>
      <c r="B1" t="s">
        <v>116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192</v>
      </c>
    </row>
    <row r="2" spans="1:11" x14ac:dyDescent="0.3">
      <c r="A2" t="s">
        <v>64</v>
      </c>
      <c r="B2" t="str" cm="1">
        <f t="array" ref="B2:J9">'TRN-Modes-computation-SW'!N304:V311</f>
        <v>NMT - Cycling</v>
      </c>
      <c r="C2">
        <v>1.37751E-2</v>
      </c>
      <c r="D2">
        <v>1.37751E-2</v>
      </c>
      <c r="E2">
        <v>1.941389406693847E-2</v>
      </c>
      <c r="F2">
        <v>2.5052688133876934E-2</v>
      </c>
      <c r="G2">
        <v>3.0691482200815405E-2</v>
      </c>
      <c r="H2">
        <v>3.6330276267753869E-2</v>
      </c>
      <c r="I2">
        <v>4.196907033469234E-2</v>
      </c>
      <c r="J2">
        <v>4.7607864401630805E-2</v>
      </c>
      <c r="K2" t="s">
        <v>157</v>
      </c>
    </row>
    <row r="3" spans="1:11" x14ac:dyDescent="0.3">
      <c r="A3" t="s">
        <v>64</v>
      </c>
      <c r="B3" t="str">
        <v>NMT - Walking</v>
      </c>
      <c r="C3">
        <v>0.40357500000000002</v>
      </c>
      <c r="D3">
        <v>0.40357500000000002</v>
      </c>
      <c r="E3">
        <v>0.56877716300169812</v>
      </c>
      <c r="F3">
        <v>0.73397932600339622</v>
      </c>
      <c r="G3">
        <v>0.89918148900509443</v>
      </c>
      <c r="H3">
        <v>1.0643836520067924</v>
      </c>
      <c r="I3">
        <v>1.2295858150084906</v>
      </c>
      <c r="J3">
        <v>1.3947879780101888</v>
      </c>
      <c r="K3" t="s">
        <v>158</v>
      </c>
    </row>
    <row r="4" spans="1:11" x14ac:dyDescent="0.3">
      <c r="A4" t="s">
        <v>64</v>
      </c>
      <c r="B4" t="str">
        <v>road - 4W</v>
      </c>
      <c r="C4">
        <v>1</v>
      </c>
      <c r="D4">
        <v>1</v>
      </c>
      <c r="E4">
        <v>0.98404609979736013</v>
      </c>
      <c r="F4">
        <v>0.96809219959472026</v>
      </c>
      <c r="G4">
        <v>0.95213829939208039</v>
      </c>
      <c r="H4">
        <v>0.93618439918944041</v>
      </c>
      <c r="I4">
        <v>0.92023049898680054</v>
      </c>
      <c r="J4">
        <v>0.90427659878416067</v>
      </c>
      <c r="K4" t="s">
        <v>160</v>
      </c>
    </row>
    <row r="5" spans="1:11" x14ac:dyDescent="0.3">
      <c r="A5" t="s">
        <v>64</v>
      </c>
      <c r="B5" t="str">
        <v>road - 2-3W</v>
      </c>
      <c r="C5">
        <v>1.2729000000000001E-2</v>
      </c>
      <c r="D5">
        <v>1.2729000000000001E-2</v>
      </c>
      <c r="E5">
        <v>1.2525922804320598E-2</v>
      </c>
      <c r="F5">
        <v>1.2322845608641194E-2</v>
      </c>
      <c r="G5">
        <v>1.2119768412961791E-2</v>
      </c>
      <c r="H5">
        <v>1.1916691217282388E-2</v>
      </c>
      <c r="I5">
        <v>1.1713614021602984E-2</v>
      </c>
      <c r="J5">
        <v>1.1510536825923581E-2</v>
      </c>
      <c r="K5" t="s">
        <v>130</v>
      </c>
    </row>
    <row r="6" spans="1:11" x14ac:dyDescent="0.3">
      <c r="A6" t="s">
        <v>64</v>
      </c>
      <c r="B6" t="str">
        <v>road - bus</v>
      </c>
      <c r="C6">
        <v>0.38813399999999998</v>
      </c>
      <c r="D6">
        <v>0.38813399999999998</v>
      </c>
      <c r="E6">
        <v>0.38194174889874855</v>
      </c>
      <c r="F6">
        <v>0.37574949779749711</v>
      </c>
      <c r="G6">
        <v>0.36955724669624568</v>
      </c>
      <c r="H6">
        <v>0.36336499559499424</v>
      </c>
      <c r="I6">
        <v>0.35717274449374281</v>
      </c>
      <c r="J6">
        <v>0.35098049339249138</v>
      </c>
      <c r="K6" t="s">
        <v>128</v>
      </c>
    </row>
    <row r="7" spans="1:11" x14ac:dyDescent="0.3">
      <c r="A7" t="s">
        <v>64</v>
      </c>
      <c r="B7" t="str">
        <v>trains - HSR</v>
      </c>
      <c r="C7">
        <v>0</v>
      </c>
      <c r="D7">
        <v>5.8823499999999997E-5</v>
      </c>
      <c r="E7">
        <v>6.3479158720853782E-5</v>
      </c>
      <c r="F7">
        <v>6.813481744170758E-5</v>
      </c>
      <c r="G7">
        <v>7.2790476162561379E-5</v>
      </c>
      <c r="H7">
        <v>7.7446134883415164E-5</v>
      </c>
      <c r="I7">
        <v>8.2101793604268949E-5</v>
      </c>
      <c r="J7">
        <v>8.6757452325122747E-5</v>
      </c>
      <c r="K7" t="s">
        <v>125</v>
      </c>
    </row>
    <row r="8" spans="1:11" x14ac:dyDescent="0.3">
      <c r="A8" t="s">
        <v>64</v>
      </c>
      <c r="B8" t="str">
        <v>trains - Pass Rail</v>
      </c>
      <c r="C8">
        <v>1.32408E-2</v>
      </c>
      <c r="D8">
        <v>1.32408E-2</v>
      </c>
      <c r="E8">
        <v>1.4288759505828129E-2</v>
      </c>
      <c r="F8">
        <v>1.5336719011656256E-2</v>
      </c>
      <c r="G8">
        <v>1.6384678517484385E-2</v>
      </c>
      <c r="H8">
        <v>1.7432638023312512E-2</v>
      </c>
      <c r="I8">
        <v>1.8480597529140642E-2</v>
      </c>
      <c r="J8">
        <v>1.9528557034968769E-2</v>
      </c>
      <c r="K8" t="s">
        <v>126</v>
      </c>
    </row>
    <row r="9" spans="1:11" x14ac:dyDescent="0.3">
      <c r="A9" t="s">
        <v>64</v>
      </c>
      <c r="B9" t="str">
        <v>av - Dom Av</v>
      </c>
      <c r="C9">
        <v>1.4951299999999999E-3</v>
      </c>
      <c r="D9">
        <v>1.4951299999999999E-3</v>
      </c>
      <c r="E9">
        <v>1.2459416666666665E-3</v>
      </c>
      <c r="F9">
        <v>9.9675333333333312E-4</v>
      </c>
      <c r="G9">
        <v>7.4756499999999995E-4</v>
      </c>
      <c r="H9">
        <v>4.9837666666666656E-4</v>
      </c>
      <c r="I9">
        <v>2.4918833333333339E-4</v>
      </c>
      <c r="J9">
        <v>0</v>
      </c>
      <c r="K9" t="s">
        <v>124</v>
      </c>
    </row>
    <row r="10" spans="1:11" x14ac:dyDescent="0.3">
      <c r="A10" t="s">
        <v>65</v>
      </c>
      <c r="B10" t="str" cm="1">
        <f t="array" ref="B10:J17">'TRN-Modes-computation-SW'!N320:V327</f>
        <v>NMT - Cycling</v>
      </c>
      <c r="C10">
        <v>2.39423E-2</v>
      </c>
      <c r="D10">
        <v>2.39423E-2</v>
      </c>
      <c r="E10">
        <v>3.6698092998502338E-2</v>
      </c>
      <c r="F10">
        <v>4.9453885997004676E-2</v>
      </c>
      <c r="G10">
        <v>6.2209678995507008E-2</v>
      </c>
      <c r="H10">
        <v>7.4965471994009353E-2</v>
      </c>
      <c r="I10">
        <v>8.7721264992511677E-2</v>
      </c>
      <c r="J10">
        <v>0.10047705799101402</v>
      </c>
      <c r="K10" t="s">
        <v>157</v>
      </c>
    </row>
    <row r="11" spans="1:11" x14ac:dyDescent="0.3">
      <c r="A11" t="s">
        <v>65</v>
      </c>
      <c r="B11" t="str">
        <v>NMT - Walking</v>
      </c>
      <c r="C11">
        <v>0.701434</v>
      </c>
      <c r="D11">
        <v>0.701434</v>
      </c>
      <c r="E11">
        <v>1.0751385691563253</v>
      </c>
      <c r="F11">
        <v>1.4488431383126505</v>
      </c>
      <c r="G11">
        <v>1.822547707468976</v>
      </c>
      <c r="H11">
        <v>2.1962522766253012</v>
      </c>
      <c r="I11">
        <v>2.5699568457816264</v>
      </c>
      <c r="J11">
        <v>2.9436614149379516</v>
      </c>
      <c r="K11" t="s">
        <v>158</v>
      </c>
    </row>
    <row r="12" spans="1:11" x14ac:dyDescent="0.3">
      <c r="A12" t="s">
        <v>65</v>
      </c>
      <c r="B12" t="str">
        <v>road - 4W</v>
      </c>
      <c r="C12">
        <v>1</v>
      </c>
      <c r="D12">
        <v>1</v>
      </c>
      <c r="E12">
        <v>0.98861728637699731</v>
      </c>
      <c r="F12">
        <v>0.97723457275399461</v>
      </c>
      <c r="G12">
        <v>0.96585185913099192</v>
      </c>
      <c r="H12">
        <v>0.95446914550798911</v>
      </c>
      <c r="I12">
        <v>0.94308643188498642</v>
      </c>
      <c r="J12">
        <v>0.93170371826198373</v>
      </c>
      <c r="K12" t="s">
        <v>160</v>
      </c>
    </row>
    <row r="13" spans="1:11" x14ac:dyDescent="0.3">
      <c r="A13" t="s">
        <v>65</v>
      </c>
      <c r="B13" t="str">
        <v>road - 2-3W</v>
      </c>
      <c r="C13">
        <v>1.9504000000000001E-2</v>
      </c>
      <c r="D13">
        <v>1.9504000000000001E-2</v>
      </c>
      <c r="E13">
        <v>1.9281991553496955E-2</v>
      </c>
      <c r="F13">
        <v>1.9059983106993909E-2</v>
      </c>
      <c r="G13">
        <v>1.8837974660490864E-2</v>
      </c>
      <c r="H13">
        <v>1.8615966213987822E-2</v>
      </c>
      <c r="I13">
        <v>1.8393957767484776E-2</v>
      </c>
      <c r="J13">
        <v>1.8171949320981731E-2</v>
      </c>
      <c r="K13" t="s">
        <v>130</v>
      </c>
    </row>
    <row r="14" spans="1:11" x14ac:dyDescent="0.3">
      <c r="A14" t="s">
        <v>65</v>
      </c>
      <c r="B14" t="str">
        <v>road - bus</v>
      </c>
      <c r="C14">
        <v>5.2677799999999997E-2</v>
      </c>
      <c r="D14">
        <v>5.2677799999999997E-2</v>
      </c>
      <c r="E14">
        <v>5.2078183688310187E-2</v>
      </c>
      <c r="F14">
        <v>5.147856737662037E-2</v>
      </c>
      <c r="G14">
        <v>5.087895106493056E-2</v>
      </c>
      <c r="H14">
        <v>5.0279334753240749E-2</v>
      </c>
      <c r="I14">
        <v>4.9679718441550932E-2</v>
      </c>
      <c r="J14">
        <v>4.9080102129861122E-2</v>
      </c>
      <c r="K14" t="s">
        <v>128</v>
      </c>
    </row>
    <row r="15" spans="1:11" x14ac:dyDescent="0.3">
      <c r="A15" t="s">
        <v>65</v>
      </c>
      <c r="B15" t="str">
        <v>trains - HSR</v>
      </c>
      <c r="C15">
        <v>2.40216E-3</v>
      </c>
      <c r="D15">
        <v>2.3196800000000002E-3</v>
      </c>
      <c r="E15">
        <v>2.4024015822951997E-3</v>
      </c>
      <c r="F15">
        <v>2.4851231645903991E-3</v>
      </c>
      <c r="G15">
        <v>2.5678447468855982E-3</v>
      </c>
      <c r="H15">
        <v>2.6505663291807977E-3</v>
      </c>
      <c r="I15">
        <v>2.7332879114759972E-3</v>
      </c>
      <c r="J15">
        <v>2.8160094937711966E-3</v>
      </c>
      <c r="K15" t="s">
        <v>125</v>
      </c>
    </row>
    <row r="16" spans="1:11" x14ac:dyDescent="0.3">
      <c r="A16" t="s">
        <v>65</v>
      </c>
      <c r="B16" t="str">
        <v>trains - Pass Rail</v>
      </c>
      <c r="C16">
        <v>5.0963399999999999E-2</v>
      </c>
      <c r="D16">
        <v>5.0963399999999999E-2</v>
      </c>
      <c r="E16">
        <v>5.278079424711303E-2</v>
      </c>
      <c r="F16">
        <v>5.4598188494226069E-2</v>
      </c>
      <c r="G16">
        <v>5.6415582741339107E-2</v>
      </c>
      <c r="H16">
        <v>5.8232976988452138E-2</v>
      </c>
      <c r="I16">
        <v>6.005037123556517E-2</v>
      </c>
      <c r="J16">
        <v>6.1867765482678208E-2</v>
      </c>
      <c r="K16" t="s">
        <v>126</v>
      </c>
    </row>
    <row r="17" spans="1:11" x14ac:dyDescent="0.3">
      <c r="A17" t="s">
        <v>65</v>
      </c>
      <c r="B17" t="str">
        <v>av - Dom Av</v>
      </c>
      <c r="C17">
        <v>8.0709300000000005E-3</v>
      </c>
      <c r="D17">
        <v>8.0709300000000005E-3</v>
      </c>
      <c r="E17">
        <v>6.8364621915229717E-3</v>
      </c>
      <c r="F17">
        <v>5.601994383045943E-3</v>
      </c>
      <c r="G17">
        <v>4.3675265745689133E-3</v>
      </c>
      <c r="H17">
        <v>3.1330587660918846E-3</v>
      </c>
      <c r="I17">
        <v>1.8985909576148549E-3</v>
      </c>
      <c r="J17">
        <v>6.6412314913782619E-4</v>
      </c>
      <c r="K17" t="s">
        <v>124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72B0-B79B-4CCE-A3C0-0F7232A060EB}">
  <dimension ref="A1:AC94"/>
  <sheetViews>
    <sheetView topLeftCell="A67" workbookViewId="0">
      <selection activeCell="I95" sqref="I95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199</v>
      </c>
    </row>
    <row r="2" spans="1:29" s="2" customFormat="1" x14ac:dyDescent="0.3"/>
    <row r="3" spans="1:29" s="5" customFormat="1" x14ac:dyDescent="0.3">
      <c r="A3" s="5" t="s">
        <v>197</v>
      </c>
    </row>
    <row r="4" spans="1:29" s="14" customFormat="1" ht="17.399999999999999" x14ac:dyDescent="0.3">
      <c r="A4" s="26" t="s">
        <v>167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111</v>
      </c>
      <c r="D5" s="19" t="s">
        <v>116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445</v>
      </c>
      <c r="B6" s="27" t="s">
        <v>64</v>
      </c>
      <c r="C6" s="19" t="s">
        <v>112</v>
      </c>
      <c r="D6" s="19" t="s">
        <v>117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51257.599999999999</v>
      </c>
      <c r="J6" s="20">
        <v>54355.7</v>
      </c>
      <c r="K6" s="20">
        <v>54468.1</v>
      </c>
      <c r="L6" s="20">
        <v>52524.8295803</v>
      </c>
      <c r="M6" s="20">
        <v>50595.193081400001</v>
      </c>
      <c r="N6" s="20">
        <v>48871.348087999999</v>
      </c>
      <c r="O6" s="20">
        <v>47373.901769999997</v>
      </c>
      <c r="P6" s="20">
        <v>0</v>
      </c>
      <c r="Q6" s="20">
        <v>0</v>
      </c>
      <c r="R6" s="20">
        <v>0</v>
      </c>
      <c r="S6" s="20" t="s">
        <v>168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445</v>
      </c>
      <c r="B7" s="27" t="s">
        <v>64</v>
      </c>
      <c r="C7" s="19" t="s">
        <v>113</v>
      </c>
      <c r="D7" s="19" t="s">
        <v>118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18041.2409999999</v>
      </c>
      <c r="J7" s="20">
        <v>21699.21</v>
      </c>
      <c r="K7" s="20">
        <v>26581.7</v>
      </c>
      <c r="L7" s="20">
        <v>32867.587699999996</v>
      </c>
      <c r="M7" s="20">
        <v>36574.068599999999</v>
      </c>
      <c r="N7" s="20">
        <v>38500.135000000002</v>
      </c>
      <c r="O7" s="20">
        <v>39965.438999999998</v>
      </c>
      <c r="P7" s="21">
        <v>0</v>
      </c>
      <c r="Q7" s="21">
        <v>0</v>
      </c>
      <c r="R7" s="21">
        <v>0</v>
      </c>
      <c r="S7" s="21" t="s">
        <v>169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445</v>
      </c>
      <c r="B8" s="28" t="s">
        <v>64</v>
      </c>
      <c r="C8" s="17" t="s">
        <v>113</v>
      </c>
      <c r="D8" s="17" t="s">
        <v>119</v>
      </c>
      <c r="E8" s="36">
        <v>262042.36</v>
      </c>
      <c r="F8" s="36">
        <v>198205.21400000001</v>
      </c>
      <c r="G8" s="36">
        <v>175160.2</v>
      </c>
      <c r="H8" s="36">
        <v>164781.043799999</v>
      </c>
      <c r="I8" s="36">
        <v>183270.9</v>
      </c>
      <c r="J8" s="36">
        <v>203196.98</v>
      </c>
      <c r="K8" s="36">
        <v>200092.5</v>
      </c>
      <c r="L8" s="36">
        <v>178234.6</v>
      </c>
      <c r="M8" s="36">
        <v>171461.9</v>
      </c>
      <c r="N8" s="36">
        <v>175298.6</v>
      </c>
      <c r="O8" s="36">
        <v>181640.3</v>
      </c>
      <c r="P8" s="17">
        <v>0</v>
      </c>
      <c r="Q8" s="17">
        <v>0</v>
      </c>
      <c r="R8" s="17">
        <v>0</v>
      </c>
      <c r="S8" s="17" t="s">
        <v>169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445</v>
      </c>
      <c r="B9" s="28" t="s">
        <v>64</v>
      </c>
      <c r="C9" s="17" t="s">
        <v>113</v>
      </c>
      <c r="D9" s="17" t="s">
        <v>156</v>
      </c>
      <c r="E9" s="36">
        <v>263310</v>
      </c>
      <c r="F9" s="36">
        <v>397360</v>
      </c>
      <c r="G9" s="36">
        <v>479298</v>
      </c>
      <c r="H9" s="36">
        <v>494165</v>
      </c>
      <c r="I9" s="36">
        <v>545559</v>
      </c>
      <c r="J9" s="36">
        <v>614550</v>
      </c>
      <c r="K9" s="36">
        <v>689248</v>
      </c>
      <c r="L9" s="36">
        <v>758717</v>
      </c>
      <c r="M9" s="36">
        <v>810007</v>
      </c>
      <c r="N9" s="36">
        <v>842771</v>
      </c>
      <c r="O9" s="36">
        <v>867036</v>
      </c>
      <c r="P9" s="17">
        <v>0</v>
      </c>
      <c r="Q9" s="17">
        <v>0</v>
      </c>
      <c r="R9" s="17">
        <v>0</v>
      </c>
      <c r="S9" s="17" t="s">
        <v>169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445</v>
      </c>
      <c r="B10" s="28" t="s">
        <v>64</v>
      </c>
      <c r="C10" s="17" t="s">
        <v>120</v>
      </c>
      <c r="D10" s="17" t="s">
        <v>121</v>
      </c>
      <c r="E10" s="36">
        <v>233530</v>
      </c>
      <c r="F10" s="36">
        <v>354422</v>
      </c>
      <c r="G10" s="36">
        <v>427651</v>
      </c>
      <c r="H10" s="36">
        <v>440708</v>
      </c>
      <c r="I10" s="36">
        <v>486592.3</v>
      </c>
      <c r="J10" s="36">
        <v>547743.77597730001</v>
      </c>
      <c r="K10" s="36">
        <v>613777.25655344001</v>
      </c>
      <c r="L10" s="36">
        <v>675406.31393665995</v>
      </c>
      <c r="M10" s="36">
        <v>721078.49263588001</v>
      </c>
      <c r="N10" s="36">
        <v>749996.43955500005</v>
      </c>
      <c r="O10" s="36">
        <v>770801.15234000003</v>
      </c>
      <c r="P10" s="17">
        <v>0</v>
      </c>
      <c r="Q10" s="17">
        <v>0</v>
      </c>
      <c r="R10" s="17">
        <v>0</v>
      </c>
      <c r="S10" s="17" t="s">
        <v>169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445</v>
      </c>
      <c r="B11" s="27" t="s">
        <v>64</v>
      </c>
      <c r="C11" s="19" t="s">
        <v>120</v>
      </c>
      <c r="D11" s="19" t="s">
        <v>122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12126.824000000001</v>
      </c>
      <c r="J11" s="20">
        <v>13724.69001</v>
      </c>
      <c r="K11" s="20">
        <v>15476.34339</v>
      </c>
      <c r="L11" s="20">
        <v>17085.937310000001</v>
      </c>
      <c r="M11" s="20">
        <v>18238.610919999999</v>
      </c>
      <c r="N11" s="20">
        <v>18970.201099999998</v>
      </c>
      <c r="O11" s="20">
        <v>19542.285</v>
      </c>
      <c r="P11" s="20">
        <v>0</v>
      </c>
      <c r="Q11" s="20">
        <v>0</v>
      </c>
      <c r="R11" s="20">
        <v>0</v>
      </c>
      <c r="S11" s="20" t="s">
        <v>169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445</v>
      </c>
      <c r="B12" s="27" t="s">
        <v>64</v>
      </c>
      <c r="C12" s="19" t="s">
        <v>120</v>
      </c>
      <c r="D12" s="19" t="s">
        <v>123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46840.1</v>
      </c>
      <c r="J12" s="20">
        <v>53084.599399999999</v>
      </c>
      <c r="K12" s="20">
        <v>60005.407799999899</v>
      </c>
      <c r="L12" s="20">
        <v>66244.2359</v>
      </c>
      <c r="M12" s="20">
        <v>70720.086999999898</v>
      </c>
      <c r="N12" s="20">
        <v>73838.717000000004</v>
      </c>
      <c r="O12" s="20">
        <v>76733.441999999995</v>
      </c>
      <c r="P12" s="20">
        <v>0</v>
      </c>
      <c r="Q12" s="20">
        <v>0</v>
      </c>
      <c r="R12" s="20">
        <v>0</v>
      </c>
      <c r="S12" s="20" t="s">
        <v>169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9" customFormat="1" x14ac:dyDescent="0.3">
      <c r="A13" s="29" t="s">
        <v>445</v>
      </c>
      <c r="B13" s="30" t="s">
        <v>64</v>
      </c>
      <c r="C13" s="31" t="s">
        <v>114</v>
      </c>
      <c r="D13" s="31" t="s">
        <v>157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14530.5</v>
      </c>
      <c r="J13" s="33">
        <v>17633.599999999999</v>
      </c>
      <c r="K13" s="33">
        <v>19646.3</v>
      </c>
      <c r="L13" s="33">
        <v>21256.799999999999</v>
      </c>
      <c r="M13" s="33">
        <v>22765</v>
      </c>
      <c r="N13" s="33">
        <v>24068.1</v>
      </c>
      <c r="O13" s="33">
        <v>25173.3</v>
      </c>
      <c r="P13" s="32">
        <v>0</v>
      </c>
      <c r="Q13" s="32">
        <v>0</v>
      </c>
      <c r="R13" s="32">
        <v>0</v>
      </c>
      <c r="S13" s="32" t="s">
        <v>168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s="29" customFormat="1" x14ac:dyDescent="0.3">
      <c r="A14" s="29" t="s">
        <v>445</v>
      </c>
      <c r="B14" s="30" t="s">
        <v>64</v>
      </c>
      <c r="C14" s="31" t="s">
        <v>114</v>
      </c>
      <c r="D14" s="31" t="s">
        <v>124</v>
      </c>
      <c r="E14" s="33">
        <v>5331.03</v>
      </c>
      <c r="F14" s="33">
        <v>5193.26</v>
      </c>
      <c r="G14" s="33">
        <v>5821.69</v>
      </c>
      <c r="H14" s="33">
        <v>6241.59</v>
      </c>
      <c r="I14" s="33">
        <v>7625.92</v>
      </c>
      <c r="J14" s="33">
        <v>8780.91</v>
      </c>
      <c r="K14" s="33">
        <v>8657.99</v>
      </c>
      <c r="L14" s="33">
        <v>7076.2335199999998</v>
      </c>
      <c r="M14" s="33">
        <v>4989.4832999999999</v>
      </c>
      <c r="N14" s="33">
        <v>2556.6156999999998</v>
      </c>
      <c r="O14" s="33">
        <v>0</v>
      </c>
      <c r="P14" s="33">
        <v>0</v>
      </c>
      <c r="Q14" s="33">
        <v>0</v>
      </c>
      <c r="R14" s="33">
        <v>0</v>
      </c>
      <c r="S14" s="33" t="s">
        <v>168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s="29" customFormat="1" x14ac:dyDescent="0.3">
      <c r="A15" s="29" t="s">
        <v>445</v>
      </c>
      <c r="B15" s="30" t="s">
        <v>64</v>
      </c>
      <c r="C15" s="31" t="s">
        <v>114</v>
      </c>
      <c r="D15" s="31" t="s">
        <v>125</v>
      </c>
      <c r="E15" s="33">
        <v>0</v>
      </c>
      <c r="F15" s="33">
        <v>0</v>
      </c>
      <c r="G15" s="33">
        <v>0</v>
      </c>
      <c r="H15" s="33">
        <v>0</v>
      </c>
      <c r="I15" s="33">
        <v>327.27499999999998</v>
      </c>
      <c r="J15" s="33">
        <v>434.90100000000001</v>
      </c>
      <c r="K15" s="33">
        <v>533.245</v>
      </c>
      <c r="L15" s="33">
        <v>627.46699999999998</v>
      </c>
      <c r="M15" s="33">
        <v>720.68299999999999</v>
      </c>
      <c r="N15" s="33">
        <v>818.32</v>
      </c>
      <c r="O15" s="33">
        <v>922.42100000000005</v>
      </c>
      <c r="P15" s="33">
        <v>0</v>
      </c>
      <c r="Q15" s="33">
        <v>0</v>
      </c>
      <c r="R15" s="33">
        <v>0</v>
      </c>
      <c r="S15" s="33" t="s">
        <v>168</v>
      </c>
      <c r="T15" s="32"/>
      <c r="U15" s="32"/>
      <c r="V15" s="32"/>
      <c r="W15" s="32"/>
      <c r="X15" s="32"/>
      <c r="Y15" s="33"/>
      <c r="Z15" s="33"/>
      <c r="AA15" s="33"/>
      <c r="AB15" s="33"/>
      <c r="AC15" s="33"/>
    </row>
    <row r="16" spans="1:29" s="29" customFormat="1" x14ac:dyDescent="0.3">
      <c r="A16" s="29" t="s">
        <v>445</v>
      </c>
      <c r="B16" s="30" t="s">
        <v>64</v>
      </c>
      <c r="C16" s="31" t="s">
        <v>114</v>
      </c>
      <c r="D16" s="31" t="s">
        <v>126</v>
      </c>
      <c r="E16" s="33">
        <v>88848.87</v>
      </c>
      <c r="F16" s="33">
        <v>70151.399999999994</v>
      </c>
      <c r="G16" s="33">
        <v>61930.3</v>
      </c>
      <c r="H16" s="33">
        <v>57839.1</v>
      </c>
      <c r="I16" s="33">
        <v>60895</v>
      </c>
      <c r="J16" s="33">
        <v>66567.199999999997</v>
      </c>
      <c r="K16" s="33">
        <v>69288</v>
      </c>
      <c r="L16" s="33">
        <v>71116.600000000006</v>
      </c>
      <c r="M16" s="33">
        <v>72137.299999999901</v>
      </c>
      <c r="N16" s="33">
        <v>73040.600000000006</v>
      </c>
      <c r="O16" s="33">
        <v>73855.100000000006</v>
      </c>
      <c r="P16" s="33">
        <v>0</v>
      </c>
      <c r="Q16" s="33">
        <v>0</v>
      </c>
      <c r="R16" s="33">
        <v>0</v>
      </c>
      <c r="S16" s="33" t="s">
        <v>168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s="29" customFormat="1" x14ac:dyDescent="0.3">
      <c r="A17" s="29" t="s">
        <v>445</v>
      </c>
      <c r="B17" s="34" t="s">
        <v>64</v>
      </c>
      <c r="C17" s="29" t="s">
        <v>114</v>
      </c>
      <c r="D17" s="29" t="s">
        <v>158</v>
      </c>
      <c r="E17" s="37">
        <v>51798.400000000001</v>
      </c>
      <c r="F17" s="37">
        <v>49595.6</v>
      </c>
      <c r="G17" s="37">
        <v>48833.7</v>
      </c>
      <c r="H17" s="37">
        <v>48072.800000000003</v>
      </c>
      <c r="I17" s="37">
        <v>43592.2</v>
      </c>
      <c r="J17" s="37">
        <v>52901.7</v>
      </c>
      <c r="K17" s="37">
        <v>58939.9</v>
      </c>
      <c r="L17" s="37">
        <v>63771.5</v>
      </c>
      <c r="M17" s="37">
        <v>68296.3</v>
      </c>
      <c r="N17" s="37">
        <v>72205.600000000006</v>
      </c>
      <c r="O17" s="37">
        <v>75521.3</v>
      </c>
      <c r="P17" s="29">
        <v>0</v>
      </c>
      <c r="Q17" s="29">
        <v>0</v>
      </c>
      <c r="R17" s="29">
        <v>0</v>
      </c>
      <c r="S17" s="29" t="s">
        <v>168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1:29" s="14" customFormat="1" x14ac:dyDescent="0.3">
      <c r="A18" s="14" t="s">
        <v>445</v>
      </c>
      <c r="B18" s="44" t="s">
        <v>64</v>
      </c>
      <c r="C18" s="45" t="s">
        <v>114</v>
      </c>
      <c r="D18" s="45" t="s">
        <v>156</v>
      </c>
      <c r="E18" s="46">
        <v>583892</v>
      </c>
      <c r="F18" s="46">
        <v>863587</v>
      </c>
      <c r="G18" s="46">
        <v>1063160</v>
      </c>
      <c r="H18" s="46">
        <v>1126550</v>
      </c>
      <c r="I18" s="46">
        <v>1205090</v>
      </c>
      <c r="J18" s="46">
        <v>1250990</v>
      </c>
      <c r="K18" s="46">
        <v>1264050</v>
      </c>
      <c r="L18" s="46">
        <v>1256920</v>
      </c>
      <c r="M18" s="46">
        <v>1211150</v>
      </c>
      <c r="N18" s="46">
        <v>1165820</v>
      </c>
      <c r="O18" s="46">
        <v>1124390</v>
      </c>
      <c r="P18" s="46">
        <v>0</v>
      </c>
      <c r="Q18" s="46">
        <v>0</v>
      </c>
      <c r="R18" s="46">
        <v>0</v>
      </c>
      <c r="S18" s="46" t="s">
        <v>168</v>
      </c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 spans="1:29" s="29" customFormat="1" x14ac:dyDescent="0.3">
      <c r="A19" s="29" t="s">
        <v>445</v>
      </c>
      <c r="B19" s="34" t="s">
        <v>64</v>
      </c>
      <c r="C19" s="29" t="s">
        <v>127</v>
      </c>
      <c r="D19" s="29" t="s">
        <v>128</v>
      </c>
      <c r="E19" s="37">
        <v>130827.109</v>
      </c>
      <c r="F19" s="37">
        <v>193847.13</v>
      </c>
      <c r="G19" s="37">
        <v>234020.79</v>
      </c>
      <c r="H19" s="37">
        <v>244407.8</v>
      </c>
      <c r="I19" s="37">
        <v>261288.34999999899</v>
      </c>
      <c r="J19" s="37">
        <v>272048.33</v>
      </c>
      <c r="K19" s="37">
        <v>265067.59999999998</v>
      </c>
      <c r="L19" s="37">
        <v>259210.23</v>
      </c>
      <c r="M19" s="37">
        <v>254554.41999999899</v>
      </c>
      <c r="N19" s="37">
        <v>251525.53</v>
      </c>
      <c r="O19" s="37">
        <v>251446.86</v>
      </c>
      <c r="P19" s="29">
        <v>0</v>
      </c>
      <c r="Q19" s="29">
        <v>0</v>
      </c>
      <c r="R19" s="29">
        <v>0</v>
      </c>
      <c r="S19" s="29" t="s">
        <v>168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s="17" customFormat="1" x14ac:dyDescent="0.3">
      <c r="A20" s="17" t="s">
        <v>445</v>
      </c>
      <c r="B20" s="28" t="s">
        <v>64</v>
      </c>
      <c r="C20" s="17" t="s">
        <v>127</v>
      </c>
      <c r="D20" s="17" t="s">
        <v>159</v>
      </c>
      <c r="E20" s="36">
        <v>453065</v>
      </c>
      <c r="F20" s="36">
        <v>669740</v>
      </c>
      <c r="G20" s="36">
        <v>829140</v>
      </c>
      <c r="H20" s="36">
        <v>882142</v>
      </c>
      <c r="I20" s="36">
        <v>943798</v>
      </c>
      <c r="J20" s="36">
        <v>978945</v>
      </c>
      <c r="K20" s="36">
        <v>998979</v>
      </c>
      <c r="L20" s="36">
        <v>997709</v>
      </c>
      <c r="M20" s="36">
        <v>956595</v>
      </c>
      <c r="N20" s="36">
        <v>914293</v>
      </c>
      <c r="O20" s="36">
        <v>872946</v>
      </c>
      <c r="P20" s="17">
        <v>0</v>
      </c>
      <c r="Q20" s="17">
        <v>0</v>
      </c>
      <c r="R20" s="17">
        <v>0</v>
      </c>
      <c r="S20" s="17" t="s">
        <v>168</v>
      </c>
    </row>
    <row r="21" spans="1:29" s="29" customFormat="1" x14ac:dyDescent="0.3">
      <c r="A21" s="29" t="s">
        <v>445</v>
      </c>
      <c r="B21" s="30" t="s">
        <v>64</v>
      </c>
      <c r="C21" s="31" t="s">
        <v>129</v>
      </c>
      <c r="D21" s="31" t="s">
        <v>130</v>
      </c>
      <c r="E21" s="33">
        <v>22360.7</v>
      </c>
      <c r="F21" s="33">
        <v>31155.7</v>
      </c>
      <c r="G21" s="33">
        <v>38297.300000000003</v>
      </c>
      <c r="H21" s="33">
        <v>40976.699999999997</v>
      </c>
      <c r="I21" s="33">
        <v>40870.800000000003</v>
      </c>
      <c r="J21" s="33">
        <v>40232.300000000003</v>
      </c>
      <c r="K21" s="33">
        <v>37131.699999999997</v>
      </c>
      <c r="L21" s="33">
        <v>34013.300000000003</v>
      </c>
      <c r="M21" s="33">
        <v>31228.400000000001</v>
      </c>
      <c r="N21" s="33">
        <v>28892.6</v>
      </c>
      <c r="O21" s="33">
        <v>26821.9</v>
      </c>
      <c r="P21" s="33">
        <v>0</v>
      </c>
      <c r="Q21" s="33">
        <v>0</v>
      </c>
      <c r="R21" s="33">
        <v>0</v>
      </c>
      <c r="S21" s="33" t="s">
        <v>168</v>
      </c>
    </row>
    <row r="22" spans="1:29" s="29" customFormat="1" x14ac:dyDescent="0.3">
      <c r="A22" s="29" t="s">
        <v>445</v>
      </c>
      <c r="B22" s="34" t="s">
        <v>64</v>
      </c>
      <c r="C22" s="29" t="s">
        <v>129</v>
      </c>
      <c r="D22" s="29" t="s">
        <v>160</v>
      </c>
      <c r="E22" s="37">
        <v>430704</v>
      </c>
      <c r="F22" s="37">
        <v>638584</v>
      </c>
      <c r="G22" s="37">
        <v>790843</v>
      </c>
      <c r="H22" s="37">
        <v>841165</v>
      </c>
      <c r="I22" s="37">
        <v>902927</v>
      </c>
      <c r="J22" s="37">
        <v>938713</v>
      </c>
      <c r="K22" s="37">
        <v>961848</v>
      </c>
      <c r="L22" s="37">
        <v>963696</v>
      </c>
      <c r="M22" s="37">
        <v>925366</v>
      </c>
      <c r="N22" s="37">
        <v>885400</v>
      </c>
      <c r="O22" s="37">
        <v>846124</v>
      </c>
      <c r="P22" s="29">
        <v>0</v>
      </c>
      <c r="Q22" s="29">
        <v>0</v>
      </c>
      <c r="R22" s="29">
        <v>0</v>
      </c>
      <c r="S22" s="29" t="s">
        <v>168</v>
      </c>
    </row>
    <row r="23" spans="1:29" s="17" customFormat="1" x14ac:dyDescent="0.3">
      <c r="A23" s="17" t="s">
        <v>445</v>
      </c>
      <c r="B23" s="28" t="s">
        <v>64</v>
      </c>
      <c r="C23" s="17" t="s">
        <v>131</v>
      </c>
      <c r="D23" s="17" t="s">
        <v>132</v>
      </c>
      <c r="E23" s="36">
        <v>423194.69020000001</v>
      </c>
      <c r="F23" s="36">
        <v>630800.50026</v>
      </c>
      <c r="G23" s="36">
        <v>782030.37889000005</v>
      </c>
      <c r="H23" s="36">
        <v>832141.27720000001</v>
      </c>
      <c r="I23" s="36">
        <v>892879.33719999995</v>
      </c>
      <c r="J23" s="36">
        <v>927669.48726999899</v>
      </c>
      <c r="K23" s="36">
        <v>949225.77661999897</v>
      </c>
      <c r="L23" s="36">
        <v>949650.38572999998</v>
      </c>
      <c r="M23" s="36">
        <v>910599.53752999904</v>
      </c>
      <c r="N23" s="36">
        <v>870511.89353999996</v>
      </c>
      <c r="O23" s="36">
        <v>831094.58157999895</v>
      </c>
      <c r="P23" s="17">
        <v>0</v>
      </c>
      <c r="Q23" s="17">
        <v>0</v>
      </c>
      <c r="R23" s="17">
        <v>0</v>
      </c>
      <c r="S23" s="17" t="s">
        <v>168</v>
      </c>
    </row>
    <row r="24" spans="1:29" s="17" customFormat="1" x14ac:dyDescent="0.3">
      <c r="A24" s="17" t="s">
        <v>445</v>
      </c>
      <c r="B24" s="27" t="s">
        <v>64</v>
      </c>
      <c r="C24" s="19" t="s">
        <v>131</v>
      </c>
      <c r="D24" s="19" t="s">
        <v>133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10047.7915999999</v>
      </c>
      <c r="J24" s="20">
        <v>11042.859270000001</v>
      </c>
      <c r="K24" s="20">
        <v>12622.705667</v>
      </c>
      <c r="L24" s="20">
        <v>14045.396902999901</v>
      </c>
      <c r="M24" s="20">
        <v>14767.633803999999</v>
      </c>
      <c r="N24" s="20">
        <v>14888.536742</v>
      </c>
      <c r="O24" s="20">
        <v>15029.4017309999</v>
      </c>
      <c r="P24" s="20">
        <v>0</v>
      </c>
      <c r="Q24" s="20">
        <v>0</v>
      </c>
      <c r="R24" s="20">
        <v>0</v>
      </c>
      <c r="S24" s="20" t="s">
        <v>168</v>
      </c>
    </row>
    <row r="25" spans="1:29" s="17" customFormat="1" x14ac:dyDescent="0.3">
      <c r="A25" s="17" t="s">
        <v>445</v>
      </c>
      <c r="B25" s="28" t="s">
        <v>64</v>
      </c>
      <c r="C25" s="17" t="s">
        <v>115</v>
      </c>
      <c r="D25" s="17" t="s">
        <v>134</v>
      </c>
      <c r="E25" s="36">
        <v>318546</v>
      </c>
      <c r="F25" s="36">
        <v>629335</v>
      </c>
      <c r="G25" s="36">
        <v>1326250</v>
      </c>
      <c r="H25" s="36">
        <v>1324840</v>
      </c>
      <c r="I25" s="36">
        <v>1413986.1</v>
      </c>
      <c r="J25" s="36">
        <v>1515977</v>
      </c>
      <c r="K25" s="36">
        <v>1618521</v>
      </c>
      <c r="L25" s="36">
        <v>1745602.7111</v>
      </c>
      <c r="M25" s="36">
        <v>1821159.7830000001</v>
      </c>
      <c r="N25" s="36">
        <v>1870547.378</v>
      </c>
      <c r="O25" s="36">
        <v>1912805.27</v>
      </c>
      <c r="P25" s="17">
        <v>0</v>
      </c>
      <c r="Q25" s="17">
        <v>0</v>
      </c>
      <c r="R25" s="17">
        <v>0</v>
      </c>
      <c r="S25" s="17" t="s">
        <v>169</v>
      </c>
    </row>
    <row r="26" spans="1:29" s="17" customFormat="1" x14ac:dyDescent="0.3">
      <c r="A26" s="17" t="s">
        <v>445</v>
      </c>
      <c r="B26" s="28" t="s">
        <v>65</v>
      </c>
      <c r="C26" s="17" t="s">
        <v>112</v>
      </c>
      <c r="D26" s="17" t="s">
        <v>117</v>
      </c>
      <c r="E26" s="36">
        <v>212576</v>
      </c>
      <c r="F26" s="36">
        <v>353555</v>
      </c>
      <c r="G26" s="36">
        <v>368359</v>
      </c>
      <c r="H26" s="36">
        <v>399505</v>
      </c>
      <c r="I26" s="36">
        <v>411222</v>
      </c>
      <c r="J26" s="36">
        <v>382383</v>
      </c>
      <c r="K26" s="36">
        <v>369065</v>
      </c>
      <c r="L26" s="36">
        <v>346593.18988349999</v>
      </c>
      <c r="M26" s="36">
        <v>324764.49330500001</v>
      </c>
      <c r="N26" s="36">
        <v>304072.98927999998</v>
      </c>
      <c r="O26" s="36">
        <v>285807.95909999998</v>
      </c>
      <c r="P26" s="17">
        <v>0</v>
      </c>
      <c r="Q26" s="17">
        <v>0</v>
      </c>
      <c r="R26" s="17">
        <v>0</v>
      </c>
      <c r="S26" s="17" t="s">
        <v>168</v>
      </c>
    </row>
    <row r="27" spans="1:29" s="17" customFormat="1" x14ac:dyDescent="0.3">
      <c r="A27" s="17" t="s">
        <v>445</v>
      </c>
      <c r="B27" s="28" t="s">
        <v>65</v>
      </c>
      <c r="C27" s="17" t="s">
        <v>113</v>
      </c>
      <c r="D27" s="17" t="s">
        <v>118</v>
      </c>
      <c r="E27" s="36">
        <v>568313</v>
      </c>
      <c r="F27" s="36">
        <v>667205</v>
      </c>
      <c r="G27" s="36">
        <v>602977</v>
      </c>
      <c r="H27" s="36">
        <v>455554</v>
      </c>
      <c r="I27" s="36">
        <v>462227.20000000001</v>
      </c>
      <c r="J27" s="36">
        <v>535922.30000000005</v>
      </c>
      <c r="K27" s="36">
        <v>613388</v>
      </c>
      <c r="L27" s="36">
        <v>727564.76</v>
      </c>
      <c r="M27" s="36">
        <v>806220.15599999996</v>
      </c>
      <c r="N27" s="36">
        <v>857190.69</v>
      </c>
      <c r="O27" s="36">
        <v>905439.57</v>
      </c>
      <c r="P27" s="17">
        <v>0</v>
      </c>
      <c r="Q27" s="17">
        <v>0</v>
      </c>
      <c r="R27" s="17">
        <v>0</v>
      </c>
      <c r="S27" s="17" t="s">
        <v>169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445</v>
      </c>
      <c r="B28" s="28" t="s">
        <v>65</v>
      </c>
      <c r="C28" s="17" t="s">
        <v>113</v>
      </c>
      <c r="D28" s="17" t="s">
        <v>119</v>
      </c>
      <c r="E28" s="36">
        <v>250445.02100000001</v>
      </c>
      <c r="F28" s="36">
        <v>306181.59999999998</v>
      </c>
      <c r="G28" s="36">
        <v>294236.7</v>
      </c>
      <c r="H28" s="36">
        <v>303575.09999999998</v>
      </c>
      <c r="I28" s="36">
        <v>311916.3</v>
      </c>
      <c r="J28" s="36">
        <v>339809.42</v>
      </c>
      <c r="K28" s="36">
        <v>326780.7</v>
      </c>
      <c r="L28" s="36">
        <v>294374.69999999902</v>
      </c>
      <c r="M28" s="36">
        <v>288555.40000000002</v>
      </c>
      <c r="N28" s="36">
        <v>301878.19999999902</v>
      </c>
      <c r="O28" s="36">
        <v>320104.40000000002</v>
      </c>
      <c r="P28" s="17">
        <v>0</v>
      </c>
      <c r="Q28" s="17">
        <v>0</v>
      </c>
      <c r="R28" s="17">
        <v>0</v>
      </c>
      <c r="S28" s="17" t="s">
        <v>169</v>
      </c>
    </row>
    <row r="29" spans="1:29" s="17" customFormat="1" x14ac:dyDescent="0.3">
      <c r="A29" s="17" t="s">
        <v>445</v>
      </c>
      <c r="B29" s="28" t="s">
        <v>65</v>
      </c>
      <c r="C29" s="17" t="s">
        <v>113</v>
      </c>
      <c r="D29" s="17" t="s">
        <v>156</v>
      </c>
      <c r="E29" s="36">
        <v>1112710</v>
      </c>
      <c r="F29" s="36">
        <v>1402240</v>
      </c>
      <c r="G29" s="36">
        <v>1362490</v>
      </c>
      <c r="H29" s="36">
        <v>1331530</v>
      </c>
      <c r="I29" s="36">
        <v>1340410</v>
      </c>
      <c r="J29" s="36">
        <v>1470370</v>
      </c>
      <c r="K29" s="36">
        <v>1544410</v>
      </c>
      <c r="L29" s="36">
        <v>1620480</v>
      </c>
      <c r="M29" s="36">
        <v>1701860</v>
      </c>
      <c r="N29" s="36">
        <v>1783320</v>
      </c>
      <c r="O29" s="36">
        <v>1860920</v>
      </c>
      <c r="P29" s="17">
        <v>0</v>
      </c>
      <c r="Q29" s="17">
        <v>0</v>
      </c>
      <c r="R29" s="17">
        <v>0</v>
      </c>
      <c r="S29" s="17" t="s">
        <v>169</v>
      </c>
    </row>
    <row r="30" spans="1:29" s="17" customFormat="1" x14ac:dyDescent="0.3">
      <c r="A30" s="17" t="s">
        <v>445</v>
      </c>
      <c r="B30" s="28" t="s">
        <v>65</v>
      </c>
      <c r="C30" s="17" t="s">
        <v>120</v>
      </c>
      <c r="D30" s="17" t="s">
        <v>121</v>
      </c>
      <c r="E30" s="36">
        <v>1024130</v>
      </c>
      <c r="F30" s="36">
        <v>1290600</v>
      </c>
      <c r="G30" s="36">
        <v>1253810</v>
      </c>
      <c r="H30" s="36">
        <v>1225120</v>
      </c>
      <c r="I30" s="36">
        <v>1233301.45</v>
      </c>
      <c r="J30" s="36">
        <v>1352559.72816421</v>
      </c>
      <c r="K30" s="36">
        <v>1420178.02416195</v>
      </c>
      <c r="L30" s="36">
        <v>1490092.9438210099</v>
      </c>
      <c r="M30" s="36">
        <v>1565201.50545376</v>
      </c>
      <c r="N30" s="36">
        <v>1640025.1905071</v>
      </c>
      <c r="O30" s="36">
        <v>1710621.5393399999</v>
      </c>
      <c r="P30" s="17">
        <v>0</v>
      </c>
      <c r="Q30" s="17">
        <v>0</v>
      </c>
      <c r="R30" s="17">
        <v>0</v>
      </c>
      <c r="S30" s="17" t="s">
        <v>169</v>
      </c>
    </row>
    <row r="31" spans="1:29" s="17" customFormat="1" x14ac:dyDescent="0.3">
      <c r="A31" s="17" t="s">
        <v>445</v>
      </c>
      <c r="B31" s="27" t="s">
        <v>65</v>
      </c>
      <c r="C31" s="19" t="s">
        <v>120</v>
      </c>
      <c r="D31" s="19" t="s">
        <v>122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</v>
      </c>
      <c r="J31" s="20">
        <v>40147.9882</v>
      </c>
      <c r="K31" s="20">
        <v>42328.090100000001</v>
      </c>
      <c r="L31" s="20">
        <v>44479.051099999997</v>
      </c>
      <c r="M31" s="20">
        <v>46650.7430199999</v>
      </c>
      <c r="N31" s="20">
        <v>48844.745399999898</v>
      </c>
      <c r="O31" s="20">
        <v>51025.154000000002</v>
      </c>
      <c r="P31" s="20">
        <v>0</v>
      </c>
      <c r="Q31" s="20">
        <v>0</v>
      </c>
      <c r="R31" s="20">
        <v>0</v>
      </c>
      <c r="S31" s="20" t="s">
        <v>169</v>
      </c>
    </row>
    <row r="32" spans="1:29" s="17" customFormat="1" x14ac:dyDescent="0.3">
      <c r="A32" s="17" t="s">
        <v>445</v>
      </c>
      <c r="B32" s="28" t="s">
        <v>65</v>
      </c>
      <c r="C32" s="17" t="s">
        <v>120</v>
      </c>
      <c r="D32" s="17" t="s">
        <v>123</v>
      </c>
      <c r="E32" s="36">
        <v>58674.9</v>
      </c>
      <c r="F32" s="36">
        <v>73941.7</v>
      </c>
      <c r="G32" s="36">
        <v>71833.600000000006</v>
      </c>
      <c r="H32" s="36">
        <v>70189.600000000006</v>
      </c>
      <c r="I32" s="36">
        <v>70630.070000000007</v>
      </c>
      <c r="J32" s="36">
        <v>77676.137300000002</v>
      </c>
      <c r="K32" s="36">
        <v>81954.913499999995</v>
      </c>
      <c r="L32" s="36">
        <v>86007.963600000003</v>
      </c>
      <c r="M32" s="36">
        <v>90144.483699999997</v>
      </c>
      <c r="N32" s="36">
        <v>94604.416999999899</v>
      </c>
      <c r="O32" s="36">
        <v>99464.028999999893</v>
      </c>
      <c r="P32" s="17">
        <v>0</v>
      </c>
      <c r="Q32" s="17">
        <v>0</v>
      </c>
      <c r="R32" s="17">
        <v>0</v>
      </c>
      <c r="S32" s="17" t="s">
        <v>169</v>
      </c>
    </row>
    <row r="33" spans="1:19" s="29" customFormat="1" x14ac:dyDescent="0.3">
      <c r="A33" s="29" t="s">
        <v>445</v>
      </c>
      <c r="B33" s="30" t="s">
        <v>65</v>
      </c>
      <c r="C33" s="31" t="s">
        <v>114</v>
      </c>
      <c r="D33" s="31" t="s">
        <v>157</v>
      </c>
      <c r="E33" s="33">
        <v>34966.699999999997</v>
      </c>
      <c r="F33" s="33">
        <v>37111.599999999999</v>
      </c>
      <c r="G33" s="33">
        <v>37862.6</v>
      </c>
      <c r="H33" s="33">
        <v>38400.6</v>
      </c>
      <c r="I33" s="33">
        <v>38726.199999999997</v>
      </c>
      <c r="J33" s="33">
        <v>51724.1</v>
      </c>
      <c r="K33" s="33">
        <v>63377.4</v>
      </c>
      <c r="L33" s="33">
        <v>73057.600000000006</v>
      </c>
      <c r="M33" s="33">
        <v>81270.2</v>
      </c>
      <c r="N33" s="33">
        <v>88185</v>
      </c>
      <c r="O33" s="33">
        <v>94072.8</v>
      </c>
      <c r="P33" s="33">
        <v>0</v>
      </c>
      <c r="Q33" s="33">
        <v>0</v>
      </c>
      <c r="R33" s="33">
        <v>0</v>
      </c>
      <c r="S33" s="33" t="s">
        <v>168</v>
      </c>
    </row>
    <row r="34" spans="1:19" s="29" customFormat="1" x14ac:dyDescent="0.3">
      <c r="A34" s="29" t="s">
        <v>445</v>
      </c>
      <c r="B34" s="34" t="s">
        <v>65</v>
      </c>
      <c r="C34" s="29" t="s">
        <v>114</v>
      </c>
      <c r="D34" s="29" t="s">
        <v>124</v>
      </c>
      <c r="E34" s="37">
        <v>147471</v>
      </c>
      <c r="F34" s="37">
        <v>245272</v>
      </c>
      <c r="G34" s="37">
        <v>255527</v>
      </c>
      <c r="H34" s="37">
        <v>277139</v>
      </c>
      <c r="I34" s="37">
        <v>289011</v>
      </c>
      <c r="J34" s="37">
        <v>302553</v>
      </c>
      <c r="K34" s="37">
        <v>271268</v>
      </c>
      <c r="L34" s="37">
        <v>216421.848</v>
      </c>
      <c r="M34" s="37">
        <v>157848.88399999999</v>
      </c>
      <c r="N34" s="37">
        <v>96393.351999999999</v>
      </c>
      <c r="O34" s="37">
        <v>33838.720000000001</v>
      </c>
      <c r="P34" s="35">
        <v>0</v>
      </c>
      <c r="Q34" s="35">
        <v>0</v>
      </c>
      <c r="R34" s="35">
        <v>0</v>
      </c>
      <c r="S34" s="35" t="s">
        <v>168</v>
      </c>
    </row>
    <row r="35" spans="1:19" s="29" customFormat="1" x14ac:dyDescent="0.3">
      <c r="A35" s="29" t="s">
        <v>445</v>
      </c>
      <c r="B35" s="30" t="s">
        <v>65</v>
      </c>
      <c r="C35" s="31" t="s">
        <v>114</v>
      </c>
      <c r="D35" s="31" t="s">
        <v>125</v>
      </c>
      <c r="E35" s="33">
        <v>17093.7</v>
      </c>
      <c r="F35" s="33">
        <v>20739.3</v>
      </c>
      <c r="G35" s="33">
        <v>19886.5</v>
      </c>
      <c r="H35" s="33">
        <v>21065.1</v>
      </c>
      <c r="I35" s="33">
        <v>21008.400000000001</v>
      </c>
      <c r="J35" s="33">
        <v>27058.799999999999</v>
      </c>
      <c r="K35" s="33">
        <v>31363.200000000001</v>
      </c>
      <c r="L35" s="33">
        <v>36118.5</v>
      </c>
      <c r="M35" s="33">
        <v>37298.9</v>
      </c>
      <c r="N35" s="33">
        <v>38896.5</v>
      </c>
      <c r="O35" s="33">
        <v>40849.5</v>
      </c>
      <c r="P35" s="33">
        <v>0</v>
      </c>
      <c r="Q35" s="33">
        <v>0</v>
      </c>
      <c r="R35" s="33">
        <v>0</v>
      </c>
      <c r="S35" s="33" t="s">
        <v>168</v>
      </c>
    </row>
    <row r="36" spans="1:19" s="29" customFormat="1" x14ac:dyDescent="0.3">
      <c r="A36" s="29" t="s">
        <v>445</v>
      </c>
      <c r="B36" s="34" t="s">
        <v>65</v>
      </c>
      <c r="C36" s="29" t="s">
        <v>114</v>
      </c>
      <c r="D36" s="29" t="s">
        <v>126</v>
      </c>
      <c r="E36" s="37">
        <v>296811</v>
      </c>
      <c r="F36" s="37">
        <v>362300.8</v>
      </c>
      <c r="G36" s="37">
        <v>347860.3</v>
      </c>
      <c r="H36" s="37">
        <v>363805.5</v>
      </c>
      <c r="I36" s="37">
        <v>372521.6</v>
      </c>
      <c r="J36" s="37">
        <v>395593.4</v>
      </c>
      <c r="K36" s="37">
        <v>398780.4</v>
      </c>
      <c r="L36" s="37">
        <v>400491.3</v>
      </c>
      <c r="M36" s="37">
        <v>400201.6</v>
      </c>
      <c r="N36" s="37">
        <v>402394.5</v>
      </c>
      <c r="O36" s="37">
        <v>406446.8</v>
      </c>
      <c r="P36" s="29">
        <v>0</v>
      </c>
      <c r="Q36" s="29">
        <v>0</v>
      </c>
      <c r="R36" s="29">
        <v>0</v>
      </c>
      <c r="S36" s="29" t="s">
        <v>168</v>
      </c>
    </row>
    <row r="37" spans="1:19" s="29" customFormat="1" x14ac:dyDescent="0.3">
      <c r="A37" s="29" t="s">
        <v>445</v>
      </c>
      <c r="B37" s="34" t="s">
        <v>65</v>
      </c>
      <c r="C37" s="29" t="s">
        <v>114</v>
      </c>
      <c r="D37" s="29" t="s">
        <v>158</v>
      </c>
      <c r="E37" s="37">
        <v>104898</v>
      </c>
      <c r="F37" s="37">
        <v>111333</v>
      </c>
      <c r="G37" s="37">
        <v>113588</v>
      </c>
      <c r="H37" s="37">
        <v>115202</v>
      </c>
      <c r="I37" s="37">
        <v>116179</v>
      </c>
      <c r="J37" s="37">
        <v>155172</v>
      </c>
      <c r="K37" s="37">
        <v>190132</v>
      </c>
      <c r="L37" s="37">
        <v>219173</v>
      </c>
      <c r="M37" s="37">
        <v>243810</v>
      </c>
      <c r="N37" s="37">
        <v>264555</v>
      </c>
      <c r="O37" s="37">
        <v>282218</v>
      </c>
      <c r="P37" s="29">
        <v>0</v>
      </c>
      <c r="Q37" s="29">
        <v>0</v>
      </c>
      <c r="R37" s="29">
        <v>0</v>
      </c>
      <c r="S37" s="29" t="s">
        <v>168</v>
      </c>
    </row>
    <row r="38" spans="1:19" s="14" customFormat="1" x14ac:dyDescent="0.3">
      <c r="A38" s="14" t="s">
        <v>445</v>
      </c>
      <c r="B38" s="51" t="s">
        <v>65</v>
      </c>
      <c r="C38" s="14" t="s">
        <v>114</v>
      </c>
      <c r="D38" s="14" t="s">
        <v>156</v>
      </c>
      <c r="E38" s="52">
        <v>4231630</v>
      </c>
      <c r="F38" s="52">
        <v>5349060</v>
      </c>
      <c r="G38" s="52">
        <v>5368570</v>
      </c>
      <c r="H38" s="52">
        <v>5457750</v>
      </c>
      <c r="I38" s="52">
        <v>5546150</v>
      </c>
      <c r="J38" s="52">
        <v>5510690</v>
      </c>
      <c r="K38" s="52">
        <v>5320020</v>
      </c>
      <c r="L38" s="52">
        <v>5162220</v>
      </c>
      <c r="M38" s="52">
        <v>5009360</v>
      </c>
      <c r="N38" s="52">
        <v>4886120</v>
      </c>
      <c r="O38" s="52">
        <v>4787220</v>
      </c>
      <c r="P38" s="14">
        <v>0</v>
      </c>
      <c r="Q38" s="14">
        <v>0</v>
      </c>
      <c r="R38" s="14">
        <v>0</v>
      </c>
      <c r="S38" s="14" t="s">
        <v>168</v>
      </c>
    </row>
    <row r="39" spans="1:19" s="29" customFormat="1" x14ac:dyDescent="0.3">
      <c r="A39" s="29" t="s">
        <v>445</v>
      </c>
      <c r="B39" s="34" t="s">
        <v>65</v>
      </c>
      <c r="C39" s="29" t="s">
        <v>127</v>
      </c>
      <c r="D39" s="29" t="s">
        <v>128</v>
      </c>
      <c r="E39" s="37">
        <v>573900.19999999995</v>
      </c>
      <c r="F39" s="37">
        <v>739489.7</v>
      </c>
      <c r="G39" s="37">
        <v>752113.8</v>
      </c>
      <c r="H39" s="37">
        <v>777922</v>
      </c>
      <c r="I39" s="37">
        <v>777346.799999999</v>
      </c>
      <c r="J39" s="37">
        <v>674696.799999999</v>
      </c>
      <c r="K39" s="37">
        <v>603104.5</v>
      </c>
      <c r="L39" s="37">
        <v>540518.19999999995</v>
      </c>
      <c r="M39" s="37">
        <v>490599</v>
      </c>
      <c r="N39" s="37">
        <v>449305.4</v>
      </c>
      <c r="O39" s="37">
        <v>413892.19999999902</v>
      </c>
      <c r="P39" s="29">
        <v>0</v>
      </c>
      <c r="Q39" s="29">
        <v>0</v>
      </c>
      <c r="R39" s="29">
        <v>0</v>
      </c>
      <c r="S39" s="29" t="s">
        <v>168</v>
      </c>
    </row>
    <row r="40" spans="1:19" s="17" customFormat="1" x14ac:dyDescent="0.3">
      <c r="A40" s="17" t="s">
        <v>445</v>
      </c>
      <c r="B40" s="28" t="s">
        <v>65</v>
      </c>
      <c r="C40" s="17" t="s">
        <v>127</v>
      </c>
      <c r="D40" s="17" t="s">
        <v>159</v>
      </c>
      <c r="E40" s="36">
        <v>3657730</v>
      </c>
      <c r="F40" s="36">
        <v>4609570</v>
      </c>
      <c r="G40" s="36">
        <v>4616450</v>
      </c>
      <c r="H40" s="36">
        <v>4679830</v>
      </c>
      <c r="I40" s="36">
        <v>4768800</v>
      </c>
      <c r="J40" s="36">
        <v>4836000</v>
      </c>
      <c r="K40" s="36">
        <v>4716910</v>
      </c>
      <c r="L40" s="36">
        <v>4621700</v>
      </c>
      <c r="M40" s="36">
        <v>4518760</v>
      </c>
      <c r="N40" s="36">
        <v>4436810</v>
      </c>
      <c r="O40" s="36">
        <v>4373320</v>
      </c>
      <c r="P40" s="17">
        <v>0</v>
      </c>
      <c r="Q40" s="17">
        <v>0</v>
      </c>
      <c r="R40" s="17">
        <v>0</v>
      </c>
      <c r="S40" s="17" t="s">
        <v>168</v>
      </c>
    </row>
    <row r="41" spans="1:19" s="29" customFormat="1" x14ac:dyDescent="0.3">
      <c r="A41" s="29" t="s">
        <v>445</v>
      </c>
      <c r="B41" s="34" t="s">
        <v>65</v>
      </c>
      <c r="C41" s="29" t="s">
        <v>129</v>
      </c>
      <c r="D41" s="29" t="s">
        <v>130</v>
      </c>
      <c r="E41" s="37">
        <v>72561.2</v>
      </c>
      <c r="F41" s="37">
        <v>91441</v>
      </c>
      <c r="G41" s="37">
        <v>91678.399999999994</v>
      </c>
      <c r="H41" s="37">
        <v>93044.3</v>
      </c>
      <c r="I41" s="37">
        <v>95684.3</v>
      </c>
      <c r="J41" s="37">
        <v>97575.7</v>
      </c>
      <c r="K41" s="37">
        <v>94651.5</v>
      </c>
      <c r="L41" s="37">
        <v>91819</v>
      </c>
      <c r="M41" s="37">
        <v>88512.3</v>
      </c>
      <c r="N41" s="37">
        <v>86027.7</v>
      </c>
      <c r="O41" s="37">
        <v>84163.9</v>
      </c>
      <c r="P41" s="29">
        <v>0</v>
      </c>
      <c r="Q41" s="29">
        <v>0</v>
      </c>
      <c r="R41" s="29">
        <v>0</v>
      </c>
      <c r="S41" s="29" t="s">
        <v>168</v>
      </c>
    </row>
    <row r="42" spans="1:19" s="29" customFormat="1" x14ac:dyDescent="0.3">
      <c r="A42" s="29" t="s">
        <v>445</v>
      </c>
      <c r="B42" s="34" t="s">
        <v>65</v>
      </c>
      <c r="C42" s="29" t="s">
        <v>129</v>
      </c>
      <c r="D42" s="29" t="s">
        <v>160</v>
      </c>
      <c r="E42" s="37">
        <v>3585170</v>
      </c>
      <c r="F42" s="37">
        <v>4518130</v>
      </c>
      <c r="G42" s="37">
        <v>4524770</v>
      </c>
      <c r="H42" s="37">
        <v>4586780</v>
      </c>
      <c r="I42" s="37">
        <v>4673120</v>
      </c>
      <c r="J42" s="37">
        <v>4738420</v>
      </c>
      <c r="K42" s="37">
        <v>4622260</v>
      </c>
      <c r="L42" s="37">
        <v>4529880</v>
      </c>
      <c r="M42" s="37">
        <v>4430250</v>
      </c>
      <c r="N42" s="37">
        <v>4350780</v>
      </c>
      <c r="O42" s="37">
        <v>4289160</v>
      </c>
      <c r="P42" s="29">
        <v>0</v>
      </c>
      <c r="Q42" s="29">
        <v>0</v>
      </c>
      <c r="R42" s="29">
        <v>0</v>
      </c>
      <c r="S42" s="29" t="s">
        <v>168</v>
      </c>
    </row>
    <row r="43" spans="1:19" s="17" customFormat="1" x14ac:dyDescent="0.3">
      <c r="A43" s="17" t="s">
        <v>445</v>
      </c>
      <c r="B43" s="28" t="s">
        <v>65</v>
      </c>
      <c r="C43" s="17" t="s">
        <v>131</v>
      </c>
      <c r="D43" s="17" t="s">
        <v>132</v>
      </c>
      <c r="E43" s="36">
        <v>2925308.7354000001</v>
      </c>
      <c r="F43" s="36">
        <v>3686544.997</v>
      </c>
      <c r="G43" s="36">
        <v>3690967.2480000001</v>
      </c>
      <c r="H43" s="36">
        <v>3740465.5920000002</v>
      </c>
      <c r="I43" s="36">
        <v>3802745.5989999999</v>
      </c>
      <c r="J43" s="36">
        <v>3853875.7650000001</v>
      </c>
      <c r="K43" s="36">
        <v>3731815.0936999898</v>
      </c>
      <c r="L43" s="36">
        <v>3626024.3903000001</v>
      </c>
      <c r="M43" s="36">
        <v>3515693.3802999998</v>
      </c>
      <c r="N43" s="36">
        <v>3442272.6179</v>
      </c>
      <c r="O43" s="36">
        <v>3381117.8851999901</v>
      </c>
      <c r="P43" s="17">
        <v>0</v>
      </c>
      <c r="Q43" s="17">
        <v>0</v>
      </c>
      <c r="R43" s="17">
        <v>0</v>
      </c>
      <c r="S43" s="17" t="s">
        <v>168</v>
      </c>
    </row>
    <row r="44" spans="1:19" s="17" customFormat="1" x14ac:dyDescent="0.3">
      <c r="A44" s="17" t="s">
        <v>445</v>
      </c>
      <c r="B44" s="28" t="s">
        <v>65</v>
      </c>
      <c r="C44" s="17" t="s">
        <v>131</v>
      </c>
      <c r="D44" s="17" t="s">
        <v>133</v>
      </c>
      <c r="E44" s="36">
        <v>659861.15659999999</v>
      </c>
      <c r="F44" s="36">
        <v>831577.60019999999</v>
      </c>
      <c r="G44" s="36">
        <v>833806.93700000003</v>
      </c>
      <c r="H44" s="36">
        <v>846314.39</v>
      </c>
      <c r="I44" s="36">
        <v>870371.68279999995</v>
      </c>
      <c r="J44" s="36">
        <v>884544.75369999895</v>
      </c>
      <c r="K44" s="36">
        <v>890445.20299999998</v>
      </c>
      <c r="L44" s="36">
        <v>903857.91280000005</v>
      </c>
      <c r="M44" s="36">
        <v>914553.19680999999</v>
      </c>
      <c r="N44" s="36">
        <v>908510.32450999995</v>
      </c>
      <c r="O44" s="36">
        <v>908041.515569999</v>
      </c>
      <c r="P44" s="17">
        <v>0</v>
      </c>
      <c r="Q44" s="17">
        <v>0</v>
      </c>
      <c r="R44" s="17">
        <v>0</v>
      </c>
      <c r="S44" s="17" t="s">
        <v>168</v>
      </c>
    </row>
    <row r="45" spans="1:19" s="17" customFormat="1" x14ac:dyDescent="0.3">
      <c r="A45" s="17" t="s">
        <v>445</v>
      </c>
      <c r="B45" s="28" t="s">
        <v>65</v>
      </c>
      <c r="C45" s="17" t="s">
        <v>115</v>
      </c>
      <c r="D45" s="17" t="s">
        <v>134</v>
      </c>
      <c r="E45" s="22">
        <v>12346400</v>
      </c>
      <c r="F45" s="22">
        <v>18282500</v>
      </c>
      <c r="G45" s="22">
        <v>16574700</v>
      </c>
      <c r="H45" s="22">
        <v>14015900</v>
      </c>
      <c r="I45" s="22">
        <v>14055326</v>
      </c>
      <c r="J45" s="22">
        <v>14863190</v>
      </c>
      <c r="K45" s="22">
        <v>15443890</v>
      </c>
      <c r="L45" s="22">
        <v>16476190.472999999</v>
      </c>
      <c r="M45" s="22">
        <v>17196033.489999998</v>
      </c>
      <c r="N45" s="22">
        <v>17769063.439999901</v>
      </c>
      <c r="O45" s="22">
        <v>18336934.199999999</v>
      </c>
      <c r="P45" s="17">
        <v>0</v>
      </c>
      <c r="Q45" s="17">
        <v>0</v>
      </c>
      <c r="R45" s="17">
        <v>0</v>
      </c>
      <c r="S45" s="17" t="s">
        <v>169</v>
      </c>
    </row>
    <row r="47" spans="1:19" x14ac:dyDescent="0.3">
      <c r="A47" s="26" t="s">
        <v>135</v>
      </c>
    </row>
    <row r="48" spans="1:19" x14ac:dyDescent="0.3">
      <c r="A48" t="s">
        <v>73</v>
      </c>
      <c r="B48" t="s">
        <v>193</v>
      </c>
      <c r="C48">
        <v>2020</v>
      </c>
      <c r="D48">
        <v>2025</v>
      </c>
      <c r="E48">
        <v>2030</v>
      </c>
      <c r="F48">
        <v>2035</v>
      </c>
      <c r="G48">
        <v>2040</v>
      </c>
      <c r="H48">
        <v>2045</v>
      </c>
      <c r="I48">
        <v>2050</v>
      </c>
    </row>
    <row r="49" spans="1:9" x14ac:dyDescent="0.3">
      <c r="A49" t="s">
        <v>64</v>
      </c>
      <c r="B49" t="s">
        <v>114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3">
      <c r="A50" t="s">
        <v>64</v>
      </c>
      <c r="B50" t="s">
        <v>113</v>
      </c>
      <c r="C50">
        <v>0.75</v>
      </c>
      <c r="D50">
        <v>0.75</v>
      </c>
      <c r="E50">
        <v>0.75</v>
      </c>
      <c r="F50">
        <v>0.75</v>
      </c>
      <c r="G50">
        <v>0.75</v>
      </c>
      <c r="H50">
        <v>0.75</v>
      </c>
      <c r="I50">
        <v>0.75</v>
      </c>
    </row>
    <row r="51" spans="1:9" x14ac:dyDescent="0.3">
      <c r="A51" t="s">
        <v>64</v>
      </c>
      <c r="B51" t="s">
        <v>112</v>
      </c>
      <c r="C51">
        <v>1</v>
      </c>
      <c r="D51">
        <v>0.13131755632157899</v>
      </c>
      <c r="E51">
        <v>0.13131755632157899</v>
      </c>
      <c r="F51">
        <v>0.13131755632157899</v>
      </c>
      <c r="G51">
        <v>0.13131755632157899</v>
      </c>
      <c r="H51">
        <v>0.13131755632157899</v>
      </c>
      <c r="I51">
        <v>0.13131755632157899</v>
      </c>
    </row>
    <row r="52" spans="1:9" x14ac:dyDescent="0.3">
      <c r="A52" t="s">
        <v>64</v>
      </c>
      <c r="B52" t="s">
        <v>115</v>
      </c>
      <c r="C52">
        <v>0.4</v>
      </c>
      <c r="D52">
        <v>0.4</v>
      </c>
      <c r="E52">
        <v>0.4</v>
      </c>
      <c r="F52">
        <v>0.4</v>
      </c>
      <c r="G52">
        <v>0.4</v>
      </c>
      <c r="H52">
        <v>0.4</v>
      </c>
      <c r="I52">
        <v>0.4</v>
      </c>
    </row>
    <row r="53" spans="1:9" x14ac:dyDescent="0.3">
      <c r="A53" t="s">
        <v>65</v>
      </c>
      <c r="B53" t="s">
        <v>114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3">
      <c r="A54" t="s">
        <v>65</v>
      </c>
      <c r="B54" t="s">
        <v>113</v>
      </c>
      <c r="C54">
        <v>0.75</v>
      </c>
      <c r="D54">
        <v>0.75</v>
      </c>
      <c r="E54">
        <v>0.75</v>
      </c>
      <c r="F54">
        <v>0.75</v>
      </c>
      <c r="G54">
        <v>0.75</v>
      </c>
      <c r="H54">
        <v>0.75</v>
      </c>
      <c r="I54">
        <v>0.75</v>
      </c>
    </row>
    <row r="55" spans="1:9" x14ac:dyDescent="0.3">
      <c r="A55" t="s">
        <v>65</v>
      </c>
      <c r="B55" t="s">
        <v>112</v>
      </c>
      <c r="C55">
        <v>1</v>
      </c>
      <c r="D55">
        <v>-1.5077826179735201</v>
      </c>
      <c r="E55">
        <v>-1.5077826179735201</v>
      </c>
      <c r="F55">
        <v>-1.5077826179735201</v>
      </c>
      <c r="G55">
        <v>-1.5077826179735201</v>
      </c>
      <c r="H55">
        <v>-1.5077826179735201</v>
      </c>
      <c r="I55">
        <v>-1.5077826179735201</v>
      </c>
    </row>
    <row r="56" spans="1:9" x14ac:dyDescent="0.3">
      <c r="A56" t="s">
        <v>65</v>
      </c>
      <c r="B56" t="s">
        <v>115</v>
      </c>
      <c r="C56">
        <v>0.4</v>
      </c>
      <c r="D56">
        <v>0.4</v>
      </c>
      <c r="E56">
        <v>0.4</v>
      </c>
      <c r="F56">
        <v>0.4</v>
      </c>
      <c r="G56">
        <v>0.4</v>
      </c>
      <c r="H56">
        <v>0.4</v>
      </c>
      <c r="I56">
        <v>0.4</v>
      </c>
    </row>
    <row r="58" spans="1:9" x14ac:dyDescent="0.3">
      <c r="A58" s="12" t="s">
        <v>152</v>
      </c>
    </row>
    <row r="59" spans="1:9" x14ac:dyDescent="0.3">
      <c r="A59" t="s">
        <v>116</v>
      </c>
      <c r="B59" t="s">
        <v>145</v>
      </c>
      <c r="C59">
        <v>2015</v>
      </c>
      <c r="D59">
        <v>2020</v>
      </c>
      <c r="E59">
        <v>2050</v>
      </c>
      <c r="F59" t="s">
        <v>109</v>
      </c>
    </row>
    <row r="60" spans="1:9" x14ac:dyDescent="0.3">
      <c r="A60" t="s">
        <v>229</v>
      </c>
      <c r="B60">
        <v>12</v>
      </c>
      <c r="C60">
        <v>2468.3277932536998</v>
      </c>
      <c r="D60">
        <v>3893.7573652328902</v>
      </c>
      <c r="E60">
        <v>0</v>
      </c>
      <c r="F60" s="39" t="s">
        <v>231</v>
      </c>
    </row>
    <row r="61" spans="1:9" x14ac:dyDescent="0.3">
      <c r="A61" t="s">
        <v>229</v>
      </c>
      <c r="B61">
        <v>13</v>
      </c>
      <c r="C61">
        <v>82393.468320567103</v>
      </c>
      <c r="D61">
        <v>84187.598795481405</v>
      </c>
      <c r="E61">
        <v>18070.2875897421</v>
      </c>
      <c r="F61" s="39" t="s">
        <v>231</v>
      </c>
    </row>
    <row r="62" spans="1:9" x14ac:dyDescent="0.3">
      <c r="A62" t="s">
        <v>230</v>
      </c>
      <c r="B62">
        <v>12</v>
      </c>
      <c r="C62">
        <v>77602.589292573495</v>
      </c>
      <c r="D62">
        <v>77506.715679255794</v>
      </c>
      <c r="E62">
        <v>128866.043337522</v>
      </c>
      <c r="F62" s="39" t="s">
        <v>231</v>
      </c>
    </row>
    <row r="63" spans="1:9" x14ac:dyDescent="0.3">
      <c r="A63" t="s">
        <v>230</v>
      </c>
      <c r="B63">
        <v>13</v>
      </c>
      <c r="C63">
        <v>928364.53843909805</v>
      </c>
      <c r="D63">
        <v>928899.22665993799</v>
      </c>
      <c r="E63">
        <v>496684.54251488799</v>
      </c>
      <c r="F63" s="39" t="s">
        <v>231</v>
      </c>
    </row>
    <row r="64" spans="1:9" x14ac:dyDescent="0.3">
      <c r="A64" t="s">
        <v>196</v>
      </c>
      <c r="B64">
        <v>12</v>
      </c>
      <c r="C64">
        <v>826410.92986216804</v>
      </c>
      <c r="D64">
        <v>890626.87938958197</v>
      </c>
      <c r="E64">
        <v>1124625.90848121</v>
      </c>
      <c r="F64" s="39" t="s">
        <v>231</v>
      </c>
    </row>
    <row r="65" spans="1:17" x14ac:dyDescent="0.3">
      <c r="A65" t="s">
        <v>196</v>
      </c>
      <c r="B65">
        <v>13</v>
      </c>
      <c r="C65">
        <v>4253237.3063460002</v>
      </c>
      <c r="D65">
        <v>4483839.1883373503</v>
      </c>
      <c r="E65">
        <v>3974912.2677383702</v>
      </c>
      <c r="F65" s="39" t="s">
        <v>231</v>
      </c>
    </row>
    <row r="66" spans="1:17" x14ac:dyDescent="0.3">
      <c r="A66" t="s">
        <v>201</v>
      </c>
      <c r="B66">
        <v>12</v>
      </c>
      <c r="C66">
        <f>C60+C64</f>
        <v>828879.25765542174</v>
      </c>
      <c r="D66">
        <f t="shared" ref="D66:E66" si="0">D60+D64</f>
        <v>894520.63675481488</v>
      </c>
      <c r="E66">
        <f t="shared" si="0"/>
        <v>1124625.90848121</v>
      </c>
      <c r="F66" s="39" t="s">
        <v>231</v>
      </c>
    </row>
    <row r="67" spans="1:17" x14ac:dyDescent="0.3">
      <c r="A67" t="s">
        <v>201</v>
      </c>
      <c r="B67">
        <v>13</v>
      </c>
      <c r="C67">
        <f>C61+C65</f>
        <v>4335630.7746665673</v>
      </c>
      <c r="D67">
        <f t="shared" ref="D67:E67" si="1">D61+D65</f>
        <v>4568026.7871328313</v>
      </c>
      <c r="E67">
        <f t="shared" si="1"/>
        <v>3992982.5553281121</v>
      </c>
      <c r="F67" s="39" t="s">
        <v>231</v>
      </c>
    </row>
    <row r="69" spans="1:17" s="5" customFormat="1" x14ac:dyDescent="0.3">
      <c r="A69" s="5" t="s">
        <v>198</v>
      </c>
    </row>
    <row r="70" spans="1:17" ht="29.4" customHeight="1" x14ac:dyDescent="0.3">
      <c r="A70" s="12" t="s">
        <v>151</v>
      </c>
      <c r="B70">
        <v>2015</v>
      </c>
      <c r="C70">
        <v>2020</v>
      </c>
      <c r="D70">
        <v>2050</v>
      </c>
      <c r="E70" s="64" t="s">
        <v>189</v>
      </c>
      <c r="F70" s="64"/>
      <c r="G70" s="65" t="s">
        <v>181</v>
      </c>
      <c r="H70" s="65"/>
      <c r="J70">
        <v>2015</v>
      </c>
      <c r="K70">
        <v>2020</v>
      </c>
      <c r="L70">
        <v>2025</v>
      </c>
      <c r="M70">
        <v>2030</v>
      </c>
      <c r="N70">
        <v>2035</v>
      </c>
      <c r="O70">
        <v>2040</v>
      </c>
      <c r="P70">
        <v>2045</v>
      </c>
      <c r="Q70">
        <v>2050</v>
      </c>
    </row>
    <row r="71" spans="1:17" ht="43.2" x14ac:dyDescent="0.3">
      <c r="A71" s="11" t="s">
        <v>161</v>
      </c>
      <c r="E71" s="41" t="s">
        <v>151</v>
      </c>
      <c r="F71" s="41" t="s">
        <v>152</v>
      </c>
      <c r="G71" s="42" t="s">
        <v>182</v>
      </c>
      <c r="H71" s="43" t="s">
        <v>191</v>
      </c>
      <c r="I71" s="11" t="s">
        <v>162</v>
      </c>
    </row>
    <row r="72" spans="1:17" x14ac:dyDescent="0.3">
      <c r="A72" s="25" t="s">
        <v>64</v>
      </c>
      <c r="F72" t="s">
        <v>444</v>
      </c>
      <c r="I72" s="25" t="s">
        <v>64</v>
      </c>
    </row>
    <row r="73" spans="1:17" x14ac:dyDescent="0.3">
      <c r="A73" s="54" t="s">
        <v>140</v>
      </c>
      <c r="B73">
        <f>H13+H17</f>
        <v>64096.700000000004</v>
      </c>
      <c r="C73">
        <f t="shared" ref="C73" si="2">I13+I17</f>
        <v>58122.7</v>
      </c>
      <c r="D73">
        <f>O13+O17</f>
        <v>100694.6</v>
      </c>
      <c r="E73">
        <f>(D73-B73)/B73</f>
        <v>0.57097947320220854</v>
      </c>
      <c r="I73" s="25"/>
    </row>
    <row r="74" spans="1:17" x14ac:dyDescent="0.3">
      <c r="A74" t="s">
        <v>166</v>
      </c>
      <c r="B74">
        <f>H14</f>
        <v>6241.59</v>
      </c>
      <c r="C74">
        <f t="shared" ref="C74" si="3">I14</f>
        <v>7625.92</v>
      </c>
      <c r="D74">
        <f>O14</f>
        <v>0</v>
      </c>
      <c r="E74">
        <f>(D74-B74)/B74</f>
        <v>-1</v>
      </c>
      <c r="F74">
        <f>(E60-C60)/C60 * 0.5</f>
        <v>-0.5</v>
      </c>
      <c r="G74" s="13">
        <f>F74/E74</f>
        <v>0.5</v>
      </c>
      <c r="H74" s="13">
        <f>G74/$E$85</f>
        <v>0.4932906916787389</v>
      </c>
      <c r="I74" t="s">
        <v>166</v>
      </c>
      <c r="J74">
        <f>C49</f>
        <v>1</v>
      </c>
      <c r="K74">
        <f>D49</f>
        <v>1</v>
      </c>
      <c r="L74">
        <f>$H$74</f>
        <v>0.4932906916787389</v>
      </c>
      <c r="M74">
        <f t="shared" ref="M74:Q74" si="4">$H$74</f>
        <v>0.4932906916787389</v>
      </c>
      <c r="N74">
        <f t="shared" si="4"/>
        <v>0.4932906916787389</v>
      </c>
      <c r="O74">
        <f t="shared" si="4"/>
        <v>0.4932906916787389</v>
      </c>
      <c r="P74">
        <f t="shared" si="4"/>
        <v>0.4932906916787389</v>
      </c>
      <c r="Q74">
        <f t="shared" si="4"/>
        <v>0.4932906916787389</v>
      </c>
    </row>
    <row r="75" spans="1:17" x14ac:dyDescent="0.3">
      <c r="A75" t="s">
        <v>196</v>
      </c>
      <c r="B75">
        <f>H15+H16+H18</f>
        <v>1184389.1000000001</v>
      </c>
      <c r="C75">
        <f>I15+I16+I18</f>
        <v>1266312.2749999999</v>
      </c>
      <c r="D75">
        <f>O15+O16+O18</f>
        <v>1199167.5209999999</v>
      </c>
      <c r="E75">
        <f>(D75-B75)/B75</f>
        <v>1.2477673933338171E-2</v>
      </c>
      <c r="F75">
        <f>(E64-C64)/C64* 0.5</f>
        <v>0.18042777983876582</v>
      </c>
      <c r="G75" s="13">
        <f>F75/E75</f>
        <v>14.460049269014334</v>
      </c>
      <c r="H75" s="13">
        <f>G75/$E$85</f>
        <v>14.266015411241447</v>
      </c>
      <c r="I75" t="s">
        <v>196</v>
      </c>
      <c r="J75">
        <f>C49</f>
        <v>1</v>
      </c>
      <c r="K75">
        <f>D49</f>
        <v>1</v>
      </c>
      <c r="L75">
        <f>$H$75</f>
        <v>14.266015411241447</v>
      </c>
      <c r="M75">
        <f t="shared" ref="M75:Q75" si="5">$H$75</f>
        <v>14.266015411241447</v>
      </c>
      <c r="N75">
        <f t="shared" si="5"/>
        <v>14.266015411241447</v>
      </c>
      <c r="O75">
        <f t="shared" si="5"/>
        <v>14.266015411241447</v>
      </c>
      <c r="P75">
        <f t="shared" si="5"/>
        <v>14.266015411241447</v>
      </c>
      <c r="Q75">
        <f t="shared" si="5"/>
        <v>14.266015411241447</v>
      </c>
    </row>
    <row r="76" spans="1:17" x14ac:dyDescent="0.3">
      <c r="A76" t="s">
        <v>200</v>
      </c>
      <c r="B76">
        <f>SUM(B73:B75)</f>
        <v>1254727.3900000001</v>
      </c>
      <c r="C76">
        <f>SUM(C73:C75)</f>
        <v>1332060.895</v>
      </c>
      <c r="D76">
        <f>SUM(D73:D75)</f>
        <v>1299862.121</v>
      </c>
      <c r="E76" s="11">
        <f>(D76-B76)/B76</f>
        <v>3.5971742834114674E-2</v>
      </c>
      <c r="F76" s="11">
        <f>(E66-C66)/C66* 0.5</f>
        <v>0.17840152717920638</v>
      </c>
      <c r="G76" s="13">
        <f>F76/E76</f>
        <v>4.9594907870300622</v>
      </c>
      <c r="H76" s="13">
        <f>G76/$E$85</f>
        <v>4.8929412814167845</v>
      </c>
      <c r="I76" t="s">
        <v>200</v>
      </c>
      <c r="J76">
        <f>C49</f>
        <v>1</v>
      </c>
      <c r="K76">
        <f>D49</f>
        <v>1</v>
      </c>
      <c r="L76">
        <v>1.22</v>
      </c>
      <c r="M76">
        <v>1.22</v>
      </c>
      <c r="N76">
        <v>1.22</v>
      </c>
      <c r="O76">
        <v>1.22</v>
      </c>
      <c r="P76">
        <v>1.22</v>
      </c>
      <c r="Q76">
        <v>1.22</v>
      </c>
    </row>
    <row r="77" spans="1:17" x14ac:dyDescent="0.3">
      <c r="G77" s="13"/>
      <c r="H77" s="13"/>
    </row>
    <row r="78" spans="1:17" x14ac:dyDescent="0.3">
      <c r="A78" s="25" t="s">
        <v>65</v>
      </c>
      <c r="G78" s="13"/>
      <c r="H78" s="13"/>
      <c r="I78" s="25" t="s">
        <v>65</v>
      </c>
    </row>
    <row r="79" spans="1:17" x14ac:dyDescent="0.3">
      <c r="A79" s="54" t="s">
        <v>140</v>
      </c>
      <c r="B79">
        <f>H33+H37</f>
        <v>153602.6</v>
      </c>
      <c r="C79">
        <f>I33+I37</f>
        <v>154905.20000000001</v>
      </c>
      <c r="D79">
        <f>O33+O37</f>
        <v>376290.8</v>
      </c>
      <c r="G79" s="13"/>
      <c r="H79" s="13"/>
      <c r="I79" s="25"/>
    </row>
    <row r="80" spans="1:17" x14ac:dyDescent="0.3">
      <c r="A80" t="s">
        <v>166</v>
      </c>
      <c r="B80">
        <f>H34</f>
        <v>277139</v>
      </c>
      <c r="C80">
        <f t="shared" ref="C80" si="6">I34</f>
        <v>289011</v>
      </c>
      <c r="D80">
        <f>O34</f>
        <v>33838.720000000001</v>
      </c>
      <c r="E80">
        <f>(D80-B80)/B80</f>
        <v>-0.87789982644088349</v>
      </c>
      <c r="F80">
        <f>(E61-C61)/C61* 0.5</f>
        <v>-0.39034150425955921</v>
      </c>
      <c r="G80" s="13">
        <f>F80/E80</f>
        <v>0.44463103021907735</v>
      </c>
      <c r="H80" s="13">
        <f>G80/$E$86</f>
        <v>0.69826090648300221</v>
      </c>
      <c r="I80" t="s">
        <v>166</v>
      </c>
      <c r="J80">
        <f>C53</f>
        <v>1</v>
      </c>
      <c r="K80">
        <f>D53</f>
        <v>1</v>
      </c>
      <c r="L80">
        <f>$H$80</f>
        <v>0.69826090648300221</v>
      </c>
      <c r="M80">
        <f t="shared" ref="M80:Q80" si="7">$H$80</f>
        <v>0.69826090648300221</v>
      </c>
      <c r="N80">
        <f t="shared" si="7"/>
        <v>0.69826090648300221</v>
      </c>
      <c r="O80">
        <f t="shared" si="7"/>
        <v>0.69826090648300221</v>
      </c>
      <c r="P80">
        <f t="shared" si="7"/>
        <v>0.69826090648300221</v>
      </c>
      <c r="Q80">
        <f t="shared" si="7"/>
        <v>0.69826090648300221</v>
      </c>
    </row>
    <row r="81" spans="1:17" x14ac:dyDescent="0.3">
      <c r="A81" t="s">
        <v>196</v>
      </c>
      <c r="B81">
        <f>H35+H36+H38</f>
        <v>5842620.5999999996</v>
      </c>
      <c r="C81">
        <f>I35+I36+I38</f>
        <v>5939680</v>
      </c>
      <c r="D81">
        <f>O35+O36+O38</f>
        <v>5234516.3</v>
      </c>
      <c r="E81">
        <f>(D81-B81)/B81</f>
        <v>-0.10408074417839143</v>
      </c>
      <c r="F81">
        <f>(E65-C65)/C65* 0.5</f>
        <v>-3.2719199348735829E-2</v>
      </c>
      <c r="G81" s="13">
        <f>F81/E81</f>
        <v>0.31436361842932303</v>
      </c>
      <c r="H81" s="13">
        <f>G81/$E$86</f>
        <v>0.49368534863970348</v>
      </c>
      <c r="I81" t="s">
        <v>196</v>
      </c>
      <c r="J81">
        <f>C53</f>
        <v>1</v>
      </c>
      <c r="K81">
        <f>D53</f>
        <v>1</v>
      </c>
      <c r="L81">
        <f>$H$81</f>
        <v>0.49368534863970348</v>
      </c>
      <c r="M81">
        <f t="shared" ref="M81:Q81" si="8">$H$81</f>
        <v>0.49368534863970348</v>
      </c>
      <c r="N81">
        <f t="shared" si="8"/>
        <v>0.49368534863970348</v>
      </c>
      <c r="O81">
        <f t="shared" si="8"/>
        <v>0.49368534863970348</v>
      </c>
      <c r="P81">
        <f t="shared" si="8"/>
        <v>0.49368534863970348</v>
      </c>
      <c r="Q81">
        <f t="shared" si="8"/>
        <v>0.49368534863970348</v>
      </c>
    </row>
    <row r="82" spans="1:17" x14ac:dyDescent="0.3">
      <c r="A82" t="s">
        <v>200</v>
      </c>
      <c r="B82">
        <f>SUM(B79:B81)</f>
        <v>6273362.1999999993</v>
      </c>
      <c r="C82">
        <f>SUM(C79:C81)</f>
        <v>6383596.2000000002</v>
      </c>
      <c r="D82">
        <f>SUM(D79:D81)</f>
        <v>5644645.8200000003</v>
      </c>
      <c r="E82" s="11">
        <f>(D82-B82)/B82</f>
        <v>-0.10022000323845466</v>
      </c>
      <c r="F82" s="11">
        <f>(E67-C67)/C67* 0.5</f>
        <v>-3.9515382783582013E-2</v>
      </c>
      <c r="G82" s="13">
        <f>F82/E82</f>
        <v>0.39428638501999036</v>
      </c>
      <c r="H82" s="13">
        <f>G82/$E$86</f>
        <v>0.61919827881178735</v>
      </c>
      <c r="I82" t="s">
        <v>200</v>
      </c>
      <c r="J82">
        <f>C53</f>
        <v>1</v>
      </c>
      <c r="K82">
        <f>D53</f>
        <v>1</v>
      </c>
      <c r="L82">
        <v>1.1299999999999999</v>
      </c>
      <c r="M82">
        <v>1.1299999999999999</v>
      </c>
      <c r="N82">
        <v>1.1299999999999999</v>
      </c>
      <c r="O82">
        <v>1.1299999999999999</v>
      </c>
      <c r="P82">
        <v>1.1299999999999999</v>
      </c>
      <c r="Q82">
        <v>1.1299999999999999</v>
      </c>
    </row>
    <row r="84" spans="1:17" x14ac:dyDescent="0.3">
      <c r="A84" s="11" t="s">
        <v>190</v>
      </c>
    </row>
    <row r="85" spans="1:17" x14ac:dyDescent="0.3">
      <c r="A85" s="25" t="s">
        <v>64</v>
      </c>
      <c r="B85">
        <v>803610</v>
      </c>
      <c r="C85">
        <v>915374</v>
      </c>
      <c r="D85" s="13">
        <v>1618150</v>
      </c>
      <c r="E85">
        <f>(D85-B85)/B85</f>
        <v>1.0136011249237815</v>
      </c>
    </row>
    <row r="86" spans="1:17" x14ac:dyDescent="0.3">
      <c r="A86" s="25" t="s">
        <v>65</v>
      </c>
      <c r="B86">
        <v>7428720</v>
      </c>
      <c r="C86">
        <v>7548350</v>
      </c>
      <c r="D86" s="13">
        <v>12159100</v>
      </c>
      <c r="E86">
        <f>(D86-B86)/B86</f>
        <v>0.63676918769316926</v>
      </c>
      <c r="J86" s="8"/>
      <c r="K86" s="8"/>
      <c r="L86" s="8"/>
    </row>
    <row r="87" spans="1:17" x14ac:dyDescent="0.3">
      <c r="G87" t="s">
        <v>438</v>
      </c>
      <c r="H87" t="s">
        <v>64</v>
      </c>
      <c r="I87">
        <v>1</v>
      </c>
      <c r="J87">
        <f>F76</f>
        <v>0.17840152717920638</v>
      </c>
    </row>
    <row r="88" spans="1:17" x14ac:dyDescent="0.3">
      <c r="G88" t="s">
        <v>438</v>
      </c>
      <c r="H88" t="s">
        <v>65</v>
      </c>
      <c r="I88">
        <v>1</v>
      </c>
      <c r="J88">
        <f>F82</f>
        <v>-3.9515382783582013E-2</v>
      </c>
    </row>
    <row r="89" spans="1:17" x14ac:dyDescent="0.3">
      <c r="G89" t="s">
        <v>475</v>
      </c>
      <c r="H89" t="s">
        <v>64</v>
      </c>
      <c r="I89">
        <v>1.22</v>
      </c>
      <c r="J89" s="9">
        <v>0.16507463027486782</v>
      </c>
    </row>
    <row r="90" spans="1:17" x14ac:dyDescent="0.3">
      <c r="G90" t="s">
        <v>475</v>
      </c>
      <c r="H90" t="s">
        <v>65</v>
      </c>
      <c r="I90">
        <v>1.2</v>
      </c>
      <c r="J90" s="9">
        <v>-1.2095200560872941E-2</v>
      </c>
    </row>
    <row r="91" spans="1:17" x14ac:dyDescent="0.3">
      <c r="G91" t="s">
        <v>476</v>
      </c>
      <c r="H91" t="s">
        <v>64</v>
      </c>
      <c r="I91">
        <v>1.22</v>
      </c>
      <c r="J91" s="9"/>
    </row>
    <row r="92" spans="1:17" x14ac:dyDescent="0.3">
      <c r="G92" t="s">
        <v>476</v>
      </c>
      <c r="H92" t="s">
        <v>65</v>
      </c>
      <c r="I92">
        <v>1.1299999999999999</v>
      </c>
      <c r="J92" s="9"/>
    </row>
    <row r="93" spans="1:17" x14ac:dyDescent="0.3">
      <c r="J93" s="9"/>
    </row>
    <row r="94" spans="1:17" x14ac:dyDescent="0.3">
      <c r="J94" s="9"/>
    </row>
  </sheetData>
  <mergeCells count="2">
    <mergeCell ref="E70:F70"/>
    <mergeCell ref="G70:H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3A30-B457-4372-BA87-244A7DF94094}">
  <sheetPr>
    <tabColor theme="9" tint="0.79998168889431442"/>
  </sheetPr>
  <dimension ref="A1:K3"/>
  <sheetViews>
    <sheetView workbookViewId="0">
      <selection activeCell="I348" sqref="I348"/>
    </sheetView>
  </sheetViews>
  <sheetFormatPr defaultRowHeight="14.4" x14ac:dyDescent="0.3"/>
  <sheetData>
    <row r="1" spans="1:11" x14ac:dyDescent="0.3">
      <c r="A1" t="s">
        <v>73</v>
      </c>
      <c r="B1" t="s">
        <v>116</v>
      </c>
      <c r="C1" cm="1">
        <f t="array" ref="C1:J1">'TRN-PassKM-computation'!J70:Q70</f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193</v>
      </c>
    </row>
    <row r="2" spans="1:11" x14ac:dyDescent="0.3">
      <c r="A2" t="s">
        <v>64</v>
      </c>
      <c r="B2" t="str" cm="1">
        <f t="array" ref="B2:J2">'TRN-PassKM-computation'!I76:Q76</f>
        <v>Total pass</v>
      </c>
      <c r="C2">
        <v>1</v>
      </c>
      <c r="D2">
        <v>1</v>
      </c>
      <c r="E2">
        <v>1.22</v>
      </c>
      <c r="F2">
        <v>1.22</v>
      </c>
      <c r="G2">
        <v>1.22</v>
      </c>
      <c r="H2">
        <v>1.22</v>
      </c>
      <c r="I2">
        <v>1.22</v>
      </c>
      <c r="J2">
        <v>1.22</v>
      </c>
      <c r="K2" t="s">
        <v>114</v>
      </c>
    </row>
    <row r="3" spans="1:11" x14ac:dyDescent="0.3">
      <c r="A3" t="s">
        <v>65</v>
      </c>
      <c r="B3" t="str" cm="1">
        <f t="array" ref="B3:J3">'TRN-PassKM-computation'!I82:Q82</f>
        <v>Total pass</v>
      </c>
      <c r="C3">
        <v>1</v>
      </c>
      <c r="D3">
        <v>1</v>
      </c>
      <c r="E3">
        <v>1.1299999999999999</v>
      </c>
      <c r="F3">
        <v>1.1299999999999999</v>
      </c>
      <c r="G3">
        <v>1.1299999999999999</v>
      </c>
      <c r="H3">
        <v>1.1299999999999999</v>
      </c>
      <c r="I3">
        <v>1.1299999999999999</v>
      </c>
      <c r="J3">
        <v>1.1299999999999999</v>
      </c>
      <c r="K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4ED2-B24C-4C41-BE39-18187701AE06}">
  <sheetPr>
    <tabColor rgb="FFFF0000"/>
  </sheetPr>
  <dimension ref="A1:AC218"/>
  <sheetViews>
    <sheetView tabSelected="1" topLeftCell="A159" workbookViewId="0">
      <selection activeCell="K175" sqref="K175"/>
    </sheetView>
  </sheetViews>
  <sheetFormatPr defaultRowHeight="14.4" x14ac:dyDescent="0.3"/>
  <cols>
    <col min="1" max="1" width="17" customWidth="1"/>
    <col min="2" max="2" width="11.33203125" customWidth="1"/>
    <col min="3" max="3" width="18" customWidth="1"/>
    <col min="4" max="4" width="12.44140625" customWidth="1"/>
    <col min="5" max="11" width="10.77734375" customWidth="1"/>
    <col min="12" max="12" width="13.6640625" customWidth="1"/>
    <col min="13" max="13" width="10.77734375" customWidth="1"/>
    <col min="14" max="14" width="16" customWidth="1"/>
    <col min="15" max="18" width="10.77734375" customWidth="1"/>
  </cols>
  <sheetData>
    <row r="1" spans="1:29" s="2" customFormat="1" x14ac:dyDescent="0.3">
      <c r="A1" s="2" t="s">
        <v>202</v>
      </c>
    </row>
    <row r="2" spans="1:29" s="2" customFormat="1" x14ac:dyDescent="0.3"/>
    <row r="3" spans="1:29" s="5" customFormat="1" x14ac:dyDescent="0.3">
      <c r="A3" s="5" t="s">
        <v>138</v>
      </c>
    </row>
    <row r="4" spans="1:29" s="14" customFormat="1" ht="17.399999999999999" x14ac:dyDescent="0.3">
      <c r="A4" s="26" t="s">
        <v>167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s="17" customFormat="1" x14ac:dyDescent="0.3">
      <c r="A5" s="17" t="s">
        <v>104</v>
      </c>
      <c r="B5" s="27" t="s">
        <v>73</v>
      </c>
      <c r="C5" s="19" t="s">
        <v>111</v>
      </c>
      <c r="D5" s="19" t="s">
        <v>116</v>
      </c>
      <c r="E5" s="20">
        <v>1990</v>
      </c>
      <c r="F5" s="20">
        <v>2005</v>
      </c>
      <c r="G5" s="20">
        <v>2010</v>
      </c>
      <c r="H5" s="20">
        <v>2015</v>
      </c>
      <c r="I5" s="20">
        <v>2020</v>
      </c>
      <c r="J5" s="20">
        <v>2025</v>
      </c>
      <c r="K5" s="20">
        <v>2030</v>
      </c>
      <c r="L5" s="20">
        <v>2035</v>
      </c>
      <c r="M5" s="20">
        <v>2040</v>
      </c>
      <c r="N5" s="20">
        <v>2045</v>
      </c>
      <c r="O5" s="20">
        <v>2050</v>
      </c>
      <c r="P5" s="20">
        <v>2065</v>
      </c>
      <c r="Q5" s="20">
        <v>2080</v>
      </c>
      <c r="R5" s="20">
        <v>2095</v>
      </c>
      <c r="S5" s="20" t="s">
        <v>105</v>
      </c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s="17" customFormat="1" x14ac:dyDescent="0.3">
      <c r="A6" s="17" t="s">
        <v>479</v>
      </c>
      <c r="B6" s="27" t="s">
        <v>64</v>
      </c>
      <c r="C6" s="19" t="s">
        <v>112</v>
      </c>
      <c r="D6" s="19" t="s">
        <v>117</v>
      </c>
      <c r="E6" s="20">
        <v>32280.9</v>
      </c>
      <c r="F6" s="20">
        <v>34737.599999999999</v>
      </c>
      <c r="G6" s="20">
        <v>41232.1</v>
      </c>
      <c r="H6" s="20">
        <v>44763.7</v>
      </c>
      <c r="I6" s="20">
        <v>51257.599999999999</v>
      </c>
      <c r="J6" s="20">
        <v>54351</v>
      </c>
      <c r="K6" s="20">
        <v>54459.5</v>
      </c>
      <c r="L6" s="20">
        <v>52515.229600699997</v>
      </c>
      <c r="M6" s="20">
        <v>50584.693349300003</v>
      </c>
      <c r="N6" s="20">
        <v>48862.950623999997</v>
      </c>
      <c r="O6" s="20">
        <v>47367.312449999998</v>
      </c>
      <c r="P6" s="20">
        <v>0</v>
      </c>
      <c r="Q6" s="20">
        <v>0</v>
      </c>
      <c r="R6" s="20">
        <v>0</v>
      </c>
      <c r="S6" s="20" t="s">
        <v>168</v>
      </c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s="17" customFormat="1" x14ac:dyDescent="0.3">
      <c r="A7" s="17" t="s">
        <v>479</v>
      </c>
      <c r="B7" s="27" t="s">
        <v>64</v>
      </c>
      <c r="C7" s="19" t="s">
        <v>113</v>
      </c>
      <c r="D7" s="19" t="s">
        <v>118</v>
      </c>
      <c r="E7" s="20">
        <v>70700.7</v>
      </c>
      <c r="F7" s="20">
        <v>13111.1</v>
      </c>
      <c r="G7" s="20">
        <v>17363.7</v>
      </c>
      <c r="H7" s="20">
        <v>15470.5</v>
      </c>
      <c r="I7" s="20">
        <v>18041.2409999999</v>
      </c>
      <c r="J7" s="20">
        <v>21689.360000000001</v>
      </c>
      <c r="K7" s="20">
        <v>26558</v>
      </c>
      <c r="L7" s="20">
        <v>32830.505999999899</v>
      </c>
      <c r="M7" s="20">
        <v>36525.108899999999</v>
      </c>
      <c r="N7" s="20">
        <v>38456.112000000001</v>
      </c>
      <c r="O7" s="20">
        <v>39927.394</v>
      </c>
      <c r="P7" s="21">
        <v>0</v>
      </c>
      <c r="Q7" s="21">
        <v>0</v>
      </c>
      <c r="R7" s="21">
        <v>0</v>
      </c>
      <c r="S7" s="21" t="s">
        <v>169</v>
      </c>
      <c r="T7" s="21"/>
      <c r="U7" s="21"/>
      <c r="V7" s="21"/>
      <c r="W7" s="21"/>
      <c r="X7" s="21"/>
      <c r="Y7" s="21"/>
      <c r="Z7" s="20"/>
      <c r="AA7" s="20"/>
      <c r="AB7" s="20"/>
      <c r="AC7" s="20"/>
    </row>
    <row r="8" spans="1:29" s="17" customFormat="1" x14ac:dyDescent="0.3">
      <c r="A8" s="17" t="s">
        <v>479</v>
      </c>
      <c r="B8" s="28" t="s">
        <v>64</v>
      </c>
      <c r="C8" s="17" t="s">
        <v>113</v>
      </c>
      <c r="D8" s="17" t="s">
        <v>119</v>
      </c>
      <c r="E8" s="36">
        <v>262042.36</v>
      </c>
      <c r="F8" s="36">
        <v>198205.21400000001</v>
      </c>
      <c r="G8" s="36">
        <v>175160.2</v>
      </c>
      <c r="H8" s="36">
        <v>164781.043799999</v>
      </c>
      <c r="I8" s="36">
        <v>183270.9</v>
      </c>
      <c r="J8" s="36">
        <v>203212.93</v>
      </c>
      <c r="K8" s="36">
        <v>200123.8</v>
      </c>
      <c r="L8" s="36">
        <v>178271.09999999899</v>
      </c>
      <c r="M8" s="36">
        <v>171502.3</v>
      </c>
      <c r="N8" s="36">
        <v>175332.7</v>
      </c>
      <c r="O8" s="36">
        <v>181666.7</v>
      </c>
      <c r="P8" s="17">
        <v>0</v>
      </c>
      <c r="Q8" s="17">
        <v>0</v>
      </c>
      <c r="R8" s="17">
        <v>0</v>
      </c>
      <c r="S8" s="17" t="s">
        <v>169</v>
      </c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s="17" customFormat="1" x14ac:dyDescent="0.3">
      <c r="A9" s="17" t="s">
        <v>479</v>
      </c>
      <c r="B9" s="28" t="s">
        <v>64</v>
      </c>
      <c r="C9" s="17" t="s">
        <v>113</v>
      </c>
      <c r="D9" s="17" t="s">
        <v>156</v>
      </c>
      <c r="E9" s="36">
        <v>263310</v>
      </c>
      <c r="F9" s="36">
        <v>397360</v>
      </c>
      <c r="G9" s="36">
        <v>479298</v>
      </c>
      <c r="H9" s="36">
        <v>494165</v>
      </c>
      <c r="I9" s="36">
        <v>545559</v>
      </c>
      <c r="J9" s="36">
        <v>614501</v>
      </c>
      <c r="K9" s="36">
        <v>689142</v>
      </c>
      <c r="L9" s="36">
        <v>758575</v>
      </c>
      <c r="M9" s="36">
        <v>809834</v>
      </c>
      <c r="N9" s="36">
        <v>842620</v>
      </c>
      <c r="O9" s="36">
        <v>866909</v>
      </c>
      <c r="P9" s="17">
        <v>0</v>
      </c>
      <c r="Q9" s="17">
        <v>0</v>
      </c>
      <c r="R9" s="17">
        <v>0</v>
      </c>
      <c r="S9" s="17" t="s">
        <v>169</v>
      </c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17" customFormat="1" x14ac:dyDescent="0.3">
      <c r="A10" s="17" t="s">
        <v>479</v>
      </c>
      <c r="B10" s="28" t="s">
        <v>64</v>
      </c>
      <c r="C10" s="17" t="s">
        <v>120</v>
      </c>
      <c r="D10" s="17" t="s">
        <v>121</v>
      </c>
      <c r="E10" s="36">
        <v>233530</v>
      </c>
      <c r="F10" s="36">
        <v>354422</v>
      </c>
      <c r="G10" s="36">
        <v>427651</v>
      </c>
      <c r="H10" s="36">
        <v>440708</v>
      </c>
      <c r="I10" s="36">
        <v>486592.3</v>
      </c>
      <c r="J10" s="36">
        <v>547699.87782359996</v>
      </c>
      <c r="K10" s="36">
        <v>613677.61157998</v>
      </c>
      <c r="L10" s="36">
        <v>675272.72711580002</v>
      </c>
      <c r="M10" s="36">
        <v>720913.21086061001</v>
      </c>
      <c r="N10" s="36">
        <v>749851.46979</v>
      </c>
      <c r="O10" s="36">
        <v>770677.61176</v>
      </c>
      <c r="P10" s="17">
        <v>0</v>
      </c>
      <c r="Q10" s="17">
        <v>0</v>
      </c>
      <c r="R10" s="17">
        <v>0</v>
      </c>
      <c r="S10" s="17" t="s">
        <v>169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s="17" customFormat="1" x14ac:dyDescent="0.3">
      <c r="A11" s="17" t="s">
        <v>479</v>
      </c>
      <c r="B11" s="27" t="s">
        <v>64</v>
      </c>
      <c r="C11" s="19" t="s">
        <v>120</v>
      </c>
      <c r="D11" s="19" t="s">
        <v>122</v>
      </c>
      <c r="E11" s="20">
        <v>6938.53</v>
      </c>
      <c r="F11" s="20">
        <v>8895.31</v>
      </c>
      <c r="G11" s="20">
        <v>10510.8</v>
      </c>
      <c r="H11" s="20">
        <v>10995.6</v>
      </c>
      <c r="I11" s="20">
        <v>12126.824000000001</v>
      </c>
      <c r="J11" s="20">
        <v>13723.91785</v>
      </c>
      <c r="K11" s="20">
        <v>15475.03312</v>
      </c>
      <c r="L11" s="20">
        <v>17085.022279999899</v>
      </c>
      <c r="M11" s="20">
        <v>18237.839829999899</v>
      </c>
      <c r="N11" s="20">
        <v>18970.310399999998</v>
      </c>
      <c r="O11" s="20">
        <v>19542.803</v>
      </c>
      <c r="P11" s="20">
        <v>0</v>
      </c>
      <c r="Q11" s="20">
        <v>0</v>
      </c>
      <c r="R11" s="20">
        <v>0</v>
      </c>
      <c r="S11" s="20" t="s">
        <v>169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7" customFormat="1" x14ac:dyDescent="0.3">
      <c r="A12" s="17" t="s">
        <v>479</v>
      </c>
      <c r="B12" s="27" t="s">
        <v>64</v>
      </c>
      <c r="C12" s="19" t="s">
        <v>120</v>
      </c>
      <c r="D12" s="19" t="s">
        <v>123</v>
      </c>
      <c r="E12" s="20">
        <v>22841.599999999999</v>
      </c>
      <c r="F12" s="20">
        <v>34042.9</v>
      </c>
      <c r="G12" s="20">
        <v>41136.199999999997</v>
      </c>
      <c r="H12" s="20">
        <v>42461.599999999999</v>
      </c>
      <c r="I12" s="20">
        <v>46840.1</v>
      </c>
      <c r="J12" s="20">
        <v>53081.258699999998</v>
      </c>
      <c r="K12" s="20">
        <v>59998.789900000003</v>
      </c>
      <c r="L12" s="20">
        <v>66237.685199999905</v>
      </c>
      <c r="M12" s="20">
        <v>70713.437399999995</v>
      </c>
      <c r="N12" s="20">
        <v>73835.337999999902</v>
      </c>
      <c r="O12" s="20">
        <v>76732.349000000002</v>
      </c>
      <c r="P12" s="20">
        <v>0</v>
      </c>
      <c r="Q12" s="20">
        <v>0</v>
      </c>
      <c r="R12" s="20">
        <v>0</v>
      </c>
      <c r="S12" s="20" t="s">
        <v>169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29" customFormat="1" x14ac:dyDescent="0.3">
      <c r="A13" s="29" t="s">
        <v>479</v>
      </c>
      <c r="B13" s="30" t="s">
        <v>64</v>
      </c>
      <c r="C13" s="31" t="s">
        <v>114</v>
      </c>
      <c r="D13" s="31" t="s">
        <v>157</v>
      </c>
      <c r="E13" s="33">
        <v>17265.8</v>
      </c>
      <c r="F13" s="33">
        <v>16531.900000000001</v>
      </c>
      <c r="G13" s="33">
        <v>16277.9</v>
      </c>
      <c r="H13" s="33">
        <v>16023.9</v>
      </c>
      <c r="I13" s="33">
        <v>14530.5</v>
      </c>
      <c r="J13" s="33">
        <v>18177.7</v>
      </c>
      <c r="K13" s="33">
        <v>20802.5</v>
      </c>
      <c r="L13" s="33">
        <v>22976.3</v>
      </c>
      <c r="M13" s="33">
        <v>25016.2</v>
      </c>
      <c r="N13" s="33">
        <v>26783.9</v>
      </c>
      <c r="O13" s="33">
        <v>28311.1</v>
      </c>
      <c r="P13" s="32">
        <v>0</v>
      </c>
      <c r="Q13" s="32">
        <v>0</v>
      </c>
      <c r="R13" s="32">
        <v>0</v>
      </c>
      <c r="S13" s="32" t="s">
        <v>168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s="29" customFormat="1" x14ac:dyDescent="0.3">
      <c r="A14" s="29" t="s">
        <v>479</v>
      </c>
      <c r="B14" s="30" t="s">
        <v>64</v>
      </c>
      <c r="C14" s="31" t="s">
        <v>114</v>
      </c>
      <c r="D14" s="31" t="s">
        <v>124</v>
      </c>
      <c r="E14" s="33">
        <v>5331.03</v>
      </c>
      <c r="F14" s="33">
        <v>5193.26</v>
      </c>
      <c r="G14" s="33">
        <v>5821.69</v>
      </c>
      <c r="H14" s="33">
        <v>6241.59</v>
      </c>
      <c r="I14" s="33">
        <v>7625.92</v>
      </c>
      <c r="J14" s="33">
        <v>9050.08</v>
      </c>
      <c r="K14" s="33">
        <v>9164.2000000000007</v>
      </c>
      <c r="L14" s="33">
        <v>7645.42299</v>
      </c>
      <c r="M14" s="33">
        <v>5480.2412999999997</v>
      </c>
      <c r="N14" s="33">
        <v>2843.9647999999902</v>
      </c>
      <c r="O14" s="33">
        <v>0</v>
      </c>
      <c r="P14" s="33">
        <v>0</v>
      </c>
      <c r="Q14" s="33">
        <v>0</v>
      </c>
      <c r="R14" s="33">
        <v>0</v>
      </c>
      <c r="S14" s="33" t="s">
        <v>168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s="29" customFormat="1" x14ac:dyDescent="0.3">
      <c r="A15" s="29" t="s">
        <v>479</v>
      </c>
      <c r="B15" s="30" t="s">
        <v>64</v>
      </c>
      <c r="C15" s="31" t="s">
        <v>114</v>
      </c>
      <c r="D15" s="31" t="s">
        <v>125</v>
      </c>
      <c r="E15" s="33">
        <v>0</v>
      </c>
      <c r="F15" s="33">
        <v>0</v>
      </c>
      <c r="G15" s="33">
        <v>0</v>
      </c>
      <c r="H15" s="33">
        <v>0</v>
      </c>
      <c r="I15" s="33">
        <v>327.27499999999998</v>
      </c>
      <c r="J15" s="33">
        <v>448.31799999999998</v>
      </c>
      <c r="K15" s="33">
        <v>564.61599999999999</v>
      </c>
      <c r="L15" s="33">
        <v>678.20399999999995</v>
      </c>
      <c r="M15" s="33">
        <v>791.91800000000001</v>
      </c>
      <c r="N15" s="33">
        <v>910.62099999999998</v>
      </c>
      <c r="O15" s="33">
        <v>1037.3499999999999</v>
      </c>
      <c r="P15" s="33">
        <v>0</v>
      </c>
      <c r="Q15" s="33">
        <v>0</v>
      </c>
      <c r="R15" s="33">
        <v>0</v>
      </c>
      <c r="S15" s="33" t="s">
        <v>168</v>
      </c>
      <c r="T15" s="32"/>
      <c r="U15" s="32"/>
      <c r="V15" s="32"/>
      <c r="W15" s="32"/>
      <c r="X15" s="32"/>
      <c r="Y15" s="33"/>
      <c r="Z15" s="33"/>
      <c r="AA15" s="33"/>
      <c r="AB15" s="33"/>
      <c r="AC15" s="33"/>
    </row>
    <row r="16" spans="1:29" s="29" customFormat="1" x14ac:dyDescent="0.3">
      <c r="A16" s="29" t="s">
        <v>479</v>
      </c>
      <c r="B16" s="30" t="s">
        <v>64</v>
      </c>
      <c r="C16" s="31" t="s">
        <v>114</v>
      </c>
      <c r="D16" s="31" t="s">
        <v>126</v>
      </c>
      <c r="E16" s="33">
        <v>88848.87</v>
      </c>
      <c r="F16" s="33">
        <v>70151.399999999994</v>
      </c>
      <c r="G16" s="33">
        <v>61930.3</v>
      </c>
      <c r="H16" s="33">
        <v>57839.1</v>
      </c>
      <c r="I16" s="33">
        <v>60895</v>
      </c>
      <c r="J16" s="33">
        <v>68620.100000000006</v>
      </c>
      <c r="K16" s="33">
        <v>73363.199999999997</v>
      </c>
      <c r="L16" s="33">
        <v>76866.100000000006</v>
      </c>
      <c r="M16" s="33">
        <v>79267</v>
      </c>
      <c r="N16" s="33">
        <v>81278.899999999994</v>
      </c>
      <c r="O16" s="33">
        <v>83057.8</v>
      </c>
      <c r="P16" s="33">
        <v>0</v>
      </c>
      <c r="Q16" s="33">
        <v>0</v>
      </c>
      <c r="R16" s="33">
        <v>0</v>
      </c>
      <c r="S16" s="33" t="s">
        <v>168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1:29" s="29" customFormat="1" x14ac:dyDescent="0.3">
      <c r="A17" s="29" t="s">
        <v>479</v>
      </c>
      <c r="B17" s="34" t="s">
        <v>64</v>
      </c>
      <c r="C17" s="29" t="s">
        <v>114</v>
      </c>
      <c r="D17" s="29" t="s">
        <v>158</v>
      </c>
      <c r="E17" s="37">
        <v>51798.400000000001</v>
      </c>
      <c r="F17" s="37">
        <v>49595.6</v>
      </c>
      <c r="G17" s="37">
        <v>48833.7</v>
      </c>
      <c r="H17" s="37">
        <v>48072.800000000003</v>
      </c>
      <c r="I17" s="37">
        <v>43592.2</v>
      </c>
      <c r="J17" s="37">
        <v>54534.1</v>
      </c>
      <c r="K17" s="37">
        <v>62408.7</v>
      </c>
      <c r="L17" s="37">
        <v>68930.2</v>
      </c>
      <c r="M17" s="37">
        <v>75050.100000000006</v>
      </c>
      <c r="N17" s="37">
        <v>80353.100000000006</v>
      </c>
      <c r="O17" s="37">
        <v>84935</v>
      </c>
      <c r="P17" s="29">
        <v>0</v>
      </c>
      <c r="Q17" s="29">
        <v>0</v>
      </c>
      <c r="R17" s="29">
        <v>0</v>
      </c>
      <c r="S17" s="29" t="s">
        <v>168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1:29" s="14" customFormat="1" x14ac:dyDescent="0.3">
      <c r="A18" s="14" t="s">
        <v>479</v>
      </c>
      <c r="B18" s="44" t="s">
        <v>64</v>
      </c>
      <c r="C18" s="45" t="s">
        <v>114</v>
      </c>
      <c r="D18" s="45" t="s">
        <v>156</v>
      </c>
      <c r="E18" s="46">
        <v>583892</v>
      </c>
      <c r="F18" s="46">
        <v>863587</v>
      </c>
      <c r="G18" s="46">
        <v>1063160</v>
      </c>
      <c r="H18" s="46">
        <v>1126550</v>
      </c>
      <c r="I18" s="46">
        <v>1205090</v>
      </c>
      <c r="J18" s="46">
        <v>1289560</v>
      </c>
      <c r="K18" s="46">
        <v>1338380</v>
      </c>
      <c r="L18" s="46">
        <v>1358530</v>
      </c>
      <c r="M18" s="46">
        <v>1330850</v>
      </c>
      <c r="N18" s="46">
        <v>1297320</v>
      </c>
      <c r="O18" s="46">
        <v>1264510</v>
      </c>
      <c r="P18" s="46">
        <v>0</v>
      </c>
      <c r="Q18" s="46">
        <v>0</v>
      </c>
      <c r="R18" s="46">
        <v>0</v>
      </c>
      <c r="S18" s="46" t="s">
        <v>168</v>
      </c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 spans="1:29" s="29" customFormat="1" x14ac:dyDescent="0.3">
      <c r="A19" s="29" t="s">
        <v>479</v>
      </c>
      <c r="B19" s="34" t="s">
        <v>64</v>
      </c>
      <c r="C19" s="29" t="s">
        <v>127</v>
      </c>
      <c r="D19" s="29" t="s">
        <v>128</v>
      </c>
      <c r="E19" s="37">
        <v>130827.109</v>
      </c>
      <c r="F19" s="37">
        <v>193847.13</v>
      </c>
      <c r="G19" s="37">
        <v>234020.79</v>
      </c>
      <c r="H19" s="37">
        <v>244407.8</v>
      </c>
      <c r="I19" s="37">
        <v>261288.34999999899</v>
      </c>
      <c r="J19" s="37">
        <v>280442.96999999997</v>
      </c>
      <c r="K19" s="37">
        <v>280663.65000000002</v>
      </c>
      <c r="L19" s="37">
        <v>280176.94</v>
      </c>
      <c r="M19" s="37">
        <v>279727</v>
      </c>
      <c r="N19" s="37">
        <v>279907.58</v>
      </c>
      <c r="O19" s="37">
        <v>282790.17</v>
      </c>
      <c r="P19" s="29">
        <v>0</v>
      </c>
      <c r="Q19" s="29">
        <v>0</v>
      </c>
      <c r="R19" s="29">
        <v>0</v>
      </c>
      <c r="S19" s="29" t="s">
        <v>168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1:29" s="17" customFormat="1" x14ac:dyDescent="0.3">
      <c r="A20" s="17" t="s">
        <v>479</v>
      </c>
      <c r="B20" s="28" t="s">
        <v>64</v>
      </c>
      <c r="C20" s="17" t="s">
        <v>127</v>
      </c>
      <c r="D20" s="17" t="s">
        <v>159</v>
      </c>
      <c r="E20" s="36">
        <v>453065</v>
      </c>
      <c r="F20" s="36">
        <v>669740</v>
      </c>
      <c r="G20" s="36">
        <v>829140</v>
      </c>
      <c r="H20" s="36">
        <v>882142</v>
      </c>
      <c r="I20" s="36">
        <v>943798</v>
      </c>
      <c r="J20" s="36">
        <v>1009110</v>
      </c>
      <c r="K20" s="36">
        <v>1057720</v>
      </c>
      <c r="L20" s="36">
        <v>1078360</v>
      </c>
      <c r="M20" s="36">
        <v>1051130</v>
      </c>
      <c r="N20" s="36">
        <v>1017410</v>
      </c>
      <c r="O20" s="36">
        <v>981720</v>
      </c>
      <c r="P20" s="17">
        <v>0</v>
      </c>
      <c r="Q20" s="17">
        <v>0</v>
      </c>
      <c r="R20" s="17">
        <v>0</v>
      </c>
      <c r="S20" s="17" t="s">
        <v>168</v>
      </c>
    </row>
    <row r="21" spans="1:29" s="29" customFormat="1" x14ac:dyDescent="0.3">
      <c r="A21" s="29" t="s">
        <v>479</v>
      </c>
      <c r="B21" s="30" t="s">
        <v>64</v>
      </c>
      <c r="C21" s="31" t="s">
        <v>129</v>
      </c>
      <c r="D21" s="31" t="s">
        <v>130</v>
      </c>
      <c r="E21" s="33">
        <v>22360.7</v>
      </c>
      <c r="F21" s="33">
        <v>31155.7</v>
      </c>
      <c r="G21" s="33">
        <v>38297.300000000003</v>
      </c>
      <c r="H21" s="33">
        <v>40976.699999999997</v>
      </c>
      <c r="I21" s="33">
        <v>40870.800000000003</v>
      </c>
      <c r="J21" s="33">
        <v>41472.800000000003</v>
      </c>
      <c r="K21" s="33">
        <v>39315.800000000003</v>
      </c>
      <c r="L21" s="33">
        <v>36763.5</v>
      </c>
      <c r="M21" s="33">
        <v>34315.3999999999</v>
      </c>
      <c r="N21" s="33">
        <v>32151.8</v>
      </c>
      <c r="O21" s="33">
        <v>30164.400000000001</v>
      </c>
      <c r="P21" s="33">
        <v>0</v>
      </c>
      <c r="Q21" s="33">
        <v>0</v>
      </c>
      <c r="R21" s="33">
        <v>0</v>
      </c>
      <c r="S21" s="33" t="s">
        <v>168</v>
      </c>
    </row>
    <row r="22" spans="1:29" s="29" customFormat="1" x14ac:dyDescent="0.3">
      <c r="A22" s="29" t="s">
        <v>479</v>
      </c>
      <c r="B22" s="34" t="s">
        <v>64</v>
      </c>
      <c r="C22" s="29" t="s">
        <v>129</v>
      </c>
      <c r="D22" s="29" t="s">
        <v>160</v>
      </c>
      <c r="E22" s="37">
        <v>430704</v>
      </c>
      <c r="F22" s="37">
        <v>638584</v>
      </c>
      <c r="G22" s="37">
        <v>790843</v>
      </c>
      <c r="H22" s="37">
        <v>841165</v>
      </c>
      <c r="I22" s="37">
        <v>902927</v>
      </c>
      <c r="J22" s="37">
        <v>967641</v>
      </c>
      <c r="K22" s="37">
        <v>1018400</v>
      </c>
      <c r="L22" s="37">
        <v>1041590</v>
      </c>
      <c r="M22" s="37">
        <v>1016810</v>
      </c>
      <c r="N22" s="37">
        <v>985258</v>
      </c>
      <c r="O22" s="37">
        <v>951555</v>
      </c>
      <c r="P22" s="29">
        <v>0</v>
      </c>
      <c r="Q22" s="29">
        <v>0</v>
      </c>
      <c r="R22" s="29">
        <v>0</v>
      </c>
      <c r="S22" s="29" t="s">
        <v>168</v>
      </c>
    </row>
    <row r="23" spans="1:29" s="17" customFormat="1" x14ac:dyDescent="0.3">
      <c r="A23" s="17" t="s">
        <v>479</v>
      </c>
      <c r="B23" s="28" t="s">
        <v>64</v>
      </c>
      <c r="C23" s="17" t="s">
        <v>131</v>
      </c>
      <c r="D23" s="17" t="s">
        <v>132</v>
      </c>
      <c r="E23" s="36">
        <v>423194.69020000001</v>
      </c>
      <c r="F23" s="36">
        <v>630800.50026</v>
      </c>
      <c r="G23" s="36">
        <v>782030.37889000005</v>
      </c>
      <c r="H23" s="36">
        <v>832141.27720000001</v>
      </c>
      <c r="I23" s="36">
        <v>892879.33719999995</v>
      </c>
      <c r="J23" s="36">
        <v>956211.52029000001</v>
      </c>
      <c r="K23" s="36">
        <v>1004954.19633999</v>
      </c>
      <c r="L23" s="36">
        <v>1026337.62174</v>
      </c>
      <c r="M23" s="36">
        <v>1000563.91721999</v>
      </c>
      <c r="N23" s="36">
        <v>968679.66011000006</v>
      </c>
      <c r="O23" s="36">
        <v>934637.18496999994</v>
      </c>
      <c r="P23" s="17">
        <v>0</v>
      </c>
      <c r="Q23" s="17">
        <v>0</v>
      </c>
      <c r="R23" s="17">
        <v>0</v>
      </c>
      <c r="S23" s="17" t="s">
        <v>168</v>
      </c>
    </row>
    <row r="24" spans="1:29" s="17" customFormat="1" x14ac:dyDescent="0.3">
      <c r="A24" s="17" t="s">
        <v>479</v>
      </c>
      <c r="B24" s="27" t="s">
        <v>64</v>
      </c>
      <c r="C24" s="19" t="s">
        <v>131</v>
      </c>
      <c r="D24" s="19" t="s">
        <v>133</v>
      </c>
      <c r="E24" s="20">
        <v>7510.1427999999996</v>
      </c>
      <c r="F24" s="20">
        <v>7783.201419</v>
      </c>
      <c r="G24" s="20">
        <v>8812.7470290000001</v>
      </c>
      <c r="H24" s="20">
        <v>9023.8581799999993</v>
      </c>
      <c r="I24" s="20">
        <v>10047.7915999999</v>
      </c>
      <c r="J24" s="20">
        <v>11429.503570000001</v>
      </c>
      <c r="K24" s="20">
        <v>13449.4634479999</v>
      </c>
      <c r="L24" s="20">
        <v>15254.904007999899</v>
      </c>
      <c r="M24" s="20">
        <v>16247.373455999999</v>
      </c>
      <c r="N24" s="20">
        <v>16577.693048000001</v>
      </c>
      <c r="O24" s="20">
        <v>16917.829462000002</v>
      </c>
      <c r="P24" s="20">
        <v>0</v>
      </c>
      <c r="Q24" s="20">
        <v>0</v>
      </c>
      <c r="R24" s="20">
        <v>0</v>
      </c>
      <c r="S24" s="20" t="s">
        <v>168</v>
      </c>
    </row>
    <row r="25" spans="1:29" s="17" customFormat="1" x14ac:dyDescent="0.3">
      <c r="A25" s="17" t="s">
        <v>479</v>
      </c>
      <c r="B25" s="28" t="s">
        <v>64</v>
      </c>
      <c r="C25" s="17" t="s">
        <v>115</v>
      </c>
      <c r="D25" s="17" t="s">
        <v>134</v>
      </c>
      <c r="E25" s="36">
        <v>318546</v>
      </c>
      <c r="F25" s="36">
        <v>629335</v>
      </c>
      <c r="G25" s="36">
        <v>1326250</v>
      </c>
      <c r="H25" s="36">
        <v>1324840</v>
      </c>
      <c r="I25" s="36">
        <v>1413986.1</v>
      </c>
      <c r="J25" s="36">
        <v>1515752</v>
      </c>
      <c r="K25" s="36">
        <v>1618058</v>
      </c>
      <c r="L25" s="36">
        <v>1744982.4772999999</v>
      </c>
      <c r="M25" s="36">
        <v>1820402.433</v>
      </c>
      <c r="N25" s="36">
        <v>1869886.4850000001</v>
      </c>
      <c r="O25" s="36">
        <v>1912241.94</v>
      </c>
      <c r="P25" s="17">
        <v>0</v>
      </c>
      <c r="Q25" s="17">
        <v>0</v>
      </c>
      <c r="R25" s="17">
        <v>0</v>
      </c>
      <c r="S25" s="17" t="s">
        <v>169</v>
      </c>
    </row>
    <row r="26" spans="1:29" s="17" customFormat="1" x14ac:dyDescent="0.3">
      <c r="A26" s="17" t="s">
        <v>479</v>
      </c>
      <c r="B26" s="28" t="s">
        <v>65</v>
      </c>
      <c r="C26" s="17" t="s">
        <v>112</v>
      </c>
      <c r="D26" s="17" t="s">
        <v>117</v>
      </c>
      <c r="E26" s="36">
        <v>212576</v>
      </c>
      <c r="F26" s="36">
        <v>353555</v>
      </c>
      <c r="G26" s="36">
        <v>368359</v>
      </c>
      <c r="H26" s="36">
        <v>399505</v>
      </c>
      <c r="I26" s="36">
        <v>411222</v>
      </c>
      <c r="J26" s="36">
        <v>382366</v>
      </c>
      <c r="K26" s="36">
        <v>369032</v>
      </c>
      <c r="L26" s="36">
        <v>346565.1899384</v>
      </c>
      <c r="M26" s="36">
        <v>324739.49381900002</v>
      </c>
      <c r="N26" s="36">
        <v>304049.99430000002</v>
      </c>
      <c r="O26" s="36">
        <v>285793.93530000001</v>
      </c>
      <c r="P26" s="17">
        <v>0</v>
      </c>
      <c r="Q26" s="17">
        <v>0</v>
      </c>
      <c r="R26" s="17">
        <v>0</v>
      </c>
      <c r="S26" s="17" t="s">
        <v>168</v>
      </c>
    </row>
    <row r="27" spans="1:29" s="17" customFormat="1" x14ac:dyDescent="0.3">
      <c r="A27" s="17" t="s">
        <v>479</v>
      </c>
      <c r="B27" s="28" t="s">
        <v>65</v>
      </c>
      <c r="C27" s="17" t="s">
        <v>113</v>
      </c>
      <c r="D27" s="17" t="s">
        <v>118</v>
      </c>
      <c r="E27" s="36">
        <v>568313</v>
      </c>
      <c r="F27" s="36">
        <v>667205</v>
      </c>
      <c r="G27" s="36">
        <v>602977</v>
      </c>
      <c r="H27" s="36">
        <v>455554</v>
      </c>
      <c r="I27" s="36">
        <v>462227.20000000001</v>
      </c>
      <c r="J27" s="36">
        <v>535774.80000000005</v>
      </c>
      <c r="K27" s="36">
        <v>613039</v>
      </c>
      <c r="L27" s="36">
        <v>727151.93099999998</v>
      </c>
      <c r="M27" s="36">
        <v>805770.33</v>
      </c>
      <c r="N27" s="36">
        <v>856693.01</v>
      </c>
      <c r="O27" s="36">
        <v>905095.17</v>
      </c>
      <c r="P27" s="17">
        <v>0</v>
      </c>
      <c r="Q27" s="17">
        <v>0</v>
      </c>
      <c r="R27" s="17">
        <v>0</v>
      </c>
      <c r="S27" s="17" t="s">
        <v>169</v>
      </c>
      <c r="T27" s="22"/>
      <c r="U27" s="22"/>
      <c r="V27" s="22"/>
      <c r="W27" s="22"/>
      <c r="X27" s="22"/>
      <c r="Y27" s="22"/>
    </row>
    <row r="28" spans="1:29" s="17" customFormat="1" x14ac:dyDescent="0.3">
      <c r="A28" s="17" t="s">
        <v>479</v>
      </c>
      <c r="B28" s="28" t="s">
        <v>65</v>
      </c>
      <c r="C28" s="17" t="s">
        <v>113</v>
      </c>
      <c r="D28" s="17" t="s">
        <v>119</v>
      </c>
      <c r="E28" s="36">
        <v>250445.02100000001</v>
      </c>
      <c r="F28" s="36">
        <v>306181.59999999998</v>
      </c>
      <c r="G28" s="36">
        <v>294236.7</v>
      </c>
      <c r="H28" s="36">
        <v>303575.09999999998</v>
      </c>
      <c r="I28" s="36">
        <v>311916.3</v>
      </c>
      <c r="J28" s="36">
        <v>339819.64</v>
      </c>
      <c r="K28" s="36">
        <v>326805.40000000002</v>
      </c>
      <c r="L28" s="36">
        <v>294397.19999999902</v>
      </c>
      <c r="M28" s="36">
        <v>288576.09999999998</v>
      </c>
      <c r="N28" s="36">
        <v>301899.3</v>
      </c>
      <c r="O28" s="36">
        <v>320112.09999999998</v>
      </c>
      <c r="P28" s="17">
        <v>0</v>
      </c>
      <c r="Q28" s="17">
        <v>0</v>
      </c>
      <c r="R28" s="17">
        <v>0</v>
      </c>
      <c r="S28" s="17" t="s">
        <v>169</v>
      </c>
    </row>
    <row r="29" spans="1:29" s="17" customFormat="1" x14ac:dyDescent="0.3">
      <c r="A29" s="17" t="s">
        <v>479</v>
      </c>
      <c r="B29" s="28" t="s">
        <v>65</v>
      </c>
      <c r="C29" s="17" t="s">
        <v>113</v>
      </c>
      <c r="D29" s="17" t="s">
        <v>156</v>
      </c>
      <c r="E29" s="36">
        <v>1112710</v>
      </c>
      <c r="F29" s="36">
        <v>1402240</v>
      </c>
      <c r="G29" s="36">
        <v>1362490</v>
      </c>
      <c r="H29" s="36">
        <v>1331530</v>
      </c>
      <c r="I29" s="36">
        <v>1340410</v>
      </c>
      <c r="J29" s="36">
        <v>1470360</v>
      </c>
      <c r="K29" s="36">
        <v>1544410</v>
      </c>
      <c r="L29" s="36">
        <v>1620490</v>
      </c>
      <c r="M29" s="36">
        <v>1701880</v>
      </c>
      <c r="N29" s="36">
        <v>1783340</v>
      </c>
      <c r="O29" s="36">
        <v>1860940</v>
      </c>
      <c r="P29" s="17">
        <v>0</v>
      </c>
      <c r="Q29" s="17">
        <v>0</v>
      </c>
      <c r="R29" s="17">
        <v>0</v>
      </c>
      <c r="S29" s="17" t="s">
        <v>169</v>
      </c>
    </row>
    <row r="30" spans="1:29" s="17" customFormat="1" x14ac:dyDescent="0.3">
      <c r="A30" s="17" t="s">
        <v>479</v>
      </c>
      <c r="B30" s="28" t="s">
        <v>65</v>
      </c>
      <c r="C30" s="17" t="s">
        <v>120</v>
      </c>
      <c r="D30" s="17" t="s">
        <v>121</v>
      </c>
      <c r="E30" s="36">
        <v>1024130</v>
      </c>
      <c r="F30" s="36">
        <v>1290600</v>
      </c>
      <c r="G30" s="36">
        <v>1253810</v>
      </c>
      <c r="H30" s="36">
        <v>1225120</v>
      </c>
      <c r="I30" s="36">
        <v>1233301.45</v>
      </c>
      <c r="J30" s="36">
        <v>1352557.2297445899</v>
      </c>
      <c r="K30" s="36">
        <v>1420174.2638602201</v>
      </c>
      <c r="L30" s="36">
        <v>1490098.7351056</v>
      </c>
      <c r="M30" s="36">
        <v>1565214.81230767</v>
      </c>
      <c r="N30" s="36">
        <v>1640042.7846402</v>
      </c>
      <c r="O30" s="36">
        <v>1710637.1668</v>
      </c>
      <c r="P30" s="17">
        <v>0</v>
      </c>
      <c r="Q30" s="17">
        <v>0</v>
      </c>
      <c r="R30" s="17">
        <v>0</v>
      </c>
      <c r="S30" s="17" t="s">
        <v>169</v>
      </c>
    </row>
    <row r="31" spans="1:29" s="17" customFormat="1" x14ac:dyDescent="0.3">
      <c r="A31" s="17" t="s">
        <v>479</v>
      </c>
      <c r="B31" s="27" t="s">
        <v>65</v>
      </c>
      <c r="C31" s="19" t="s">
        <v>120</v>
      </c>
      <c r="D31" s="19" t="s">
        <v>122</v>
      </c>
      <c r="E31" s="20">
        <v>29908.799999999999</v>
      </c>
      <c r="F31" s="20">
        <v>37690.9</v>
      </c>
      <c r="G31" s="20">
        <v>36842</v>
      </c>
      <c r="H31" s="20">
        <v>36224.800000000003</v>
      </c>
      <c r="I31" s="20">
        <v>36476.1</v>
      </c>
      <c r="J31" s="20">
        <v>40148.294300000001</v>
      </c>
      <c r="K31" s="20">
        <v>42329.197699999997</v>
      </c>
      <c r="L31" s="20">
        <v>44481.397100000002</v>
      </c>
      <c r="M31" s="20">
        <v>46653.7314999999</v>
      </c>
      <c r="N31" s="20">
        <v>48848.164700000001</v>
      </c>
      <c r="O31" s="20">
        <v>51028.201000000001</v>
      </c>
      <c r="P31" s="20">
        <v>0</v>
      </c>
      <c r="Q31" s="20">
        <v>0</v>
      </c>
      <c r="R31" s="20">
        <v>0</v>
      </c>
      <c r="S31" s="20" t="s">
        <v>169</v>
      </c>
    </row>
    <row r="32" spans="1:29" s="17" customFormat="1" x14ac:dyDescent="0.3">
      <c r="A32" s="17" t="s">
        <v>479</v>
      </c>
      <c r="B32" s="28" t="s">
        <v>65</v>
      </c>
      <c r="C32" s="17" t="s">
        <v>120</v>
      </c>
      <c r="D32" s="17" t="s">
        <v>123</v>
      </c>
      <c r="E32" s="36">
        <v>58674.9</v>
      </c>
      <c r="F32" s="36">
        <v>73941.7</v>
      </c>
      <c r="G32" s="36">
        <v>71833.600000000006</v>
      </c>
      <c r="H32" s="36">
        <v>70189.600000000006</v>
      </c>
      <c r="I32" s="36">
        <v>70630.070000000007</v>
      </c>
      <c r="J32" s="36">
        <v>77676.662700000001</v>
      </c>
      <c r="K32" s="36">
        <v>81956.856100000005</v>
      </c>
      <c r="L32" s="36">
        <v>86011.908399999898</v>
      </c>
      <c r="M32" s="36">
        <v>90149.662699999899</v>
      </c>
      <c r="N32" s="36">
        <v>94610.376999999993</v>
      </c>
      <c r="O32" s="36">
        <v>99469.408999999898</v>
      </c>
      <c r="P32" s="17">
        <v>0</v>
      </c>
      <c r="Q32" s="17">
        <v>0</v>
      </c>
      <c r="R32" s="17">
        <v>0</v>
      </c>
      <c r="S32" s="17" t="s">
        <v>169</v>
      </c>
    </row>
    <row r="33" spans="1:29" s="29" customFormat="1" x14ac:dyDescent="0.3">
      <c r="A33" s="29" t="s">
        <v>479</v>
      </c>
      <c r="B33" s="30" t="s">
        <v>65</v>
      </c>
      <c r="C33" s="31" t="s">
        <v>114</v>
      </c>
      <c r="D33" s="31" t="s">
        <v>157</v>
      </c>
      <c r="E33" s="33">
        <v>34966.699999999997</v>
      </c>
      <c r="F33" s="33">
        <v>37111.599999999999</v>
      </c>
      <c r="G33" s="33">
        <v>37862.6</v>
      </c>
      <c r="H33" s="33">
        <v>38400.6</v>
      </c>
      <c r="I33" s="33">
        <v>38726.199999999997</v>
      </c>
      <c r="J33" s="33">
        <v>52681.9</v>
      </c>
      <c r="K33" s="33">
        <v>65152.5</v>
      </c>
      <c r="L33" s="33">
        <v>75755.3</v>
      </c>
      <c r="M33" s="33">
        <v>84992.8</v>
      </c>
      <c r="N33" s="33">
        <v>92986.5</v>
      </c>
      <c r="O33" s="33">
        <v>99964.6</v>
      </c>
      <c r="P33" s="33">
        <v>0</v>
      </c>
      <c r="Q33" s="33">
        <v>0</v>
      </c>
      <c r="R33" s="33">
        <v>0</v>
      </c>
      <c r="S33" s="33" t="s">
        <v>168</v>
      </c>
    </row>
    <row r="34" spans="1:29" s="29" customFormat="1" x14ac:dyDescent="0.3">
      <c r="A34" s="29" t="s">
        <v>479</v>
      </c>
      <c r="B34" s="34" t="s">
        <v>65</v>
      </c>
      <c r="C34" s="29" t="s">
        <v>114</v>
      </c>
      <c r="D34" s="29" t="s">
        <v>124</v>
      </c>
      <c r="E34" s="37">
        <v>147471</v>
      </c>
      <c r="F34" s="37">
        <v>245272</v>
      </c>
      <c r="G34" s="37">
        <v>255527</v>
      </c>
      <c r="H34" s="37">
        <v>277139</v>
      </c>
      <c r="I34" s="37">
        <v>289011</v>
      </c>
      <c r="J34" s="37">
        <v>308124</v>
      </c>
      <c r="K34" s="37">
        <v>278810</v>
      </c>
      <c r="L34" s="37">
        <v>224371.21100000001</v>
      </c>
      <c r="M34" s="37">
        <v>165050.948</v>
      </c>
      <c r="N34" s="37">
        <v>101623.93</v>
      </c>
      <c r="O34" s="37">
        <v>35953.966</v>
      </c>
      <c r="P34" s="35">
        <v>0</v>
      </c>
      <c r="Q34" s="35">
        <v>0</v>
      </c>
      <c r="R34" s="35">
        <v>0</v>
      </c>
      <c r="S34" s="35" t="s">
        <v>168</v>
      </c>
    </row>
    <row r="35" spans="1:29" s="29" customFormat="1" x14ac:dyDescent="0.3">
      <c r="A35" s="29" t="s">
        <v>479</v>
      </c>
      <c r="B35" s="30" t="s">
        <v>65</v>
      </c>
      <c r="C35" s="31" t="s">
        <v>114</v>
      </c>
      <c r="D35" s="31" t="s">
        <v>125</v>
      </c>
      <c r="E35" s="33">
        <v>17093.7</v>
      </c>
      <c r="F35" s="33">
        <v>20739.3</v>
      </c>
      <c r="G35" s="33">
        <v>19886.5</v>
      </c>
      <c r="H35" s="33">
        <v>21065.1</v>
      </c>
      <c r="I35" s="33">
        <v>21008.400000000001</v>
      </c>
      <c r="J35" s="33">
        <v>27559.7</v>
      </c>
      <c r="K35" s="33">
        <v>32241.4</v>
      </c>
      <c r="L35" s="33">
        <v>37451.699999999997</v>
      </c>
      <c r="M35" s="33">
        <v>39006.800000000003</v>
      </c>
      <c r="N35" s="33">
        <v>41013.699999999997</v>
      </c>
      <c r="O35" s="33">
        <v>43407.1</v>
      </c>
      <c r="P35" s="33">
        <v>0</v>
      </c>
      <c r="Q35" s="33">
        <v>0</v>
      </c>
      <c r="R35" s="33">
        <v>0</v>
      </c>
      <c r="S35" s="33" t="s">
        <v>168</v>
      </c>
    </row>
    <row r="36" spans="1:29" s="29" customFormat="1" x14ac:dyDescent="0.3">
      <c r="A36" s="29" t="s">
        <v>479</v>
      </c>
      <c r="B36" s="34" t="s">
        <v>65</v>
      </c>
      <c r="C36" s="29" t="s">
        <v>114</v>
      </c>
      <c r="D36" s="29" t="s">
        <v>126</v>
      </c>
      <c r="E36" s="37">
        <v>296811</v>
      </c>
      <c r="F36" s="37">
        <v>362300.8</v>
      </c>
      <c r="G36" s="37">
        <v>347860.3</v>
      </c>
      <c r="H36" s="37">
        <v>363805.5</v>
      </c>
      <c r="I36" s="37">
        <v>372521.6</v>
      </c>
      <c r="J36" s="37">
        <v>402916.6</v>
      </c>
      <c r="K36" s="37">
        <v>409945.3</v>
      </c>
      <c r="L36" s="37">
        <v>415275.5</v>
      </c>
      <c r="M36" s="37">
        <v>418527</v>
      </c>
      <c r="N36" s="37">
        <v>424297.8</v>
      </c>
      <c r="O36" s="37">
        <v>431896.2</v>
      </c>
      <c r="P36" s="29">
        <v>0</v>
      </c>
      <c r="Q36" s="29">
        <v>0</v>
      </c>
      <c r="R36" s="29">
        <v>0</v>
      </c>
      <c r="S36" s="29" t="s">
        <v>168</v>
      </c>
    </row>
    <row r="37" spans="1:29" s="29" customFormat="1" x14ac:dyDescent="0.3">
      <c r="A37" s="29" t="s">
        <v>479</v>
      </c>
      <c r="B37" s="34" t="s">
        <v>65</v>
      </c>
      <c r="C37" s="29" t="s">
        <v>114</v>
      </c>
      <c r="D37" s="29" t="s">
        <v>158</v>
      </c>
      <c r="E37" s="37">
        <v>104898</v>
      </c>
      <c r="F37" s="37">
        <v>111333</v>
      </c>
      <c r="G37" s="37">
        <v>113588</v>
      </c>
      <c r="H37" s="37">
        <v>115202</v>
      </c>
      <c r="I37" s="37">
        <v>116179</v>
      </c>
      <c r="J37" s="37">
        <v>158046</v>
      </c>
      <c r="K37" s="37">
        <v>195457</v>
      </c>
      <c r="L37" s="37">
        <v>227266</v>
      </c>
      <c r="M37" s="37">
        <v>254978</v>
      </c>
      <c r="N37" s="37">
        <v>278959</v>
      </c>
      <c r="O37" s="37">
        <v>299894</v>
      </c>
      <c r="P37" s="29">
        <v>0</v>
      </c>
      <c r="Q37" s="29">
        <v>0</v>
      </c>
      <c r="R37" s="29">
        <v>0</v>
      </c>
      <c r="S37" s="29" t="s">
        <v>168</v>
      </c>
    </row>
    <row r="38" spans="1:29" s="14" customFormat="1" x14ac:dyDescent="0.3">
      <c r="A38" s="14" t="s">
        <v>479</v>
      </c>
      <c r="B38" s="51" t="s">
        <v>65</v>
      </c>
      <c r="C38" s="14" t="s">
        <v>114</v>
      </c>
      <c r="D38" s="14" t="s">
        <v>156</v>
      </c>
      <c r="E38" s="52">
        <v>4231630</v>
      </c>
      <c r="F38" s="52">
        <v>5349060</v>
      </c>
      <c r="G38" s="52">
        <v>5368570</v>
      </c>
      <c r="H38" s="52">
        <v>5457750</v>
      </c>
      <c r="I38" s="52">
        <v>5546150</v>
      </c>
      <c r="J38" s="52">
        <v>5612660</v>
      </c>
      <c r="K38" s="52">
        <v>5468890</v>
      </c>
      <c r="L38" s="52">
        <v>5352710</v>
      </c>
      <c r="M38" s="52">
        <v>5238690</v>
      </c>
      <c r="N38" s="52">
        <v>5152050</v>
      </c>
      <c r="O38" s="52">
        <v>5086960</v>
      </c>
      <c r="P38" s="14">
        <v>0</v>
      </c>
      <c r="Q38" s="14">
        <v>0</v>
      </c>
      <c r="R38" s="14">
        <v>0</v>
      </c>
      <c r="S38" s="14" t="s">
        <v>168</v>
      </c>
    </row>
    <row r="39" spans="1:29" s="29" customFormat="1" x14ac:dyDescent="0.3">
      <c r="A39" s="29" t="s">
        <v>479</v>
      </c>
      <c r="B39" s="34" t="s">
        <v>65</v>
      </c>
      <c r="C39" s="29" t="s">
        <v>127</v>
      </c>
      <c r="D39" s="29" t="s">
        <v>128</v>
      </c>
      <c r="E39" s="37">
        <v>573900.19999999995</v>
      </c>
      <c r="F39" s="37">
        <v>739489.7</v>
      </c>
      <c r="G39" s="37">
        <v>752113.8</v>
      </c>
      <c r="H39" s="37">
        <v>777922</v>
      </c>
      <c r="I39" s="37">
        <v>777346.799999999</v>
      </c>
      <c r="J39" s="37">
        <v>687191.71</v>
      </c>
      <c r="K39" s="37">
        <v>619993.4</v>
      </c>
      <c r="L39" s="37">
        <v>560476.4</v>
      </c>
      <c r="M39" s="37">
        <v>513072.4</v>
      </c>
      <c r="N39" s="37">
        <v>473771.6</v>
      </c>
      <c r="O39" s="37">
        <v>439815.5</v>
      </c>
      <c r="P39" s="29">
        <v>0</v>
      </c>
      <c r="Q39" s="29">
        <v>0</v>
      </c>
      <c r="R39" s="29">
        <v>0</v>
      </c>
      <c r="S39" s="29" t="s">
        <v>168</v>
      </c>
    </row>
    <row r="40" spans="1:29" s="17" customFormat="1" x14ac:dyDescent="0.3">
      <c r="A40" s="17" t="s">
        <v>479</v>
      </c>
      <c r="B40" s="28" t="s">
        <v>65</v>
      </c>
      <c r="C40" s="17" t="s">
        <v>127</v>
      </c>
      <c r="D40" s="17" t="s">
        <v>159</v>
      </c>
      <c r="E40" s="36">
        <v>3657730</v>
      </c>
      <c r="F40" s="36">
        <v>4609570</v>
      </c>
      <c r="G40" s="36">
        <v>4616450</v>
      </c>
      <c r="H40" s="36">
        <v>4679830</v>
      </c>
      <c r="I40" s="36">
        <v>4768800</v>
      </c>
      <c r="J40" s="36">
        <v>4925470</v>
      </c>
      <c r="K40" s="36">
        <v>4848890</v>
      </c>
      <c r="L40" s="36">
        <v>4792240</v>
      </c>
      <c r="M40" s="36">
        <v>4725620</v>
      </c>
      <c r="N40" s="36">
        <v>4678270</v>
      </c>
      <c r="O40" s="36">
        <v>4647150</v>
      </c>
      <c r="P40" s="17">
        <v>0</v>
      </c>
      <c r="Q40" s="17">
        <v>0</v>
      </c>
      <c r="R40" s="17">
        <v>0</v>
      </c>
      <c r="S40" s="17" t="s">
        <v>168</v>
      </c>
    </row>
    <row r="41" spans="1:29" s="29" customFormat="1" x14ac:dyDescent="0.3">
      <c r="A41" s="29" t="s">
        <v>479</v>
      </c>
      <c r="B41" s="34" t="s">
        <v>65</v>
      </c>
      <c r="C41" s="29" t="s">
        <v>129</v>
      </c>
      <c r="D41" s="29" t="s">
        <v>130</v>
      </c>
      <c r="E41" s="37">
        <v>72561.2</v>
      </c>
      <c r="F41" s="37">
        <v>91441</v>
      </c>
      <c r="G41" s="37">
        <v>91678.399999999994</v>
      </c>
      <c r="H41" s="37">
        <v>93044.3</v>
      </c>
      <c r="I41" s="37">
        <v>95684.3</v>
      </c>
      <c r="J41" s="37">
        <v>99382.3</v>
      </c>
      <c r="K41" s="37">
        <v>97301.8</v>
      </c>
      <c r="L41" s="37">
        <v>95208.799999999901</v>
      </c>
      <c r="M41" s="37">
        <v>92565.9</v>
      </c>
      <c r="N41" s="37">
        <v>90711.1</v>
      </c>
      <c r="O41" s="37">
        <v>89434.5</v>
      </c>
      <c r="P41" s="29">
        <v>0</v>
      </c>
      <c r="Q41" s="29">
        <v>0</v>
      </c>
      <c r="R41" s="29">
        <v>0</v>
      </c>
      <c r="S41" s="29" t="s">
        <v>168</v>
      </c>
    </row>
    <row r="42" spans="1:29" s="29" customFormat="1" x14ac:dyDescent="0.3">
      <c r="A42" s="29" t="s">
        <v>479</v>
      </c>
      <c r="B42" s="34" t="s">
        <v>65</v>
      </c>
      <c r="C42" s="29" t="s">
        <v>129</v>
      </c>
      <c r="D42" s="29" t="s">
        <v>160</v>
      </c>
      <c r="E42" s="37">
        <v>3585170</v>
      </c>
      <c r="F42" s="37">
        <v>4518130</v>
      </c>
      <c r="G42" s="37">
        <v>4524770</v>
      </c>
      <c r="H42" s="37">
        <v>4586780</v>
      </c>
      <c r="I42" s="37">
        <v>4673120</v>
      </c>
      <c r="J42" s="37">
        <v>4826090</v>
      </c>
      <c r="K42" s="37">
        <v>4751590</v>
      </c>
      <c r="L42" s="37">
        <v>4697030</v>
      </c>
      <c r="M42" s="37">
        <v>4633060</v>
      </c>
      <c r="N42" s="37">
        <v>4587560</v>
      </c>
      <c r="O42" s="37">
        <v>4557710</v>
      </c>
      <c r="P42" s="29">
        <v>0</v>
      </c>
      <c r="Q42" s="29">
        <v>0</v>
      </c>
      <c r="R42" s="29">
        <v>0</v>
      </c>
      <c r="S42" s="29" t="s">
        <v>168</v>
      </c>
    </row>
    <row r="43" spans="1:29" s="17" customFormat="1" x14ac:dyDescent="0.3">
      <c r="A43" s="17" t="s">
        <v>479</v>
      </c>
      <c r="B43" s="28" t="s">
        <v>65</v>
      </c>
      <c r="C43" s="17" t="s">
        <v>131</v>
      </c>
      <c r="D43" s="17" t="s">
        <v>132</v>
      </c>
      <c r="E43" s="36">
        <v>2925308.7354000001</v>
      </c>
      <c r="F43" s="36">
        <v>3686544.997</v>
      </c>
      <c r="G43" s="36">
        <v>3690967.2480000001</v>
      </c>
      <c r="H43" s="36">
        <v>3740465.5920000002</v>
      </c>
      <c r="I43" s="36">
        <v>3802745.5989999999</v>
      </c>
      <c r="J43" s="36">
        <v>3924837.7620000001</v>
      </c>
      <c r="K43" s="36">
        <v>3835424.0576999998</v>
      </c>
      <c r="L43" s="36">
        <v>3759081.4350999901</v>
      </c>
      <c r="M43" s="36">
        <v>3676597.1107000001</v>
      </c>
      <c r="N43" s="36">
        <v>3629640.00479999</v>
      </c>
      <c r="O43" s="36">
        <v>3592698.5071</v>
      </c>
      <c r="P43" s="17">
        <v>0</v>
      </c>
      <c r="Q43" s="17">
        <v>0</v>
      </c>
      <c r="R43" s="17">
        <v>0</v>
      </c>
      <c r="S43" s="17" t="s">
        <v>168</v>
      </c>
    </row>
    <row r="44" spans="1:29" s="17" customFormat="1" x14ac:dyDescent="0.3">
      <c r="A44" s="17" t="s">
        <v>479</v>
      </c>
      <c r="B44" s="28" t="s">
        <v>65</v>
      </c>
      <c r="C44" s="17" t="s">
        <v>131</v>
      </c>
      <c r="D44" s="17" t="s">
        <v>133</v>
      </c>
      <c r="E44" s="36">
        <v>659861.15659999999</v>
      </c>
      <c r="F44" s="36">
        <v>831577.60019999999</v>
      </c>
      <c r="G44" s="36">
        <v>833806.93700000003</v>
      </c>
      <c r="H44" s="36">
        <v>846314.39</v>
      </c>
      <c r="I44" s="36">
        <v>870371.68279999995</v>
      </c>
      <c r="J44" s="36">
        <v>901250.135799999</v>
      </c>
      <c r="K44" s="36">
        <v>916168.07239999995</v>
      </c>
      <c r="L44" s="36">
        <v>937948.25939999905</v>
      </c>
      <c r="M44" s="36">
        <v>956458.29860999901</v>
      </c>
      <c r="N44" s="36">
        <v>957921.88908999995</v>
      </c>
      <c r="O44" s="36">
        <v>965015.76184999896</v>
      </c>
      <c r="P44" s="17">
        <v>0</v>
      </c>
      <c r="Q44" s="17">
        <v>0</v>
      </c>
      <c r="R44" s="17">
        <v>0</v>
      </c>
      <c r="S44" s="17" t="s">
        <v>168</v>
      </c>
    </row>
    <row r="45" spans="1:29" s="17" customFormat="1" x14ac:dyDescent="0.3">
      <c r="A45" s="17" t="s">
        <v>479</v>
      </c>
      <c r="B45" s="28" t="s">
        <v>65</v>
      </c>
      <c r="C45" s="17" t="s">
        <v>115</v>
      </c>
      <c r="D45" s="17" t="s">
        <v>134</v>
      </c>
      <c r="E45" s="22">
        <v>12346400</v>
      </c>
      <c r="F45" s="22">
        <v>18282500</v>
      </c>
      <c r="G45" s="22">
        <v>16574700</v>
      </c>
      <c r="H45" s="22">
        <v>14015900</v>
      </c>
      <c r="I45" s="22">
        <v>14055326</v>
      </c>
      <c r="J45" s="22">
        <v>14861890</v>
      </c>
      <c r="K45" s="22">
        <v>15441120</v>
      </c>
      <c r="L45" s="22">
        <v>16473213.867000001</v>
      </c>
      <c r="M45" s="22">
        <v>17193022.68</v>
      </c>
      <c r="N45" s="22">
        <v>17765846.489999998</v>
      </c>
      <c r="O45" s="22">
        <v>18334758.5</v>
      </c>
      <c r="P45" s="17">
        <v>0</v>
      </c>
      <c r="Q45" s="17">
        <v>0</v>
      </c>
      <c r="R45" s="17">
        <v>0</v>
      </c>
      <c r="S45" s="17" t="s">
        <v>169</v>
      </c>
    </row>
    <row r="47" spans="1:29" s="14" customFormat="1" ht="17.399999999999999" x14ac:dyDescent="0.3">
      <c r="A47" s="26" t="s">
        <v>153</v>
      </c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spans="1:29" s="17" customFormat="1" x14ac:dyDescent="0.3">
      <c r="A48" s="17" t="s">
        <v>104</v>
      </c>
      <c r="B48" s="18" t="s">
        <v>73</v>
      </c>
      <c r="C48" s="19" t="s">
        <v>111</v>
      </c>
      <c r="D48" s="19" t="s">
        <v>154</v>
      </c>
      <c r="E48" s="20">
        <v>1990</v>
      </c>
      <c r="F48" s="20">
        <v>2005</v>
      </c>
      <c r="G48" s="20">
        <v>2010</v>
      </c>
      <c r="H48" s="20">
        <v>2015</v>
      </c>
      <c r="I48" s="20">
        <v>2020</v>
      </c>
      <c r="J48" s="20">
        <v>2025</v>
      </c>
      <c r="K48" s="20">
        <v>2030</v>
      </c>
      <c r="L48" s="20">
        <v>2035</v>
      </c>
      <c r="M48" s="20">
        <v>2040</v>
      </c>
      <c r="N48" s="20">
        <v>2045</v>
      </c>
      <c r="O48" s="20">
        <v>2050</v>
      </c>
      <c r="P48" s="20">
        <v>2055</v>
      </c>
      <c r="Q48" s="20">
        <v>2060</v>
      </c>
      <c r="R48" s="20">
        <v>2065</v>
      </c>
      <c r="S48" s="20">
        <v>2070</v>
      </c>
      <c r="T48" s="20">
        <v>2075</v>
      </c>
      <c r="U48" s="20">
        <v>2080</v>
      </c>
      <c r="V48" s="20">
        <v>2085</v>
      </c>
      <c r="W48" s="20">
        <v>2090</v>
      </c>
      <c r="X48" s="20">
        <v>2095</v>
      </c>
      <c r="Y48" s="20">
        <v>2100</v>
      </c>
      <c r="Z48" s="20" t="s">
        <v>105</v>
      </c>
      <c r="AA48" s="20"/>
      <c r="AB48" s="20"/>
      <c r="AC48" s="20"/>
    </row>
    <row r="49" spans="1:29" s="17" customFormat="1" x14ac:dyDescent="0.3">
      <c r="A49" s="17" t="s">
        <v>221</v>
      </c>
      <c r="B49" s="18" t="s">
        <v>64</v>
      </c>
      <c r="C49" s="19" t="s">
        <v>112</v>
      </c>
      <c r="D49" s="19" t="s">
        <v>117</v>
      </c>
      <c r="E49" s="20">
        <v>1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0">
        <v>1</v>
      </c>
      <c r="L49" s="20">
        <v>1</v>
      </c>
      <c r="M49" s="20">
        <v>1</v>
      </c>
      <c r="N49" s="20">
        <v>1</v>
      </c>
      <c r="O49" s="20">
        <v>1</v>
      </c>
      <c r="P49" s="20">
        <v>1</v>
      </c>
      <c r="Q49" s="20">
        <v>1</v>
      </c>
      <c r="R49" s="20">
        <v>1</v>
      </c>
      <c r="S49" s="20">
        <v>1</v>
      </c>
      <c r="T49" s="20">
        <v>1</v>
      </c>
      <c r="U49" s="20">
        <v>1</v>
      </c>
      <c r="V49" s="20">
        <v>1</v>
      </c>
      <c r="W49" s="20">
        <v>1</v>
      </c>
      <c r="X49" s="20">
        <v>1</v>
      </c>
      <c r="Y49" s="20">
        <v>1</v>
      </c>
      <c r="Z49" s="20" t="s">
        <v>155</v>
      </c>
      <c r="AA49" s="20"/>
      <c r="AB49" s="20"/>
      <c r="AC49" s="20"/>
    </row>
    <row r="50" spans="1:29" s="17" customFormat="1" x14ac:dyDescent="0.3">
      <c r="A50" s="17" t="s">
        <v>221</v>
      </c>
      <c r="B50" s="18" t="s">
        <v>64</v>
      </c>
      <c r="C50" s="19" t="s">
        <v>113</v>
      </c>
      <c r="D50" s="19" t="s">
        <v>118</v>
      </c>
      <c r="E50" s="21">
        <v>7.9557499999999997E-4</v>
      </c>
      <c r="F50" s="21">
        <v>1.14108E-4</v>
      </c>
      <c r="G50" s="21">
        <v>2.4071100000000001E-4</v>
      </c>
      <c r="H50" s="21">
        <v>2.29626E-4</v>
      </c>
      <c r="I50" s="21">
        <v>2.29626E-4</v>
      </c>
      <c r="J50" s="21">
        <v>2.29626E-4</v>
      </c>
      <c r="K50" s="21">
        <v>2.29626E-4</v>
      </c>
      <c r="L50" s="21">
        <v>2.29626E-4</v>
      </c>
      <c r="M50" s="21">
        <v>2.29626E-4</v>
      </c>
      <c r="N50" s="21">
        <v>2.29626E-4</v>
      </c>
      <c r="O50" s="21">
        <v>2.29626E-4</v>
      </c>
      <c r="P50" s="21">
        <v>2.29626E-4</v>
      </c>
      <c r="Q50" s="21">
        <v>2.29626E-4</v>
      </c>
      <c r="R50" s="21">
        <v>2.29626E-4</v>
      </c>
      <c r="S50" s="21">
        <v>2.29626E-4</v>
      </c>
      <c r="T50" s="21">
        <v>2.29626E-4</v>
      </c>
      <c r="U50" s="21">
        <v>2.29626E-4</v>
      </c>
      <c r="V50" s="21">
        <v>2.29626E-4</v>
      </c>
      <c r="W50" s="21">
        <v>2.29626E-4</v>
      </c>
      <c r="X50" s="21">
        <v>2.29626E-4</v>
      </c>
      <c r="Y50" s="21">
        <v>2.29626E-4</v>
      </c>
      <c r="Z50" s="20" t="s">
        <v>155</v>
      </c>
      <c r="AA50" s="20"/>
      <c r="AB50" s="20"/>
      <c r="AC50" s="20"/>
    </row>
    <row r="51" spans="1:29" s="17" customFormat="1" x14ac:dyDescent="0.3">
      <c r="A51" s="17" t="s">
        <v>221</v>
      </c>
      <c r="B51" s="18" t="s">
        <v>64</v>
      </c>
      <c r="C51" s="19" t="s">
        <v>113</v>
      </c>
      <c r="D51" s="19" t="s">
        <v>119</v>
      </c>
      <c r="E51" s="20">
        <v>0.201544</v>
      </c>
      <c r="F51" s="20">
        <v>0.110995</v>
      </c>
      <c r="G51" s="20">
        <v>7.1097300000000002E-2</v>
      </c>
      <c r="H51" s="20">
        <v>6.2487000000000001E-2</v>
      </c>
      <c r="I51" s="20">
        <v>6.2487000000000001E-2</v>
      </c>
      <c r="J51" s="20">
        <v>6.2487000000000001E-2</v>
      </c>
      <c r="K51" s="20">
        <v>6.2487000000000001E-2</v>
      </c>
      <c r="L51" s="20">
        <v>6.2487000000000001E-2</v>
      </c>
      <c r="M51" s="20">
        <v>6.2487000000000001E-2</v>
      </c>
      <c r="N51" s="20">
        <v>6.2487000000000001E-2</v>
      </c>
      <c r="O51" s="20">
        <v>6.2487000000000001E-2</v>
      </c>
      <c r="P51" s="20">
        <v>6.2487000000000001E-2</v>
      </c>
      <c r="Q51" s="20">
        <v>6.2487000000000001E-2</v>
      </c>
      <c r="R51" s="20">
        <v>6.2487000000000001E-2</v>
      </c>
      <c r="S51" s="20">
        <v>6.2487000000000001E-2</v>
      </c>
      <c r="T51" s="20">
        <v>6.2487000000000001E-2</v>
      </c>
      <c r="U51" s="20">
        <v>6.2487000000000001E-2</v>
      </c>
      <c r="V51" s="20">
        <v>6.2487000000000001E-2</v>
      </c>
      <c r="W51" s="20">
        <v>6.2487000000000001E-2</v>
      </c>
      <c r="X51" s="20">
        <v>6.2487000000000001E-2</v>
      </c>
      <c r="Y51" s="20">
        <v>6.2487000000000001E-2</v>
      </c>
      <c r="Z51" s="20" t="s">
        <v>155</v>
      </c>
      <c r="AA51" s="20"/>
      <c r="AB51" s="20"/>
      <c r="AC51" s="20"/>
    </row>
    <row r="52" spans="1:29" s="17" customFormat="1" x14ac:dyDescent="0.3">
      <c r="A52" s="17" t="s">
        <v>221</v>
      </c>
      <c r="B52" s="18" t="s">
        <v>64</v>
      </c>
      <c r="C52" s="19" t="s">
        <v>113</v>
      </c>
      <c r="D52" s="19" t="s">
        <v>156</v>
      </c>
      <c r="E52" s="20">
        <v>1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>
        <v>1</v>
      </c>
      <c r="X52" s="20">
        <v>1</v>
      </c>
      <c r="Y52" s="20">
        <v>1</v>
      </c>
      <c r="Z52" s="20" t="s">
        <v>155</v>
      </c>
      <c r="AA52" s="20"/>
      <c r="AB52" s="20"/>
      <c r="AC52" s="20"/>
    </row>
    <row r="53" spans="1:29" s="17" customFormat="1" x14ac:dyDescent="0.3">
      <c r="A53" s="17" t="s">
        <v>221</v>
      </c>
      <c r="B53" s="18" t="s">
        <v>64</v>
      </c>
      <c r="C53" s="19" t="s">
        <v>120</v>
      </c>
      <c r="D53" s="19" t="s">
        <v>121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>
        <v>1</v>
      </c>
      <c r="X53" s="20">
        <v>1</v>
      </c>
      <c r="Y53" s="20">
        <v>1</v>
      </c>
      <c r="Z53" s="20" t="s">
        <v>155</v>
      </c>
      <c r="AA53" s="20"/>
      <c r="AB53" s="20"/>
      <c r="AC53" s="20"/>
    </row>
    <row r="54" spans="1:29" s="17" customFormat="1" x14ac:dyDescent="0.3">
      <c r="A54" s="17" t="s">
        <v>221</v>
      </c>
      <c r="B54" s="18" t="s">
        <v>64</v>
      </c>
      <c r="C54" s="19" t="s">
        <v>120</v>
      </c>
      <c r="D54" s="19" t="s">
        <v>122</v>
      </c>
      <c r="E54" s="20">
        <v>0.388042</v>
      </c>
      <c r="F54" s="20">
        <v>0.32650699999999999</v>
      </c>
      <c r="G54" s="20">
        <v>0.29575200000000001</v>
      </c>
      <c r="H54" s="20">
        <v>0.29556500000000002</v>
      </c>
      <c r="I54" s="20">
        <v>0.29556500000000002</v>
      </c>
      <c r="J54" s="20">
        <v>0.29556500000000002</v>
      </c>
      <c r="K54" s="20">
        <v>0.29556500000000002</v>
      </c>
      <c r="L54" s="20">
        <v>0.29556500000000002</v>
      </c>
      <c r="M54" s="20">
        <v>0.29556500000000002</v>
      </c>
      <c r="N54" s="20">
        <v>0.29556500000000002</v>
      </c>
      <c r="O54" s="20">
        <v>0.29556500000000002</v>
      </c>
      <c r="P54" s="20">
        <v>0.29556500000000002</v>
      </c>
      <c r="Q54" s="20">
        <v>0.29556500000000002</v>
      </c>
      <c r="R54" s="20">
        <v>0.29556500000000002</v>
      </c>
      <c r="S54" s="20">
        <v>0.29556500000000002</v>
      </c>
      <c r="T54" s="20">
        <v>0.29556500000000002</v>
      </c>
      <c r="U54" s="20">
        <v>0.29556500000000002</v>
      </c>
      <c r="V54" s="20">
        <v>0.29556500000000002</v>
      </c>
      <c r="W54" s="20">
        <v>0.29556500000000002</v>
      </c>
      <c r="X54" s="20">
        <v>0.29556500000000002</v>
      </c>
      <c r="Y54" s="20">
        <v>0.29556500000000002</v>
      </c>
      <c r="Z54" s="20" t="s">
        <v>155</v>
      </c>
      <c r="AA54" s="20"/>
      <c r="AB54" s="20"/>
      <c r="AC54" s="20"/>
    </row>
    <row r="55" spans="1:29" s="17" customFormat="1" x14ac:dyDescent="0.3">
      <c r="A55" s="17" t="s">
        <v>221</v>
      </c>
      <c r="B55" s="18" t="s">
        <v>64</v>
      </c>
      <c r="C55" s="19" t="s">
        <v>120</v>
      </c>
      <c r="D55" s="19" t="s">
        <v>123</v>
      </c>
      <c r="E55" s="20">
        <v>0.49975799999999998</v>
      </c>
      <c r="F55" s="20">
        <v>0.48830899999999999</v>
      </c>
      <c r="G55" s="20">
        <v>0.46190100000000001</v>
      </c>
      <c r="H55" s="20">
        <v>0.45769300000000002</v>
      </c>
      <c r="I55" s="20">
        <v>0.45769300000000002</v>
      </c>
      <c r="J55" s="20">
        <v>0.45769300000000002</v>
      </c>
      <c r="K55" s="20">
        <v>0.45769300000000002</v>
      </c>
      <c r="L55" s="20">
        <v>0.45769300000000002</v>
      </c>
      <c r="M55" s="20">
        <v>0.45769300000000002</v>
      </c>
      <c r="N55" s="20">
        <v>0.45769300000000002</v>
      </c>
      <c r="O55" s="20">
        <v>0.45769300000000002</v>
      </c>
      <c r="P55" s="20">
        <v>0.45769300000000002</v>
      </c>
      <c r="Q55" s="20">
        <v>0.45769300000000002</v>
      </c>
      <c r="R55" s="20">
        <v>0.45769300000000002</v>
      </c>
      <c r="S55" s="20">
        <v>0.45769300000000002</v>
      </c>
      <c r="T55" s="20">
        <v>0.45769300000000002</v>
      </c>
      <c r="U55" s="20">
        <v>0.45769300000000002</v>
      </c>
      <c r="V55" s="20">
        <v>0.45769300000000002</v>
      </c>
      <c r="W55" s="20">
        <v>0.45769300000000002</v>
      </c>
      <c r="X55" s="20">
        <v>0.45769300000000002</v>
      </c>
      <c r="Y55" s="20">
        <v>0.45769300000000002</v>
      </c>
      <c r="Z55" s="20" t="s">
        <v>155</v>
      </c>
      <c r="AA55" s="20"/>
      <c r="AB55" s="20"/>
      <c r="AC55" s="20"/>
    </row>
    <row r="56" spans="1:29" s="17" customFormat="1" x14ac:dyDescent="0.3">
      <c r="A56" s="17" t="s">
        <v>221</v>
      </c>
      <c r="B56" s="18" t="s">
        <v>64</v>
      </c>
      <c r="C56" s="19" t="s">
        <v>114</v>
      </c>
      <c r="D56" s="19" t="s">
        <v>157</v>
      </c>
      <c r="E56" s="20">
        <v>1.5098800000000001E-2</v>
      </c>
      <c r="F56" s="20">
        <v>1.40179E-2</v>
      </c>
      <c r="G56" s="20">
        <v>1.2829399999999999E-2</v>
      </c>
      <c r="H56" s="20">
        <v>1.37751E-2</v>
      </c>
      <c r="I56" s="20">
        <v>1.37751E-2</v>
      </c>
      <c r="J56" s="20">
        <v>1.9497899999999999E-2</v>
      </c>
      <c r="K56" s="20">
        <v>2.5220599999999999E-2</v>
      </c>
      <c r="L56" s="20">
        <v>3.0943399999999999E-2</v>
      </c>
      <c r="M56" s="20">
        <v>3.66661E-2</v>
      </c>
      <c r="N56" s="20">
        <v>4.23889E-2</v>
      </c>
      <c r="O56" s="20">
        <v>4.8111599999999997E-2</v>
      </c>
      <c r="P56" s="20">
        <v>1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1</v>
      </c>
      <c r="X56" s="20">
        <v>1</v>
      </c>
      <c r="Y56" s="20">
        <v>1</v>
      </c>
      <c r="Z56" s="20" t="s">
        <v>155</v>
      </c>
      <c r="AA56" s="20"/>
      <c r="AB56" s="20"/>
      <c r="AC56" s="20"/>
    </row>
    <row r="57" spans="1:29" s="17" customFormat="1" x14ac:dyDescent="0.3">
      <c r="A57" s="17" t="s">
        <v>221</v>
      </c>
      <c r="B57" s="18" t="s">
        <v>64</v>
      </c>
      <c r="C57" s="19" t="s">
        <v>114</v>
      </c>
      <c r="D57" s="19" t="s">
        <v>124</v>
      </c>
      <c r="E57" s="20">
        <v>2.5703499999999999E-3</v>
      </c>
      <c r="F57" s="20">
        <v>1.57745E-3</v>
      </c>
      <c r="G57" s="20">
        <v>1.5847000000000001E-3</v>
      </c>
      <c r="H57" s="20">
        <v>1.4951299999999999E-3</v>
      </c>
      <c r="I57" s="20">
        <v>1.4951299999999999E-3</v>
      </c>
      <c r="J57" s="20">
        <v>1.2459400000000001E-3</v>
      </c>
      <c r="K57" s="21">
        <v>9.9675299999999996E-4</v>
      </c>
      <c r="L57" s="21">
        <v>7.4756499999999995E-4</v>
      </c>
      <c r="M57" s="21">
        <v>4.9837700000000004E-4</v>
      </c>
      <c r="N57" s="21">
        <v>2.4918800000000001E-4</v>
      </c>
      <c r="O57" s="20">
        <v>0</v>
      </c>
      <c r="P57" s="20">
        <v>1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>
        <v>1</v>
      </c>
      <c r="X57" s="20">
        <v>1</v>
      </c>
      <c r="Y57" s="20">
        <v>1</v>
      </c>
      <c r="Z57" s="20" t="s">
        <v>155</v>
      </c>
      <c r="AA57" s="20"/>
      <c r="AB57" s="20"/>
      <c r="AC57" s="20"/>
    </row>
    <row r="58" spans="1:29" s="17" customFormat="1" x14ac:dyDescent="0.3">
      <c r="A58" s="17" t="s">
        <v>221</v>
      </c>
      <c r="B58" s="18" t="s">
        <v>64</v>
      </c>
      <c r="C58" s="19" t="s">
        <v>114</v>
      </c>
      <c r="D58" s="19" t="s">
        <v>125</v>
      </c>
      <c r="E58" s="20">
        <v>0</v>
      </c>
      <c r="F58" s="20">
        <v>0</v>
      </c>
      <c r="G58" s="20">
        <v>0</v>
      </c>
      <c r="H58" s="20">
        <v>0</v>
      </c>
      <c r="I58" s="21">
        <v>5.8823499999999997E-5</v>
      </c>
      <c r="J58" s="21">
        <v>7.0399000000000001E-5</v>
      </c>
      <c r="K58" s="21">
        <v>8.1974500000000006E-5</v>
      </c>
      <c r="L58" s="21">
        <v>9.3549999999999997E-5</v>
      </c>
      <c r="M58" s="21">
        <v>1.05126E-4</v>
      </c>
      <c r="N58" s="21">
        <v>1.1670100000000001E-4</v>
      </c>
      <c r="O58" s="21">
        <v>1.2827699999999999E-4</v>
      </c>
      <c r="P58" s="20">
        <v>1E-3</v>
      </c>
      <c r="Q58" s="20">
        <v>1E-3</v>
      </c>
      <c r="R58" s="20">
        <v>1E-3</v>
      </c>
      <c r="S58" s="20">
        <v>1E-3</v>
      </c>
      <c r="T58" s="20">
        <v>1E-3</v>
      </c>
      <c r="U58" s="20">
        <v>1E-3</v>
      </c>
      <c r="V58" s="20">
        <v>1E-3</v>
      </c>
      <c r="W58" s="20">
        <v>1E-3</v>
      </c>
      <c r="X58" s="20">
        <v>1E-3</v>
      </c>
      <c r="Y58" s="20">
        <v>1E-3</v>
      </c>
      <c r="Z58" s="20" t="s">
        <v>155</v>
      </c>
      <c r="AA58" s="20"/>
      <c r="AB58" s="20"/>
      <c r="AC58" s="20"/>
    </row>
    <row r="59" spans="1:29" s="17" customFormat="1" x14ac:dyDescent="0.3">
      <c r="A59" s="17" t="s">
        <v>221</v>
      </c>
      <c r="B59" s="18" t="s">
        <v>64</v>
      </c>
      <c r="C59" s="19" t="s">
        <v>114</v>
      </c>
      <c r="D59" s="19" t="s">
        <v>126</v>
      </c>
      <c r="E59" s="20">
        <v>3.5350699999999999E-2</v>
      </c>
      <c r="F59" s="20">
        <v>2.0358000000000001E-2</v>
      </c>
      <c r="G59" s="20">
        <v>1.4702099999999999E-2</v>
      </c>
      <c r="H59" s="20">
        <v>1.32408E-2</v>
      </c>
      <c r="I59" s="20">
        <v>1.32408E-2</v>
      </c>
      <c r="J59" s="20">
        <v>1.58464E-2</v>
      </c>
      <c r="K59" s="20">
        <v>1.84519E-2</v>
      </c>
      <c r="L59" s="20">
        <v>2.10575E-2</v>
      </c>
      <c r="M59" s="20">
        <v>2.3663099999999999E-2</v>
      </c>
      <c r="N59" s="20">
        <v>2.6268699999999999E-2</v>
      </c>
      <c r="O59" s="20">
        <v>2.8874199999999999E-2</v>
      </c>
      <c r="P59" s="20">
        <v>1</v>
      </c>
      <c r="Q59" s="20">
        <v>1</v>
      </c>
      <c r="R59" s="20">
        <v>1</v>
      </c>
      <c r="S59" s="20">
        <v>1</v>
      </c>
      <c r="T59" s="20">
        <v>1</v>
      </c>
      <c r="U59" s="20">
        <v>1</v>
      </c>
      <c r="V59" s="20">
        <v>1</v>
      </c>
      <c r="W59" s="20">
        <v>1</v>
      </c>
      <c r="X59" s="20">
        <v>1</v>
      </c>
      <c r="Y59" s="20">
        <v>1</v>
      </c>
      <c r="Z59" s="20" t="s">
        <v>155</v>
      </c>
      <c r="AA59" s="20"/>
      <c r="AB59" s="20"/>
      <c r="AC59" s="20"/>
    </row>
    <row r="60" spans="1:29" s="17" customFormat="1" x14ac:dyDescent="0.3">
      <c r="A60" s="17" t="s">
        <v>221</v>
      </c>
      <c r="B60" s="18" t="s">
        <v>64</v>
      </c>
      <c r="C60" s="19" t="s">
        <v>114</v>
      </c>
      <c r="D60" s="19" t="s">
        <v>158</v>
      </c>
      <c r="E60" s="20">
        <v>0.442357</v>
      </c>
      <c r="F60" s="20">
        <v>0.41068100000000002</v>
      </c>
      <c r="G60" s="20">
        <v>0.375863</v>
      </c>
      <c r="H60" s="20">
        <v>0.40357500000000002</v>
      </c>
      <c r="I60" s="20">
        <v>0.40357500000000002</v>
      </c>
      <c r="J60" s="20">
        <v>0.57123699999999999</v>
      </c>
      <c r="K60" s="20">
        <v>0.73889899999999997</v>
      </c>
      <c r="L60" s="20">
        <v>0.90656099999999995</v>
      </c>
      <c r="M60" s="20">
        <v>1.07422</v>
      </c>
      <c r="N60" s="20">
        <v>1.2418800000000001</v>
      </c>
      <c r="O60" s="20">
        <v>1.4095500000000001</v>
      </c>
      <c r="P60" s="20">
        <v>1</v>
      </c>
      <c r="Q60" s="20">
        <v>1</v>
      </c>
      <c r="R60" s="20">
        <v>1</v>
      </c>
      <c r="S60" s="20">
        <v>1</v>
      </c>
      <c r="T60" s="20">
        <v>1</v>
      </c>
      <c r="U60" s="20">
        <v>1</v>
      </c>
      <c r="V60" s="20">
        <v>1</v>
      </c>
      <c r="W60" s="20">
        <v>1</v>
      </c>
      <c r="X60" s="20">
        <v>1</v>
      </c>
      <c r="Y60" s="20">
        <v>1</v>
      </c>
      <c r="Z60" s="20" t="s">
        <v>155</v>
      </c>
      <c r="AA60" s="20"/>
      <c r="AB60" s="20"/>
      <c r="AC60" s="20"/>
    </row>
    <row r="61" spans="1:29" s="17" customFormat="1" x14ac:dyDescent="0.3">
      <c r="A61" s="17" t="s">
        <v>221</v>
      </c>
      <c r="B61" s="23" t="s">
        <v>64</v>
      </c>
      <c r="C61" s="19" t="s">
        <v>114</v>
      </c>
      <c r="D61" s="19" t="s">
        <v>156</v>
      </c>
      <c r="E61" s="20">
        <v>1</v>
      </c>
      <c r="F61" s="20">
        <v>1</v>
      </c>
      <c r="G61" s="20">
        <v>1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>
        <v>1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0">
        <v>1</v>
      </c>
      <c r="X61" s="20">
        <v>1</v>
      </c>
      <c r="Y61" s="20">
        <v>1</v>
      </c>
      <c r="Z61" s="20" t="s">
        <v>155</v>
      </c>
      <c r="AA61" s="20"/>
      <c r="AB61" s="20"/>
      <c r="AC61" s="20"/>
    </row>
    <row r="62" spans="1:29" s="17" customFormat="1" x14ac:dyDescent="0.3">
      <c r="A62" s="17" t="s">
        <v>221</v>
      </c>
      <c r="B62" s="23" t="s">
        <v>64</v>
      </c>
      <c r="C62" s="19" t="s">
        <v>127</v>
      </c>
      <c r="D62" s="19" t="s">
        <v>128</v>
      </c>
      <c r="E62" s="20">
        <v>0.384266</v>
      </c>
      <c r="F62" s="20">
        <v>0.44448799999999999</v>
      </c>
      <c r="G62" s="20">
        <v>0.40245900000000001</v>
      </c>
      <c r="H62" s="20">
        <v>0.38813399999999998</v>
      </c>
      <c r="I62" s="20">
        <v>0.38813399999999998</v>
      </c>
      <c r="J62" s="20">
        <v>0.38072699999999998</v>
      </c>
      <c r="K62" s="20">
        <v>0.37331999999999999</v>
      </c>
      <c r="L62" s="20">
        <v>0.36591299999999999</v>
      </c>
      <c r="M62" s="20">
        <v>0.35850599999999999</v>
      </c>
      <c r="N62" s="20">
        <v>0.35109899999999999</v>
      </c>
      <c r="O62" s="20">
        <v>0.343692</v>
      </c>
      <c r="P62" s="20">
        <v>1</v>
      </c>
      <c r="Q62" s="20">
        <v>1</v>
      </c>
      <c r="R62" s="20">
        <v>1</v>
      </c>
      <c r="S62" s="20">
        <v>1</v>
      </c>
      <c r="T62" s="20">
        <v>1</v>
      </c>
      <c r="U62" s="20">
        <v>1</v>
      </c>
      <c r="V62" s="20">
        <v>1</v>
      </c>
      <c r="W62" s="20">
        <v>1</v>
      </c>
      <c r="X62" s="20">
        <v>1</v>
      </c>
      <c r="Y62" s="20">
        <v>1</v>
      </c>
      <c r="Z62" s="20" t="s">
        <v>155</v>
      </c>
      <c r="AA62" s="20"/>
      <c r="AB62" s="20"/>
      <c r="AC62" s="20"/>
    </row>
    <row r="63" spans="1:29" s="17" customFormat="1" x14ac:dyDescent="0.3">
      <c r="A63" s="17" t="s">
        <v>221</v>
      </c>
      <c r="B63" s="24" t="s">
        <v>64</v>
      </c>
      <c r="C63" s="17" t="s">
        <v>127</v>
      </c>
      <c r="D63" s="17" t="s">
        <v>159</v>
      </c>
      <c r="E63" s="36">
        <v>1</v>
      </c>
      <c r="F63" s="36">
        <v>1</v>
      </c>
      <c r="G63" s="36">
        <v>1</v>
      </c>
      <c r="H63" s="36">
        <v>1</v>
      </c>
      <c r="I63" s="36">
        <v>1</v>
      </c>
      <c r="J63" s="36">
        <v>1</v>
      </c>
      <c r="K63" s="36">
        <v>1</v>
      </c>
      <c r="L63" s="36">
        <v>1</v>
      </c>
      <c r="M63" s="36">
        <v>1</v>
      </c>
      <c r="N63" s="36">
        <v>1</v>
      </c>
      <c r="O63" s="36">
        <v>1</v>
      </c>
      <c r="P63" s="36">
        <v>1</v>
      </c>
      <c r="Q63" s="36">
        <v>1</v>
      </c>
      <c r="R63" s="36">
        <v>1</v>
      </c>
      <c r="S63" s="36">
        <v>1</v>
      </c>
      <c r="T63" s="36">
        <v>1</v>
      </c>
      <c r="U63" s="36">
        <v>1</v>
      </c>
      <c r="V63" s="36">
        <v>1</v>
      </c>
      <c r="W63" s="36">
        <v>1</v>
      </c>
      <c r="X63" s="36">
        <v>1</v>
      </c>
      <c r="Y63" s="17">
        <v>1</v>
      </c>
      <c r="Z63" s="17" t="s">
        <v>155</v>
      </c>
    </row>
    <row r="64" spans="1:29" s="17" customFormat="1" x14ac:dyDescent="0.3">
      <c r="A64" s="17" t="s">
        <v>221</v>
      </c>
      <c r="B64" s="24" t="s">
        <v>64</v>
      </c>
      <c r="C64" s="17" t="s">
        <v>129</v>
      </c>
      <c r="D64" s="17" t="s">
        <v>130</v>
      </c>
      <c r="E64" s="36">
        <v>1.2316300000000001E-2</v>
      </c>
      <c r="F64" s="36">
        <v>1.07405E-2</v>
      </c>
      <c r="G64" s="36">
        <v>1.1504500000000001E-2</v>
      </c>
      <c r="H64" s="36">
        <v>1.2729000000000001E-2</v>
      </c>
      <c r="I64" s="36">
        <v>1.2729000000000001E-2</v>
      </c>
      <c r="J64" s="36">
        <v>1.24861E-2</v>
      </c>
      <c r="K64" s="36">
        <v>1.2243199999999999E-2</v>
      </c>
      <c r="L64" s="36">
        <v>1.2000200000000001E-2</v>
      </c>
      <c r="M64" s="36">
        <v>1.17573E-2</v>
      </c>
      <c r="N64" s="36">
        <v>1.1514399999999999E-2</v>
      </c>
      <c r="O64" s="36">
        <v>1.12715E-2</v>
      </c>
      <c r="P64" s="36">
        <v>1</v>
      </c>
      <c r="Q64" s="36">
        <v>1</v>
      </c>
      <c r="R64" s="36">
        <v>1</v>
      </c>
      <c r="S64" s="36">
        <v>1</v>
      </c>
      <c r="T64" s="36">
        <v>1</v>
      </c>
      <c r="U64" s="36">
        <v>1</v>
      </c>
      <c r="V64" s="36">
        <v>1</v>
      </c>
      <c r="W64" s="36">
        <v>1</v>
      </c>
      <c r="X64" s="36">
        <v>1</v>
      </c>
      <c r="Y64" s="17">
        <v>1</v>
      </c>
      <c r="Z64" s="17" t="s">
        <v>155</v>
      </c>
    </row>
    <row r="65" spans="1:26" s="17" customFormat="1" x14ac:dyDescent="0.3">
      <c r="A65" s="17" t="s">
        <v>221</v>
      </c>
      <c r="B65" s="24" t="s">
        <v>64</v>
      </c>
      <c r="C65" s="17" t="s">
        <v>129</v>
      </c>
      <c r="D65" s="17" t="s">
        <v>160</v>
      </c>
      <c r="E65" s="36">
        <v>1</v>
      </c>
      <c r="F65" s="36">
        <v>1</v>
      </c>
      <c r="G65" s="36">
        <v>1</v>
      </c>
      <c r="H65" s="36">
        <v>1</v>
      </c>
      <c r="I65" s="36">
        <v>1</v>
      </c>
      <c r="J65" s="36">
        <v>0.98091600000000001</v>
      </c>
      <c r="K65" s="36">
        <v>0.96183200000000002</v>
      </c>
      <c r="L65" s="36">
        <v>0.94274899999999995</v>
      </c>
      <c r="M65" s="36">
        <v>0.92366499999999996</v>
      </c>
      <c r="N65" s="36">
        <v>0.90458099999999997</v>
      </c>
      <c r="O65" s="36">
        <v>0.88549699999999998</v>
      </c>
      <c r="P65" s="36">
        <v>1</v>
      </c>
      <c r="Q65" s="36">
        <v>1</v>
      </c>
      <c r="R65" s="36">
        <v>1</v>
      </c>
      <c r="S65" s="36">
        <v>1</v>
      </c>
      <c r="T65" s="36">
        <v>1</v>
      </c>
      <c r="U65" s="36">
        <v>1</v>
      </c>
      <c r="V65" s="36">
        <v>1</v>
      </c>
      <c r="W65" s="36">
        <v>1</v>
      </c>
      <c r="X65" s="36">
        <v>1</v>
      </c>
      <c r="Y65" s="17">
        <v>1</v>
      </c>
      <c r="Z65" s="17" t="s">
        <v>155</v>
      </c>
    </row>
    <row r="66" spans="1:26" s="17" customFormat="1" x14ac:dyDescent="0.3">
      <c r="A66" s="17" t="s">
        <v>221</v>
      </c>
      <c r="B66" s="24" t="s">
        <v>64</v>
      </c>
      <c r="C66" s="17" t="s">
        <v>131</v>
      </c>
      <c r="D66" s="17" t="s">
        <v>132</v>
      </c>
      <c r="E66" s="36">
        <v>1</v>
      </c>
      <c r="F66" s="36">
        <v>1</v>
      </c>
      <c r="G66" s="36">
        <v>1</v>
      </c>
      <c r="H66" s="36">
        <v>1</v>
      </c>
      <c r="I66" s="36">
        <v>1</v>
      </c>
      <c r="J66" s="36">
        <v>1</v>
      </c>
      <c r="K66" s="36">
        <v>1</v>
      </c>
      <c r="L66" s="36">
        <v>1</v>
      </c>
      <c r="M66" s="36">
        <v>1</v>
      </c>
      <c r="N66" s="36">
        <v>1</v>
      </c>
      <c r="O66" s="36">
        <v>1</v>
      </c>
      <c r="P66" s="36">
        <v>1</v>
      </c>
      <c r="Q66" s="36">
        <v>1</v>
      </c>
      <c r="R66" s="36">
        <v>1</v>
      </c>
      <c r="S66" s="36">
        <v>1</v>
      </c>
      <c r="T66" s="36">
        <v>1</v>
      </c>
      <c r="U66" s="36">
        <v>1</v>
      </c>
      <c r="V66" s="36">
        <v>1</v>
      </c>
      <c r="W66" s="36">
        <v>1</v>
      </c>
      <c r="X66" s="36">
        <v>1</v>
      </c>
      <c r="Y66" s="17">
        <v>1</v>
      </c>
      <c r="Z66" s="17" t="s">
        <v>155</v>
      </c>
    </row>
    <row r="67" spans="1:26" s="17" customFormat="1" x14ac:dyDescent="0.3">
      <c r="A67" s="17" t="s">
        <v>221</v>
      </c>
      <c r="B67" s="24" t="s">
        <v>64</v>
      </c>
      <c r="C67" s="17" t="s">
        <v>131</v>
      </c>
      <c r="D67" s="17" t="s">
        <v>133</v>
      </c>
      <c r="E67" s="36">
        <v>0.359823</v>
      </c>
      <c r="F67" s="36">
        <v>0.26042300000000002</v>
      </c>
      <c r="G67" s="36">
        <v>0.208065</v>
      </c>
      <c r="H67" s="36">
        <v>0.175646</v>
      </c>
      <c r="I67" s="36">
        <v>0.175646</v>
      </c>
      <c r="J67" s="36">
        <v>0.175646</v>
      </c>
      <c r="K67" s="36">
        <v>0.175646</v>
      </c>
      <c r="L67" s="36">
        <v>0.175646</v>
      </c>
      <c r="M67" s="36">
        <v>0.175646</v>
      </c>
      <c r="N67" s="36">
        <v>0.175646</v>
      </c>
      <c r="O67" s="36">
        <v>0.175646</v>
      </c>
      <c r="P67" s="36">
        <v>0.175646</v>
      </c>
      <c r="Q67" s="36">
        <v>0.175646</v>
      </c>
      <c r="R67" s="36">
        <v>0.175646</v>
      </c>
      <c r="S67" s="36">
        <v>0.175646</v>
      </c>
      <c r="T67" s="36">
        <v>0.175646</v>
      </c>
      <c r="U67" s="36">
        <v>0.175646</v>
      </c>
      <c r="V67" s="36">
        <v>0.175646</v>
      </c>
      <c r="W67" s="36">
        <v>0.175646</v>
      </c>
      <c r="X67" s="36">
        <v>0.175646</v>
      </c>
      <c r="Y67" s="17">
        <v>0.175646</v>
      </c>
      <c r="Z67" s="17" t="s">
        <v>155</v>
      </c>
    </row>
    <row r="68" spans="1:26" s="17" customFormat="1" x14ac:dyDescent="0.3">
      <c r="A68" s="17" t="s">
        <v>221</v>
      </c>
      <c r="B68" s="24" t="s">
        <v>64</v>
      </c>
      <c r="C68" s="17" t="s">
        <v>115</v>
      </c>
      <c r="D68" s="17" t="s">
        <v>134</v>
      </c>
      <c r="E68" s="36">
        <v>1</v>
      </c>
      <c r="F68" s="36">
        <v>1</v>
      </c>
      <c r="G68" s="36">
        <v>1</v>
      </c>
      <c r="H68" s="36">
        <v>1</v>
      </c>
      <c r="I68" s="36">
        <v>1</v>
      </c>
      <c r="J68" s="36">
        <v>1</v>
      </c>
      <c r="K68" s="36">
        <v>1</v>
      </c>
      <c r="L68" s="36">
        <v>1</v>
      </c>
      <c r="M68" s="36">
        <v>1</v>
      </c>
      <c r="N68" s="36">
        <v>1</v>
      </c>
      <c r="O68" s="36">
        <v>1</v>
      </c>
      <c r="P68" s="36">
        <v>1</v>
      </c>
      <c r="Q68" s="36">
        <v>1</v>
      </c>
      <c r="R68" s="36">
        <v>1</v>
      </c>
      <c r="S68" s="36">
        <v>1</v>
      </c>
      <c r="T68" s="36">
        <v>1</v>
      </c>
      <c r="U68" s="36">
        <v>1</v>
      </c>
      <c r="V68" s="36">
        <v>1</v>
      </c>
      <c r="W68" s="36">
        <v>1</v>
      </c>
      <c r="X68" s="36">
        <v>1</v>
      </c>
      <c r="Y68" s="17">
        <v>1</v>
      </c>
      <c r="Z68" s="17" t="s">
        <v>155</v>
      </c>
    </row>
    <row r="69" spans="1:26" s="17" customFormat="1" x14ac:dyDescent="0.3">
      <c r="A69" s="17" t="s">
        <v>221</v>
      </c>
      <c r="B69" s="24" t="s">
        <v>65</v>
      </c>
      <c r="C69" s="17" t="s">
        <v>112</v>
      </c>
      <c r="D69" s="17" t="s">
        <v>117</v>
      </c>
      <c r="E69" s="36">
        <v>1</v>
      </c>
      <c r="F69" s="36">
        <v>1</v>
      </c>
      <c r="G69" s="36">
        <v>1</v>
      </c>
      <c r="H69" s="36">
        <v>1</v>
      </c>
      <c r="I69" s="36">
        <v>1</v>
      </c>
      <c r="J69" s="36">
        <v>1</v>
      </c>
      <c r="K69" s="36">
        <v>1</v>
      </c>
      <c r="L69" s="36">
        <v>1</v>
      </c>
      <c r="M69" s="36">
        <v>1</v>
      </c>
      <c r="N69" s="36">
        <v>1</v>
      </c>
      <c r="O69" s="36">
        <v>1</v>
      </c>
      <c r="P69" s="36">
        <v>1</v>
      </c>
      <c r="Q69" s="36">
        <v>1</v>
      </c>
      <c r="R69" s="36">
        <v>1</v>
      </c>
      <c r="S69" s="36">
        <v>1</v>
      </c>
      <c r="T69" s="36">
        <v>1</v>
      </c>
      <c r="U69" s="36">
        <v>1</v>
      </c>
      <c r="V69" s="36">
        <v>1</v>
      </c>
      <c r="W69" s="36">
        <v>1</v>
      </c>
      <c r="X69" s="36">
        <v>1</v>
      </c>
      <c r="Y69" s="17">
        <v>1</v>
      </c>
      <c r="Z69" s="17" t="s">
        <v>155</v>
      </c>
    </row>
    <row r="70" spans="1:26" s="17" customFormat="1" x14ac:dyDescent="0.3">
      <c r="A70" s="17" t="s">
        <v>221</v>
      </c>
      <c r="B70" s="24" t="s">
        <v>65</v>
      </c>
      <c r="C70" s="17" t="s">
        <v>113</v>
      </c>
      <c r="D70" s="17" t="s">
        <v>118</v>
      </c>
      <c r="E70" s="22">
        <v>4.7439200000000002E-4</v>
      </c>
      <c r="F70" s="22">
        <v>4.8746199999999998E-4</v>
      </c>
      <c r="G70" s="22">
        <v>9.3373000000000002E-4</v>
      </c>
      <c r="H70" s="22">
        <v>8.18087E-4</v>
      </c>
      <c r="I70" s="22">
        <v>8.18087E-4</v>
      </c>
      <c r="J70" s="22">
        <v>8.18087E-4</v>
      </c>
      <c r="K70" s="22">
        <v>8.18087E-4</v>
      </c>
      <c r="L70" s="22">
        <v>8.18087E-4</v>
      </c>
      <c r="M70" s="22">
        <v>8.18087E-4</v>
      </c>
      <c r="N70" s="22">
        <v>8.18087E-4</v>
      </c>
      <c r="O70" s="22">
        <v>8.18087E-4</v>
      </c>
      <c r="P70" s="22">
        <v>8.18087E-4</v>
      </c>
      <c r="Q70" s="22">
        <v>8.18087E-4</v>
      </c>
      <c r="R70" s="22">
        <v>8.18087E-4</v>
      </c>
      <c r="S70" s="22">
        <v>8.18087E-4</v>
      </c>
      <c r="T70" s="22">
        <v>8.18087E-4</v>
      </c>
      <c r="U70" s="22">
        <v>8.18087E-4</v>
      </c>
      <c r="V70" s="22">
        <v>8.18087E-4</v>
      </c>
      <c r="W70" s="22">
        <v>8.18087E-4</v>
      </c>
      <c r="X70" s="22">
        <v>8.18087E-4</v>
      </c>
      <c r="Y70" s="22">
        <v>8.18087E-4</v>
      </c>
      <c r="Z70" s="17" t="s">
        <v>155</v>
      </c>
    </row>
    <row r="71" spans="1:26" s="17" customFormat="1" x14ac:dyDescent="0.3">
      <c r="A71" s="17" t="s">
        <v>221</v>
      </c>
      <c r="B71" s="24" t="s">
        <v>65</v>
      </c>
      <c r="C71" s="17" t="s">
        <v>113</v>
      </c>
      <c r="D71" s="17" t="s">
        <v>119</v>
      </c>
      <c r="E71" s="36">
        <v>1.54354E-2</v>
      </c>
      <c r="F71" s="36">
        <v>1.49341E-2</v>
      </c>
      <c r="G71" s="36">
        <v>1.4138100000000001E-2</v>
      </c>
      <c r="H71" s="36">
        <v>1.46433E-2</v>
      </c>
      <c r="I71" s="36">
        <v>1.46433E-2</v>
      </c>
      <c r="J71" s="36">
        <v>1.46433E-2</v>
      </c>
      <c r="K71" s="36">
        <v>1.46433E-2</v>
      </c>
      <c r="L71" s="36">
        <v>1.46433E-2</v>
      </c>
      <c r="M71" s="36">
        <v>1.46433E-2</v>
      </c>
      <c r="N71" s="36">
        <v>1.46433E-2</v>
      </c>
      <c r="O71" s="36">
        <v>1.46433E-2</v>
      </c>
      <c r="P71" s="36">
        <v>1.46433E-2</v>
      </c>
      <c r="Q71" s="36">
        <v>1.46433E-2</v>
      </c>
      <c r="R71" s="36">
        <v>1.46433E-2</v>
      </c>
      <c r="S71" s="36">
        <v>1.46433E-2</v>
      </c>
      <c r="T71" s="36">
        <v>1.46433E-2</v>
      </c>
      <c r="U71" s="36">
        <v>1.46433E-2</v>
      </c>
      <c r="V71" s="36">
        <v>1.46433E-2</v>
      </c>
      <c r="W71" s="36">
        <v>1.46433E-2</v>
      </c>
      <c r="X71" s="36">
        <v>1.46433E-2</v>
      </c>
      <c r="Y71" s="17">
        <v>1.46433E-2</v>
      </c>
      <c r="Z71" s="17" t="s">
        <v>155</v>
      </c>
    </row>
    <row r="72" spans="1:26" s="17" customFormat="1" x14ac:dyDescent="0.3">
      <c r="A72" s="17" t="s">
        <v>221</v>
      </c>
      <c r="B72" s="24" t="s">
        <v>65</v>
      </c>
      <c r="C72" s="17" t="s">
        <v>113</v>
      </c>
      <c r="D72" s="17" t="s">
        <v>156</v>
      </c>
      <c r="E72" s="36">
        <v>1</v>
      </c>
      <c r="F72" s="36">
        <v>1</v>
      </c>
      <c r="G72" s="36">
        <v>1</v>
      </c>
      <c r="H72" s="36">
        <v>1</v>
      </c>
      <c r="I72" s="36">
        <v>1</v>
      </c>
      <c r="J72" s="36">
        <v>1</v>
      </c>
      <c r="K72" s="36">
        <v>1</v>
      </c>
      <c r="L72" s="36">
        <v>1</v>
      </c>
      <c r="M72" s="36">
        <v>1</v>
      </c>
      <c r="N72" s="36">
        <v>1</v>
      </c>
      <c r="O72" s="36">
        <v>1</v>
      </c>
      <c r="P72" s="36">
        <v>1</v>
      </c>
      <c r="Q72" s="36">
        <v>1</v>
      </c>
      <c r="R72" s="36">
        <v>1</v>
      </c>
      <c r="S72" s="36">
        <v>1</v>
      </c>
      <c r="T72" s="36">
        <v>1</v>
      </c>
      <c r="U72" s="36">
        <v>1</v>
      </c>
      <c r="V72" s="36">
        <v>1</v>
      </c>
      <c r="W72" s="36">
        <v>1</v>
      </c>
      <c r="X72" s="36">
        <v>1</v>
      </c>
      <c r="Y72" s="17">
        <v>1</v>
      </c>
      <c r="Z72" s="17" t="s">
        <v>155</v>
      </c>
    </row>
    <row r="73" spans="1:26" s="17" customFormat="1" x14ac:dyDescent="0.3">
      <c r="A73" s="17" t="s">
        <v>221</v>
      </c>
      <c r="B73" s="24" t="s">
        <v>65</v>
      </c>
      <c r="C73" s="17" t="s">
        <v>120</v>
      </c>
      <c r="D73" s="17" t="s">
        <v>121</v>
      </c>
      <c r="E73" s="36">
        <v>1</v>
      </c>
      <c r="F73" s="36">
        <v>1</v>
      </c>
      <c r="G73" s="36">
        <v>1</v>
      </c>
      <c r="H73" s="36">
        <v>1</v>
      </c>
      <c r="I73" s="36">
        <v>1</v>
      </c>
      <c r="J73" s="36">
        <v>1</v>
      </c>
      <c r="K73" s="36">
        <v>1</v>
      </c>
      <c r="L73" s="36">
        <v>1</v>
      </c>
      <c r="M73" s="36">
        <v>1</v>
      </c>
      <c r="N73" s="36">
        <v>1</v>
      </c>
      <c r="O73" s="36">
        <v>1</v>
      </c>
      <c r="P73" s="36">
        <v>1</v>
      </c>
      <c r="Q73" s="36">
        <v>1</v>
      </c>
      <c r="R73" s="36">
        <v>1</v>
      </c>
      <c r="S73" s="36">
        <v>1</v>
      </c>
      <c r="T73" s="36">
        <v>1</v>
      </c>
      <c r="U73" s="36">
        <v>1</v>
      </c>
      <c r="V73" s="36">
        <v>1</v>
      </c>
      <c r="W73" s="36">
        <v>1</v>
      </c>
      <c r="X73" s="36">
        <v>1</v>
      </c>
      <c r="Y73" s="17">
        <v>1</v>
      </c>
      <c r="Z73" s="17" t="s">
        <v>155</v>
      </c>
    </row>
    <row r="74" spans="1:26" s="17" customFormat="1" x14ac:dyDescent="0.3">
      <c r="A74" s="17" t="s">
        <v>221</v>
      </c>
      <c r="B74" s="24" t="s">
        <v>65</v>
      </c>
      <c r="C74" s="17" t="s">
        <v>120</v>
      </c>
      <c r="D74" s="17" t="s">
        <v>122</v>
      </c>
      <c r="E74" s="36">
        <v>0.423821</v>
      </c>
      <c r="F74" s="36">
        <v>0.42169499999999999</v>
      </c>
      <c r="G74" s="36">
        <v>0.40509299999999998</v>
      </c>
      <c r="H74" s="36">
        <v>0.40347699999999997</v>
      </c>
      <c r="I74" s="36">
        <v>0.40347699999999997</v>
      </c>
      <c r="J74" s="36">
        <v>0.40347699999999997</v>
      </c>
      <c r="K74" s="36">
        <v>0.40347699999999997</v>
      </c>
      <c r="L74" s="36">
        <v>0.40347699999999997</v>
      </c>
      <c r="M74" s="36">
        <v>0.40347699999999997</v>
      </c>
      <c r="N74" s="36">
        <v>0.40347699999999997</v>
      </c>
      <c r="O74" s="36">
        <v>0.40347699999999997</v>
      </c>
      <c r="P74" s="36">
        <v>0.40347699999999997</v>
      </c>
      <c r="Q74" s="36">
        <v>0.40347699999999997</v>
      </c>
      <c r="R74" s="36">
        <v>0.40347699999999997</v>
      </c>
      <c r="S74" s="36">
        <v>0.40347699999999997</v>
      </c>
      <c r="T74" s="36">
        <v>0.40347699999999997</v>
      </c>
      <c r="U74" s="36">
        <v>0.40347699999999997</v>
      </c>
      <c r="V74" s="36">
        <v>0.40347699999999997</v>
      </c>
      <c r="W74" s="36">
        <v>0.40347699999999997</v>
      </c>
      <c r="X74" s="36">
        <v>0.40347699999999997</v>
      </c>
      <c r="Y74" s="17">
        <v>0.40347699999999997</v>
      </c>
      <c r="Z74" s="17" t="s">
        <v>155</v>
      </c>
    </row>
    <row r="75" spans="1:26" s="17" customFormat="1" x14ac:dyDescent="0.3">
      <c r="A75" s="17" t="s">
        <v>221</v>
      </c>
      <c r="B75" s="24" t="s">
        <v>65</v>
      </c>
      <c r="C75" s="17" t="s">
        <v>120</v>
      </c>
      <c r="D75" s="17" t="s">
        <v>123</v>
      </c>
      <c r="E75" s="36">
        <v>0.35778700000000002</v>
      </c>
      <c r="F75" s="36">
        <v>0.35619699999999999</v>
      </c>
      <c r="G75" s="36">
        <v>0.34202900000000003</v>
      </c>
      <c r="H75" s="36">
        <v>0.33907500000000002</v>
      </c>
      <c r="I75" s="36">
        <v>0.33907500000000002</v>
      </c>
      <c r="J75" s="36">
        <v>0.33907500000000002</v>
      </c>
      <c r="K75" s="36">
        <v>0.33907500000000002</v>
      </c>
      <c r="L75" s="36">
        <v>0.33907500000000002</v>
      </c>
      <c r="M75" s="36">
        <v>0.33907500000000002</v>
      </c>
      <c r="N75" s="36">
        <v>0.33907500000000002</v>
      </c>
      <c r="O75" s="36">
        <v>0.33907500000000002</v>
      </c>
      <c r="P75" s="36">
        <v>0.33907500000000002</v>
      </c>
      <c r="Q75" s="36">
        <v>0.33907500000000002</v>
      </c>
      <c r="R75" s="36">
        <v>0.33907500000000002</v>
      </c>
      <c r="S75" s="36">
        <v>0.33907500000000002</v>
      </c>
      <c r="T75" s="36">
        <v>0.33907500000000002</v>
      </c>
      <c r="U75" s="36">
        <v>0.33907500000000002</v>
      </c>
      <c r="V75" s="36">
        <v>0.33907500000000002</v>
      </c>
      <c r="W75" s="36">
        <v>0.33907500000000002</v>
      </c>
      <c r="X75" s="36">
        <v>0.33907500000000002</v>
      </c>
      <c r="Y75" s="17">
        <v>0.33907500000000002</v>
      </c>
      <c r="Z75" s="17" t="s">
        <v>155</v>
      </c>
    </row>
    <row r="76" spans="1:26" s="17" customFormat="1" x14ac:dyDescent="0.3">
      <c r="A76" s="17" t="s">
        <v>221</v>
      </c>
      <c r="B76" s="24" t="s">
        <v>65</v>
      </c>
      <c r="C76" s="17" t="s">
        <v>114</v>
      </c>
      <c r="D76" s="17" t="s">
        <v>157</v>
      </c>
      <c r="E76" s="36">
        <v>2.1260299999999999E-2</v>
      </c>
      <c r="F76" s="36">
        <v>2.3236E-2</v>
      </c>
      <c r="G76" s="36">
        <v>2.3265500000000001E-2</v>
      </c>
      <c r="H76" s="36">
        <v>2.39487E-2</v>
      </c>
      <c r="I76" s="36">
        <v>2.39487E-2</v>
      </c>
      <c r="J76" s="36">
        <v>4.4579599999999997E-2</v>
      </c>
      <c r="K76" s="36">
        <v>6.5210599999999994E-2</v>
      </c>
      <c r="L76" s="36">
        <v>8.5841500000000001E-2</v>
      </c>
      <c r="M76" s="36">
        <v>0.106472</v>
      </c>
      <c r="N76" s="36">
        <v>0.12710299999999999</v>
      </c>
      <c r="O76" s="36">
        <v>0.147734</v>
      </c>
      <c r="P76" s="36">
        <v>1</v>
      </c>
      <c r="Q76" s="36">
        <v>1</v>
      </c>
      <c r="R76" s="36">
        <v>1</v>
      </c>
      <c r="S76" s="36">
        <v>1</v>
      </c>
      <c r="T76" s="36">
        <v>1</v>
      </c>
      <c r="U76" s="36">
        <v>1</v>
      </c>
      <c r="V76" s="36">
        <v>1</v>
      </c>
      <c r="W76" s="36">
        <v>1</v>
      </c>
      <c r="X76" s="36">
        <v>1</v>
      </c>
      <c r="Y76" s="17">
        <v>1</v>
      </c>
      <c r="Z76" s="17" t="s">
        <v>155</v>
      </c>
    </row>
    <row r="77" spans="1:26" s="17" customFormat="1" x14ac:dyDescent="0.3">
      <c r="A77" s="17" t="s">
        <v>221</v>
      </c>
      <c r="B77" s="24" t="s">
        <v>65</v>
      </c>
      <c r="C77" s="17" t="s">
        <v>114</v>
      </c>
      <c r="D77" s="17" t="s">
        <v>124</v>
      </c>
      <c r="E77" s="36">
        <v>5.0770099999999999E-3</v>
      </c>
      <c r="F77" s="36">
        <v>6.2876900000000003E-3</v>
      </c>
      <c r="G77" s="36">
        <v>7.5431500000000002E-3</v>
      </c>
      <c r="H77" s="36">
        <v>8.0730999999999997E-3</v>
      </c>
      <c r="I77" s="36">
        <v>8.0730999999999997E-3</v>
      </c>
      <c r="J77" s="36">
        <v>6.8094699999999998E-3</v>
      </c>
      <c r="K77" s="36">
        <v>5.5458399999999998E-3</v>
      </c>
      <c r="L77" s="36">
        <v>4.2822099999999998E-3</v>
      </c>
      <c r="M77" s="36">
        <v>3.0185799999999999E-3</v>
      </c>
      <c r="N77" s="36">
        <v>1.7549499999999999E-3</v>
      </c>
      <c r="O77" s="22">
        <v>4.9131499999999998E-4</v>
      </c>
      <c r="P77" s="36">
        <v>1</v>
      </c>
      <c r="Q77" s="36">
        <v>1</v>
      </c>
      <c r="R77" s="36">
        <v>1</v>
      </c>
      <c r="S77" s="36">
        <v>1</v>
      </c>
      <c r="T77" s="36">
        <v>1</v>
      </c>
      <c r="U77" s="36">
        <v>1</v>
      </c>
      <c r="V77" s="36">
        <v>1</v>
      </c>
      <c r="W77" s="36">
        <v>1</v>
      </c>
      <c r="X77" s="36">
        <v>1</v>
      </c>
      <c r="Y77" s="17">
        <v>1</v>
      </c>
      <c r="Z77" s="17" t="s">
        <v>155</v>
      </c>
    </row>
    <row r="78" spans="1:26" s="17" customFormat="1" x14ac:dyDescent="0.3">
      <c r="A78" s="17" t="s">
        <v>221</v>
      </c>
      <c r="B78" s="24" t="s">
        <v>65</v>
      </c>
      <c r="C78" s="17" t="s">
        <v>114</v>
      </c>
      <c r="D78" s="17" t="s">
        <v>125</v>
      </c>
      <c r="E78" s="36">
        <v>3.1317300000000001E-3</v>
      </c>
      <c r="F78" s="36">
        <v>2.5906100000000001E-3</v>
      </c>
      <c r="G78" s="36">
        <v>2.3641000000000001E-3</v>
      </c>
      <c r="H78" s="36">
        <v>2.3946000000000002E-3</v>
      </c>
      <c r="I78" s="36">
        <v>2.3281E-3</v>
      </c>
      <c r="J78" s="36">
        <v>2.9037799999999999E-3</v>
      </c>
      <c r="K78" s="36">
        <v>3.4794600000000002E-3</v>
      </c>
      <c r="L78" s="36">
        <v>4.0551399999999996E-3</v>
      </c>
      <c r="M78" s="36">
        <v>4.63081E-3</v>
      </c>
      <c r="N78" s="36">
        <v>5.2064900000000002E-3</v>
      </c>
      <c r="O78" s="36">
        <v>5.7821699999999997E-3</v>
      </c>
      <c r="P78" s="36">
        <v>1E-3</v>
      </c>
      <c r="Q78" s="36">
        <v>1E-3</v>
      </c>
      <c r="R78" s="36">
        <v>1E-3</v>
      </c>
      <c r="S78" s="36">
        <v>1E-3</v>
      </c>
      <c r="T78" s="36">
        <v>1E-3</v>
      </c>
      <c r="U78" s="36">
        <v>1E-3</v>
      </c>
      <c r="V78" s="36">
        <v>1E-3</v>
      </c>
      <c r="W78" s="36">
        <v>1E-3</v>
      </c>
      <c r="X78" s="36">
        <v>1E-3</v>
      </c>
      <c r="Y78" s="17">
        <v>1E-3</v>
      </c>
      <c r="Z78" s="17" t="s">
        <v>155</v>
      </c>
    </row>
    <row r="79" spans="1:26" s="17" customFormat="1" x14ac:dyDescent="0.3">
      <c r="A79" s="17" t="s">
        <v>221</v>
      </c>
      <c r="B79" s="24" t="s">
        <v>65</v>
      </c>
      <c r="C79" s="17" t="s">
        <v>114</v>
      </c>
      <c r="D79" s="17" t="s">
        <v>126</v>
      </c>
      <c r="E79" s="36">
        <v>5.5995400000000001E-2</v>
      </c>
      <c r="F79" s="36">
        <v>5.3605899999999998E-2</v>
      </c>
      <c r="G79" s="36">
        <v>4.9826000000000002E-2</v>
      </c>
      <c r="H79" s="36">
        <v>5.0960100000000001E-2</v>
      </c>
      <c r="I79" s="36">
        <v>5.0994900000000003E-2</v>
      </c>
      <c r="J79" s="36">
        <v>6.3604599999999997E-2</v>
      </c>
      <c r="K79" s="36">
        <v>7.6214299999999999E-2</v>
      </c>
      <c r="L79" s="36">
        <v>8.8824E-2</v>
      </c>
      <c r="M79" s="36">
        <v>0.101434</v>
      </c>
      <c r="N79" s="36">
        <v>0.11404300000000001</v>
      </c>
      <c r="O79" s="36">
        <v>0.12665299999999999</v>
      </c>
      <c r="P79" s="36">
        <v>1</v>
      </c>
      <c r="Q79" s="36">
        <v>1</v>
      </c>
      <c r="R79" s="36">
        <v>1</v>
      </c>
      <c r="S79" s="36">
        <v>1</v>
      </c>
      <c r="T79" s="36">
        <v>1</v>
      </c>
      <c r="U79" s="36">
        <v>1</v>
      </c>
      <c r="V79" s="36">
        <v>1</v>
      </c>
      <c r="W79" s="36">
        <v>1</v>
      </c>
      <c r="X79" s="36">
        <v>1</v>
      </c>
      <c r="Y79" s="17">
        <v>1</v>
      </c>
      <c r="Z79" s="17" t="s">
        <v>155</v>
      </c>
    </row>
    <row r="80" spans="1:26" s="17" customFormat="1" x14ac:dyDescent="0.3">
      <c r="A80" s="17" t="s">
        <v>221</v>
      </c>
      <c r="B80" s="24" t="s">
        <v>65</v>
      </c>
      <c r="C80" s="17" t="s">
        <v>114</v>
      </c>
      <c r="D80" s="17" t="s">
        <v>158</v>
      </c>
      <c r="E80" s="17">
        <v>0.62284799999999996</v>
      </c>
      <c r="F80" s="17">
        <v>0.68072999999999995</v>
      </c>
      <c r="G80" s="17">
        <v>0.68160699999999996</v>
      </c>
      <c r="H80" s="17">
        <v>0.701623</v>
      </c>
      <c r="I80" s="17">
        <v>0.701623</v>
      </c>
      <c r="J80" s="17">
        <v>1.3060499999999999</v>
      </c>
      <c r="K80" s="17">
        <v>1.9104699999999999</v>
      </c>
      <c r="L80" s="17">
        <v>2.5148899999999998</v>
      </c>
      <c r="M80" s="17">
        <v>3.1193200000000001</v>
      </c>
      <c r="N80" s="17">
        <v>3.7237399999999998</v>
      </c>
      <c r="O80" s="17">
        <v>4.3281599999999996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 t="s">
        <v>155</v>
      </c>
    </row>
    <row r="81" spans="1:26" s="17" customFormat="1" x14ac:dyDescent="0.3">
      <c r="A81" s="17" t="s">
        <v>221</v>
      </c>
      <c r="B81" s="24" t="s">
        <v>65</v>
      </c>
      <c r="C81" s="17" t="s">
        <v>114</v>
      </c>
      <c r="D81" s="17" t="s">
        <v>156</v>
      </c>
      <c r="E81" s="17">
        <v>1</v>
      </c>
      <c r="F81" s="17">
        <v>1</v>
      </c>
      <c r="G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 t="s">
        <v>155</v>
      </c>
    </row>
    <row r="82" spans="1:26" s="17" customFormat="1" x14ac:dyDescent="0.3">
      <c r="A82" s="17" t="s">
        <v>221</v>
      </c>
      <c r="B82" s="24" t="s">
        <v>65</v>
      </c>
      <c r="C82" s="17" t="s">
        <v>127</v>
      </c>
      <c r="D82" s="17" t="s">
        <v>128</v>
      </c>
      <c r="E82" s="17">
        <v>3.5795199999999999E-2</v>
      </c>
      <c r="F82" s="17">
        <v>4.9430200000000001E-2</v>
      </c>
      <c r="G82" s="17">
        <v>4.9579100000000001E-2</v>
      </c>
      <c r="H82" s="17">
        <v>5.3004000000000003E-2</v>
      </c>
      <c r="I82" s="17">
        <v>5.3004000000000003E-2</v>
      </c>
      <c r="J82" s="17">
        <v>5.1906800000000003E-2</v>
      </c>
      <c r="K82" s="17">
        <v>5.0809600000000003E-2</v>
      </c>
      <c r="L82" s="17">
        <v>4.9712399999999997E-2</v>
      </c>
      <c r="M82" s="17">
        <v>4.8615199999999997E-2</v>
      </c>
      <c r="N82" s="17">
        <v>4.7517999999999998E-2</v>
      </c>
      <c r="O82" s="17">
        <v>4.6420799999999998E-2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1</v>
      </c>
      <c r="Y82" s="17">
        <v>1</v>
      </c>
      <c r="Z82" s="17" t="s">
        <v>155</v>
      </c>
    </row>
    <row r="83" spans="1:26" s="17" customFormat="1" x14ac:dyDescent="0.3">
      <c r="A83" s="17" t="s">
        <v>221</v>
      </c>
      <c r="B83" s="24" t="s">
        <v>65</v>
      </c>
      <c r="C83" s="17" t="s">
        <v>127</v>
      </c>
      <c r="D83" s="17" t="s">
        <v>159</v>
      </c>
      <c r="E83" s="17">
        <v>1</v>
      </c>
      <c r="F83" s="17">
        <v>1</v>
      </c>
      <c r="G83" s="17">
        <v>1</v>
      </c>
      <c r="H83" s="17">
        <v>1</v>
      </c>
      <c r="I83" s="17">
        <v>1</v>
      </c>
      <c r="J83" s="17">
        <v>1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  <c r="P83" s="17">
        <v>1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7">
        <v>1</v>
      </c>
      <c r="W83" s="17">
        <v>1</v>
      </c>
      <c r="X83" s="17">
        <v>1</v>
      </c>
      <c r="Y83" s="17">
        <v>1</v>
      </c>
      <c r="Z83" s="17" t="s">
        <v>155</v>
      </c>
    </row>
    <row r="84" spans="1:26" s="17" customFormat="1" x14ac:dyDescent="0.3">
      <c r="A84" s="17" t="s">
        <v>221</v>
      </c>
      <c r="B84" s="24" t="s">
        <v>65</v>
      </c>
      <c r="C84" s="17" t="s">
        <v>129</v>
      </c>
      <c r="D84" s="17" t="s">
        <v>130</v>
      </c>
      <c r="E84" s="17">
        <v>1.8978999999999999E-2</v>
      </c>
      <c r="F84" s="17">
        <v>1.9852999999999999E-2</v>
      </c>
      <c r="G84" s="17">
        <v>1.9424E-2</v>
      </c>
      <c r="H84" s="17">
        <v>1.95251E-2</v>
      </c>
      <c r="I84" s="17">
        <v>1.95251E-2</v>
      </c>
      <c r="J84" s="17">
        <v>1.91209E-2</v>
      </c>
      <c r="K84" s="17">
        <v>1.8716799999999999E-2</v>
      </c>
      <c r="L84" s="17">
        <v>1.8312599999999998E-2</v>
      </c>
      <c r="M84" s="17">
        <v>1.7908400000000001E-2</v>
      </c>
      <c r="N84" s="17">
        <v>1.7504200000000001E-2</v>
      </c>
      <c r="O84" s="17">
        <v>1.71001E-2</v>
      </c>
      <c r="P84" s="17">
        <v>1</v>
      </c>
      <c r="Q84" s="17">
        <v>1</v>
      </c>
      <c r="R84" s="17">
        <v>1</v>
      </c>
      <c r="S84" s="17">
        <v>1</v>
      </c>
      <c r="T84" s="17">
        <v>1</v>
      </c>
      <c r="U84" s="17">
        <v>1</v>
      </c>
      <c r="V84" s="17">
        <v>1</v>
      </c>
      <c r="W84" s="17">
        <v>1</v>
      </c>
      <c r="X84" s="17">
        <v>1</v>
      </c>
      <c r="Y84" s="17">
        <v>1</v>
      </c>
      <c r="Z84" s="17" t="s">
        <v>155</v>
      </c>
    </row>
    <row r="85" spans="1:26" s="17" customFormat="1" x14ac:dyDescent="0.3">
      <c r="A85" s="17" t="s">
        <v>221</v>
      </c>
      <c r="B85" s="24" t="s">
        <v>65</v>
      </c>
      <c r="C85" s="17" t="s">
        <v>129</v>
      </c>
      <c r="D85" s="17" t="s">
        <v>160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0.97929999999999995</v>
      </c>
      <c r="K85" s="17">
        <v>0.95860000000000001</v>
      </c>
      <c r="L85" s="17">
        <v>0.93789900000000004</v>
      </c>
      <c r="M85" s="17">
        <v>0.91719899999999999</v>
      </c>
      <c r="N85" s="17">
        <v>0.89649900000000005</v>
      </c>
      <c r="O85" s="17">
        <v>0.87579899999999999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 t="s">
        <v>155</v>
      </c>
    </row>
    <row r="86" spans="1:26" s="17" customFormat="1" x14ac:dyDescent="0.3">
      <c r="A86" s="17" t="s">
        <v>221</v>
      </c>
      <c r="B86" s="24" t="s">
        <v>65</v>
      </c>
      <c r="C86" s="17" t="s">
        <v>131</v>
      </c>
      <c r="D86" s="17" t="s">
        <v>132</v>
      </c>
      <c r="E86" s="17">
        <v>1</v>
      </c>
      <c r="F86" s="17">
        <v>1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7">
        <v>1</v>
      </c>
      <c r="Z86" s="17" t="s">
        <v>155</v>
      </c>
    </row>
    <row r="87" spans="1:26" s="17" customFormat="1" x14ac:dyDescent="0.3">
      <c r="A87" s="17" t="s">
        <v>221</v>
      </c>
      <c r="B87" s="24" t="s">
        <v>65</v>
      </c>
      <c r="C87" s="17" t="s">
        <v>131</v>
      </c>
      <c r="D87" s="17" t="s">
        <v>133</v>
      </c>
      <c r="E87" s="17">
        <v>3.96516</v>
      </c>
      <c r="F87" s="17">
        <v>3.6748599999999998</v>
      </c>
      <c r="G87" s="17">
        <v>3.5106099999999998</v>
      </c>
      <c r="H87" s="17">
        <v>3.4653999999999998</v>
      </c>
      <c r="I87" s="17">
        <v>3.4653999999999998</v>
      </c>
      <c r="J87" s="17">
        <v>3.4653999999999998</v>
      </c>
      <c r="K87" s="17">
        <v>3.4653999999999998</v>
      </c>
      <c r="L87" s="17">
        <v>3.4653999999999998</v>
      </c>
      <c r="M87" s="17">
        <v>3.4653999999999998</v>
      </c>
      <c r="N87" s="17">
        <v>3.4653999999999998</v>
      </c>
      <c r="O87" s="17">
        <v>3.4653999999999998</v>
      </c>
      <c r="P87" s="17">
        <v>3.4653999999999998</v>
      </c>
      <c r="Q87" s="17">
        <v>3.4653999999999998</v>
      </c>
      <c r="R87" s="17">
        <v>3.4653999999999998</v>
      </c>
      <c r="S87" s="17">
        <v>3.4653999999999998</v>
      </c>
      <c r="T87" s="17">
        <v>3.4653999999999998</v>
      </c>
      <c r="U87" s="17">
        <v>3.4653999999999998</v>
      </c>
      <c r="V87" s="17">
        <v>3.4653999999999998</v>
      </c>
      <c r="W87" s="17">
        <v>3.4653999999999998</v>
      </c>
      <c r="X87" s="17">
        <v>3.4653999999999998</v>
      </c>
      <c r="Y87" s="17">
        <v>3.4653999999999998</v>
      </c>
      <c r="Z87" s="17" t="s">
        <v>155</v>
      </c>
    </row>
    <row r="88" spans="1:26" s="17" customFormat="1" x14ac:dyDescent="0.3">
      <c r="A88" s="17" t="s">
        <v>221</v>
      </c>
      <c r="B88" s="24" t="s">
        <v>65</v>
      </c>
      <c r="C88" s="17" t="s">
        <v>115</v>
      </c>
      <c r="D88" s="17" t="s">
        <v>134</v>
      </c>
      <c r="E88" s="17">
        <v>1</v>
      </c>
      <c r="F88" s="17">
        <v>1</v>
      </c>
      <c r="G88" s="17">
        <v>1</v>
      </c>
      <c r="H88" s="17">
        <v>1</v>
      </c>
      <c r="I88" s="17">
        <v>1</v>
      </c>
      <c r="J88" s="17">
        <v>1</v>
      </c>
      <c r="K88" s="17">
        <v>1</v>
      </c>
      <c r="L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17">
        <v>1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7">
        <v>1</v>
      </c>
      <c r="Y88" s="17">
        <v>1</v>
      </c>
      <c r="Z88" s="17" t="s">
        <v>155</v>
      </c>
    </row>
    <row r="92" spans="1:26" s="5" customFormat="1" x14ac:dyDescent="0.3">
      <c r="A92" s="5" t="s">
        <v>220</v>
      </c>
    </row>
    <row r="93" spans="1:26" x14ac:dyDescent="0.3">
      <c r="A93" t="s">
        <v>145</v>
      </c>
      <c r="B93" t="s">
        <v>116</v>
      </c>
      <c r="C93">
        <v>2015</v>
      </c>
      <c r="D93">
        <v>2020</v>
      </c>
      <c r="E93">
        <v>2050</v>
      </c>
      <c r="F93" t="s">
        <v>103</v>
      </c>
      <c r="H93" t="s">
        <v>116</v>
      </c>
      <c r="I93" t="s">
        <v>145</v>
      </c>
      <c r="J93">
        <v>2015</v>
      </c>
      <c r="K93">
        <v>2020</v>
      </c>
      <c r="L93">
        <v>2050</v>
      </c>
      <c r="M93" t="s">
        <v>109</v>
      </c>
    </row>
    <row r="94" spans="1:26" x14ac:dyDescent="0.3">
      <c r="A94">
        <v>12</v>
      </c>
      <c r="B94" t="s">
        <v>140</v>
      </c>
      <c r="C94">
        <v>7.1471428571428602E-2</v>
      </c>
      <c r="D94">
        <v>7.2092857142857097E-2</v>
      </c>
      <c r="E94">
        <v>7.0849999999999996E-2</v>
      </c>
      <c r="F94" t="s">
        <v>150</v>
      </c>
      <c r="H94" t="s">
        <v>144</v>
      </c>
      <c r="I94">
        <v>12</v>
      </c>
      <c r="J94">
        <v>26465.102519799999</v>
      </c>
      <c r="K94">
        <v>25082.175322700001</v>
      </c>
      <c r="L94">
        <v>30046.097194000002</v>
      </c>
      <c r="M94" s="39" t="s">
        <v>188</v>
      </c>
    </row>
    <row r="95" spans="1:26" x14ac:dyDescent="0.3">
      <c r="A95">
        <v>12</v>
      </c>
      <c r="B95" t="s">
        <v>143</v>
      </c>
      <c r="C95">
        <v>2.2428571428571402E-3</v>
      </c>
      <c r="D95">
        <v>3.0999999999999999E-3</v>
      </c>
      <c r="E95">
        <v>0</v>
      </c>
      <c r="F95" t="s">
        <v>150</v>
      </c>
      <c r="H95" t="s">
        <v>144</v>
      </c>
      <c r="I95">
        <v>13</v>
      </c>
      <c r="J95">
        <v>50618.2001771</v>
      </c>
      <c r="K95">
        <v>48798.193477200002</v>
      </c>
      <c r="L95">
        <v>20356.115123200001</v>
      </c>
      <c r="M95" s="39" t="s">
        <v>188</v>
      </c>
    </row>
    <row r="96" spans="1:26" x14ac:dyDescent="0.3">
      <c r="A96">
        <v>12</v>
      </c>
      <c r="B96" s="10" t="s">
        <v>144</v>
      </c>
      <c r="C96" s="10">
        <v>0.13205714285714301</v>
      </c>
      <c r="D96" s="10">
        <v>0.123914285714286</v>
      </c>
      <c r="E96" s="10">
        <v>0.141757142857143</v>
      </c>
      <c r="F96" t="s">
        <v>150</v>
      </c>
      <c r="H96" t="s">
        <v>186</v>
      </c>
      <c r="I96">
        <v>12</v>
      </c>
      <c r="J96">
        <v>145263.63542400001</v>
      </c>
      <c r="K96">
        <v>155496.28096800001</v>
      </c>
      <c r="L96">
        <v>181455.60719000001</v>
      </c>
      <c r="M96" s="39" t="s">
        <v>188</v>
      </c>
    </row>
    <row r="97" spans="1:13" x14ac:dyDescent="0.3">
      <c r="A97">
        <v>12</v>
      </c>
      <c r="B97" t="s">
        <v>142</v>
      </c>
      <c r="C97">
        <v>0.74164285714285705</v>
      </c>
      <c r="D97">
        <v>0.751142857142857</v>
      </c>
      <c r="E97">
        <v>0.69492142857142902</v>
      </c>
      <c r="F97" t="s">
        <v>150</v>
      </c>
      <c r="H97" t="s">
        <v>186</v>
      </c>
      <c r="I97">
        <v>13</v>
      </c>
      <c r="J97">
        <v>229105.25013999999</v>
      </c>
      <c r="K97">
        <v>231963.82196</v>
      </c>
      <c r="L97">
        <v>183841.65023999999</v>
      </c>
      <c r="M97" s="39" t="s">
        <v>188</v>
      </c>
    </row>
    <row r="98" spans="1:13" x14ac:dyDescent="0.3">
      <c r="A98">
        <v>12</v>
      </c>
      <c r="B98" t="s">
        <v>141</v>
      </c>
      <c r="C98">
        <v>5.2549999999999999E-2</v>
      </c>
      <c r="D98">
        <v>4.9750000000000003E-2</v>
      </c>
      <c r="E98">
        <v>9.2471428571428593E-2</v>
      </c>
      <c r="F98" t="s">
        <v>150</v>
      </c>
      <c r="M98" s="40"/>
    </row>
    <row r="99" spans="1:13" x14ac:dyDescent="0.3">
      <c r="A99">
        <v>13</v>
      </c>
      <c r="B99" t="s">
        <v>140</v>
      </c>
      <c r="C99">
        <v>4.7592857142857103E-2</v>
      </c>
      <c r="D99">
        <v>4.7857142857142897E-2</v>
      </c>
      <c r="E99">
        <v>8.7585714285714295E-2</v>
      </c>
      <c r="F99" t="s">
        <v>150</v>
      </c>
      <c r="H99" t="s">
        <v>189</v>
      </c>
    </row>
    <row r="100" spans="1:13" x14ac:dyDescent="0.3">
      <c r="A100">
        <v>13</v>
      </c>
      <c r="B100" t="s">
        <v>143</v>
      </c>
      <c r="C100">
        <v>1.21E-2</v>
      </c>
      <c r="D100">
        <v>1.1650000000000001E-2</v>
      </c>
      <c r="E100">
        <v>3.9591214285714304E-3</v>
      </c>
      <c r="F100" t="s">
        <v>150</v>
      </c>
      <c r="H100" t="s">
        <v>187</v>
      </c>
      <c r="I100">
        <v>12</v>
      </c>
      <c r="L100">
        <f>(L94-J94)/J94*0.5</f>
        <v>6.7655031215557618E-2</v>
      </c>
    </row>
    <row r="101" spans="1:13" x14ac:dyDescent="0.3">
      <c r="A101">
        <v>13</v>
      </c>
      <c r="B101" s="10" t="s">
        <v>144</v>
      </c>
      <c r="C101" s="10">
        <v>0.20178571428571401</v>
      </c>
      <c r="D101" s="10">
        <v>0.19475000000000001</v>
      </c>
      <c r="E101" s="10">
        <v>0.102664285714286</v>
      </c>
      <c r="F101" t="s">
        <v>150</v>
      </c>
      <c r="H101" t="s">
        <v>187</v>
      </c>
      <c r="I101">
        <v>13</v>
      </c>
      <c r="L101">
        <f>(L95-J95)/J95*0.5</f>
        <v>-0.29892494150345905</v>
      </c>
    </row>
    <row r="102" spans="1:13" x14ac:dyDescent="0.3">
      <c r="A102">
        <v>13</v>
      </c>
      <c r="B102" t="s">
        <v>142</v>
      </c>
      <c r="C102">
        <v>0.676878571428571</v>
      </c>
      <c r="D102">
        <v>0.68233571428571405</v>
      </c>
      <c r="E102">
        <v>0.66785000000000005</v>
      </c>
      <c r="F102" t="s">
        <v>150</v>
      </c>
    </row>
    <row r="103" spans="1:13" x14ac:dyDescent="0.3">
      <c r="A103">
        <v>13</v>
      </c>
      <c r="B103" t="s">
        <v>141</v>
      </c>
      <c r="C103">
        <v>6.1621428571428598E-2</v>
      </c>
      <c r="D103">
        <v>6.3399999999999998E-2</v>
      </c>
      <c r="E103">
        <v>0.13797142857142899</v>
      </c>
      <c r="F103" t="s">
        <v>150</v>
      </c>
    </row>
    <row r="106" spans="1:13" s="5" customFormat="1" x14ac:dyDescent="0.3">
      <c r="A106" s="5" t="s">
        <v>148</v>
      </c>
    </row>
    <row r="107" spans="1:13" x14ac:dyDescent="0.3">
      <c r="A107" t="s">
        <v>145</v>
      </c>
      <c r="B107" t="s">
        <v>116</v>
      </c>
      <c r="C107" t="s">
        <v>71</v>
      </c>
      <c r="D107" t="s">
        <v>149</v>
      </c>
      <c r="E107" t="s">
        <v>103</v>
      </c>
    </row>
    <row r="108" spans="1:13" x14ac:dyDescent="0.3">
      <c r="A108">
        <v>12</v>
      </c>
      <c r="B108" t="s">
        <v>140</v>
      </c>
      <c r="C108">
        <v>2015</v>
      </c>
      <c r="D108">
        <v>8.2349165068679203E-2</v>
      </c>
      <c r="E108" t="s">
        <v>150</v>
      </c>
    </row>
    <row r="109" spans="1:13" x14ac:dyDescent="0.3">
      <c r="A109">
        <v>12</v>
      </c>
      <c r="B109" t="s">
        <v>143</v>
      </c>
      <c r="C109">
        <v>2015</v>
      </c>
      <c r="D109">
        <v>2.5842132552034002E-3</v>
      </c>
      <c r="E109" t="s">
        <v>150</v>
      </c>
    </row>
    <row r="110" spans="1:13" x14ac:dyDescent="0.3">
      <c r="A110">
        <v>12</v>
      </c>
      <c r="B110" t="s">
        <v>142</v>
      </c>
      <c r="C110">
        <v>2015</v>
      </c>
      <c r="D110">
        <v>0.85451866970627199</v>
      </c>
      <c r="E110" t="s">
        <v>150</v>
      </c>
    </row>
    <row r="111" spans="1:13" x14ac:dyDescent="0.3">
      <c r="A111">
        <v>12</v>
      </c>
      <c r="B111" t="s">
        <v>141</v>
      </c>
      <c r="C111">
        <v>2015</v>
      </c>
      <c r="D111">
        <v>6.0547951969845401E-2</v>
      </c>
      <c r="E111" t="s">
        <v>150</v>
      </c>
    </row>
    <row r="112" spans="1:13" x14ac:dyDescent="0.3">
      <c r="A112">
        <v>12</v>
      </c>
      <c r="B112" t="s">
        <v>140</v>
      </c>
      <c r="C112">
        <v>2020</v>
      </c>
      <c r="D112">
        <v>8.22897302938395E-2</v>
      </c>
      <c r="E112" t="s">
        <v>150</v>
      </c>
    </row>
    <row r="113" spans="1:5" x14ac:dyDescent="0.3">
      <c r="A113">
        <v>12</v>
      </c>
      <c r="B113" t="s">
        <v>143</v>
      </c>
      <c r="C113">
        <v>2020</v>
      </c>
      <c r="D113">
        <v>3.5384665557838401E-3</v>
      </c>
      <c r="E113" t="s">
        <v>150</v>
      </c>
    </row>
    <row r="114" spans="1:5" x14ac:dyDescent="0.3">
      <c r="A114">
        <v>12</v>
      </c>
      <c r="B114" t="s">
        <v>142</v>
      </c>
      <c r="C114">
        <v>2020</v>
      </c>
      <c r="D114">
        <v>0.85738512213416795</v>
      </c>
      <c r="E114" t="s">
        <v>150</v>
      </c>
    </row>
    <row r="115" spans="1:5" x14ac:dyDescent="0.3">
      <c r="A115">
        <v>12</v>
      </c>
      <c r="B115" t="s">
        <v>141</v>
      </c>
      <c r="C115">
        <v>2020</v>
      </c>
      <c r="D115">
        <v>5.6786681016208498E-2</v>
      </c>
      <c r="E115" t="s">
        <v>150</v>
      </c>
    </row>
    <row r="116" spans="1:5" x14ac:dyDescent="0.3">
      <c r="A116">
        <v>12</v>
      </c>
      <c r="B116" t="s">
        <v>140</v>
      </c>
      <c r="C116">
        <v>2050</v>
      </c>
      <c r="D116">
        <v>8.2552391098090802E-2</v>
      </c>
      <c r="E116" t="s">
        <v>150</v>
      </c>
    </row>
    <row r="117" spans="1:5" x14ac:dyDescent="0.3">
      <c r="A117">
        <v>12</v>
      </c>
      <c r="B117" t="s">
        <v>143</v>
      </c>
      <c r="C117">
        <v>2050</v>
      </c>
      <c r="D117">
        <v>0</v>
      </c>
      <c r="E117" t="s">
        <v>150</v>
      </c>
    </row>
    <row r="118" spans="1:5" x14ac:dyDescent="0.3">
      <c r="A118">
        <v>12</v>
      </c>
      <c r="B118" t="s">
        <v>142</v>
      </c>
      <c r="C118">
        <v>2050</v>
      </c>
      <c r="D118">
        <v>0.80970254839622502</v>
      </c>
      <c r="E118" t="s">
        <v>150</v>
      </c>
    </row>
    <row r="119" spans="1:5" x14ac:dyDescent="0.3">
      <c r="A119">
        <v>12</v>
      </c>
      <c r="B119" t="s">
        <v>141</v>
      </c>
      <c r="C119">
        <v>2050</v>
      </c>
      <c r="D119">
        <v>0.107745060505684</v>
      </c>
      <c r="E119" t="s">
        <v>150</v>
      </c>
    </row>
    <row r="120" spans="1:5" x14ac:dyDescent="0.3">
      <c r="A120">
        <v>13</v>
      </c>
      <c r="B120" t="s">
        <v>140</v>
      </c>
      <c r="C120">
        <v>2015</v>
      </c>
      <c r="D120">
        <v>5.96257617654165E-2</v>
      </c>
      <c r="E120" t="s">
        <v>150</v>
      </c>
    </row>
    <row r="121" spans="1:5" x14ac:dyDescent="0.3">
      <c r="A121">
        <v>13</v>
      </c>
      <c r="B121" t="s">
        <v>143</v>
      </c>
      <c r="C121">
        <v>2015</v>
      </c>
      <c r="D121">
        <v>1.5159243648599101E-2</v>
      </c>
      <c r="E121" t="s">
        <v>150</v>
      </c>
    </row>
    <row r="122" spans="1:5" x14ac:dyDescent="0.3">
      <c r="A122">
        <v>13</v>
      </c>
      <c r="B122" t="s">
        <v>142</v>
      </c>
      <c r="C122">
        <v>2015</v>
      </c>
      <c r="D122">
        <v>0.84801381692573397</v>
      </c>
      <c r="E122" t="s">
        <v>150</v>
      </c>
    </row>
    <row r="123" spans="1:5" x14ac:dyDescent="0.3">
      <c r="A123">
        <v>13</v>
      </c>
      <c r="B123" t="s">
        <v>141</v>
      </c>
      <c r="C123">
        <v>2015</v>
      </c>
      <c r="D123">
        <v>7.7201177660250406E-2</v>
      </c>
      <c r="E123" t="s">
        <v>150</v>
      </c>
    </row>
    <row r="124" spans="1:5" x14ac:dyDescent="0.3">
      <c r="A124">
        <v>13</v>
      </c>
      <c r="B124" t="s">
        <v>140</v>
      </c>
      <c r="C124">
        <v>2020</v>
      </c>
      <c r="D124">
        <v>5.9431937126332803E-2</v>
      </c>
      <c r="E124" t="s">
        <v>150</v>
      </c>
    </row>
    <row r="125" spans="1:5" x14ac:dyDescent="0.3">
      <c r="A125">
        <v>13</v>
      </c>
      <c r="B125" t="s">
        <v>143</v>
      </c>
      <c r="C125">
        <v>2020</v>
      </c>
      <c r="D125">
        <v>1.44676849929924E-2</v>
      </c>
      <c r="E125" t="s">
        <v>150</v>
      </c>
    </row>
    <row r="126" spans="1:5" x14ac:dyDescent="0.3">
      <c r="A126">
        <v>13</v>
      </c>
      <c r="B126" t="s">
        <v>142</v>
      </c>
      <c r="C126">
        <v>2020</v>
      </c>
      <c r="D126">
        <v>0.84736636684584998</v>
      </c>
      <c r="E126" t="s">
        <v>150</v>
      </c>
    </row>
    <row r="127" spans="1:5" x14ac:dyDescent="0.3">
      <c r="A127">
        <v>13</v>
      </c>
      <c r="B127" t="s">
        <v>141</v>
      </c>
      <c r="C127">
        <v>2020</v>
      </c>
      <c r="D127">
        <v>7.8734011034825302E-2</v>
      </c>
      <c r="E127" t="s">
        <v>150</v>
      </c>
    </row>
    <row r="128" spans="1:5" x14ac:dyDescent="0.3">
      <c r="A128">
        <v>13</v>
      </c>
      <c r="B128" t="s">
        <v>140</v>
      </c>
      <c r="C128">
        <v>2050</v>
      </c>
      <c r="D128">
        <v>9.76030833468325E-2</v>
      </c>
      <c r="E128" t="s">
        <v>150</v>
      </c>
    </row>
    <row r="129" spans="1:17" x14ac:dyDescent="0.3">
      <c r="A129">
        <v>13</v>
      </c>
      <c r="B129" t="s">
        <v>143</v>
      </c>
      <c r="C129">
        <v>2050</v>
      </c>
      <c r="D129">
        <v>4.4119347764012603E-3</v>
      </c>
      <c r="E129" t="s">
        <v>150</v>
      </c>
    </row>
    <row r="130" spans="1:17" x14ac:dyDescent="0.3">
      <c r="A130">
        <v>13</v>
      </c>
      <c r="B130" t="s">
        <v>142</v>
      </c>
      <c r="C130">
        <v>2050</v>
      </c>
      <c r="D130">
        <v>0.74423346027120296</v>
      </c>
      <c r="E130" t="s">
        <v>150</v>
      </c>
    </row>
    <row r="131" spans="1:17" x14ac:dyDescent="0.3">
      <c r="A131">
        <v>13</v>
      </c>
      <c r="B131" t="s">
        <v>141</v>
      </c>
      <c r="C131">
        <v>2050</v>
      </c>
      <c r="D131">
        <v>0.15375152160556299</v>
      </c>
      <c r="E131" t="s">
        <v>150</v>
      </c>
    </row>
    <row r="134" spans="1:17" s="5" customFormat="1" x14ac:dyDescent="0.3">
      <c r="A134" s="5" t="s">
        <v>195</v>
      </c>
    </row>
    <row r="136" spans="1:17" x14ac:dyDescent="0.3">
      <c r="A136" s="12" t="s">
        <v>151</v>
      </c>
      <c r="B136">
        <v>2015</v>
      </c>
      <c r="C136">
        <v>2020</v>
      </c>
      <c r="D136">
        <v>2050</v>
      </c>
      <c r="E136" s="64" t="s">
        <v>189</v>
      </c>
      <c r="F136" s="64"/>
      <c r="G136" s="65" t="s">
        <v>181</v>
      </c>
      <c r="H136" s="65"/>
      <c r="J136">
        <v>2015</v>
      </c>
      <c r="K136">
        <v>2020</v>
      </c>
      <c r="L136">
        <v>2025</v>
      </c>
      <c r="M136">
        <v>2030</v>
      </c>
      <c r="N136">
        <v>2035</v>
      </c>
      <c r="O136">
        <v>2040</v>
      </c>
      <c r="P136">
        <v>2045</v>
      </c>
      <c r="Q136">
        <v>2050</v>
      </c>
    </row>
    <row r="137" spans="1:17" ht="43.2" x14ac:dyDescent="0.3">
      <c r="A137" s="11" t="s">
        <v>161</v>
      </c>
      <c r="E137" s="41" t="s">
        <v>151</v>
      </c>
      <c r="F137" s="41" t="s">
        <v>152</v>
      </c>
      <c r="G137" s="42" t="s">
        <v>182</v>
      </c>
      <c r="H137" s="43" t="s">
        <v>191</v>
      </c>
      <c r="I137" s="11" t="s">
        <v>162</v>
      </c>
    </row>
    <row r="138" spans="1:17" x14ac:dyDescent="0.3">
      <c r="A138" s="25" t="s">
        <v>64</v>
      </c>
      <c r="I138" s="25" t="s">
        <v>64</v>
      </c>
      <c r="J138">
        <v>1</v>
      </c>
      <c r="K138">
        <v>1</v>
      </c>
      <c r="L138">
        <f>$H$139</f>
        <v>1.1475791571583644</v>
      </c>
      <c r="M138">
        <f t="shared" ref="M138:Q138" si="0">$H$139</f>
        <v>1.1475791571583644</v>
      </c>
      <c r="N138">
        <f t="shared" si="0"/>
        <v>1.1475791571583644</v>
      </c>
      <c r="O138">
        <f t="shared" si="0"/>
        <v>1.1475791571583644</v>
      </c>
      <c r="P138">
        <f t="shared" si="0"/>
        <v>1.1475791571583644</v>
      </c>
      <c r="Q138">
        <f t="shared" si="0"/>
        <v>1.1475791571583644</v>
      </c>
    </row>
    <row r="139" spans="1:17" x14ac:dyDescent="0.3">
      <c r="A139" t="s">
        <v>184</v>
      </c>
      <c r="B139">
        <f>H6</f>
        <v>44763.7</v>
      </c>
      <c r="C139">
        <f>I6</f>
        <v>51257.599999999999</v>
      </c>
      <c r="D139">
        <f>O6</f>
        <v>47367.312449999998</v>
      </c>
      <c r="E139" s="49">
        <f>(D139-B139)/B139</f>
        <v>5.8163477326494475E-2</v>
      </c>
      <c r="F139" s="49">
        <f>L100</f>
        <v>6.7655031215557618E-2</v>
      </c>
      <c r="G139" s="13">
        <f>F139/E139</f>
        <v>1.1631875246348033</v>
      </c>
      <c r="H139" s="13">
        <f>G139/E147</f>
        <v>1.1475791571583644</v>
      </c>
    </row>
    <row r="140" spans="1:17" x14ac:dyDescent="0.3">
      <c r="A140" t="s">
        <v>185</v>
      </c>
      <c r="B140">
        <f>H13+H14+H15+H16+H18+H19+H21+H22</f>
        <v>2333204.09</v>
      </c>
      <c r="C140">
        <f>I13+I14+I15+I16+I18+I19+I21+I22</f>
        <v>2493554.8449999988</v>
      </c>
      <c r="D140">
        <f>O13+O14+O15+O16+O18+O19+O21+O22</f>
        <v>2641425.8199999998</v>
      </c>
      <c r="E140" s="13"/>
      <c r="F140" s="13"/>
      <c r="G140" s="13"/>
      <c r="H140" s="13"/>
    </row>
    <row r="141" spans="1:17" x14ac:dyDescent="0.3">
      <c r="E141" s="13"/>
      <c r="F141" s="13"/>
      <c r="G141" s="13"/>
      <c r="H141" s="13"/>
    </row>
    <row r="142" spans="1:17" x14ac:dyDescent="0.3">
      <c r="A142" s="25" t="s">
        <v>65</v>
      </c>
      <c r="E142" s="13"/>
      <c r="F142" s="13"/>
      <c r="G142" s="13"/>
      <c r="H142" s="13"/>
      <c r="I142" s="25" t="s">
        <v>65</v>
      </c>
      <c r="J142">
        <v>1</v>
      </c>
      <c r="K142">
        <v>1</v>
      </c>
      <c r="L142">
        <f>$H$143</f>
        <v>1.6492997976834247</v>
      </c>
      <c r="M142">
        <f t="shared" ref="M142:Q142" si="1">$H$143</f>
        <v>1.6492997976834247</v>
      </c>
      <c r="N142">
        <f t="shared" si="1"/>
        <v>1.6492997976834247</v>
      </c>
      <c r="O142">
        <f t="shared" si="1"/>
        <v>1.6492997976834247</v>
      </c>
      <c r="P142">
        <f t="shared" si="1"/>
        <v>1.6492997976834247</v>
      </c>
      <c r="Q142">
        <f t="shared" si="1"/>
        <v>1.6492997976834247</v>
      </c>
    </row>
    <row r="143" spans="1:17" x14ac:dyDescent="0.3">
      <c r="A143" t="s">
        <v>184</v>
      </c>
      <c r="B143">
        <f>H26</f>
        <v>399505</v>
      </c>
      <c r="C143">
        <f>I26</f>
        <v>411222</v>
      </c>
      <c r="D143">
        <f>O26</f>
        <v>285793.93530000001</v>
      </c>
      <c r="E143" s="49">
        <f>(D143-B143)/B143</f>
        <v>-0.28462989124040999</v>
      </c>
      <c r="F143" s="49">
        <f>L101</f>
        <v>-0.29892494150345905</v>
      </c>
      <c r="G143" s="13">
        <f>F143/E143</f>
        <v>1.0502232924333827</v>
      </c>
      <c r="H143" s="13">
        <f>G143/E148</f>
        <v>1.6492997976834247</v>
      </c>
    </row>
    <row r="144" spans="1:17" x14ac:dyDescent="0.3">
      <c r="A144" t="s">
        <v>185</v>
      </c>
      <c r="B144">
        <f>H33+H34+H35+H36+H38+H39+H41+H42</f>
        <v>11615906.5</v>
      </c>
      <c r="C144">
        <f>I33+I34+I35+I36+I38+I39+I41+I42</f>
        <v>11813568.299999999</v>
      </c>
      <c r="D144">
        <f>O33+O34+O35+O36+O38+O39+O41+O42</f>
        <v>10785141.866</v>
      </c>
    </row>
    <row r="146" spans="1:23" x14ac:dyDescent="0.3">
      <c r="A146" s="11" t="s">
        <v>190</v>
      </c>
    </row>
    <row r="147" spans="1:23" x14ac:dyDescent="0.3">
      <c r="A147" s="25" t="s">
        <v>64</v>
      </c>
      <c r="B147">
        <v>803610</v>
      </c>
      <c r="C147">
        <v>915374</v>
      </c>
      <c r="D147" s="13">
        <v>1618150</v>
      </c>
      <c r="E147">
        <f>(D147-B147)/B147</f>
        <v>1.0136011249237815</v>
      </c>
    </row>
    <row r="148" spans="1:23" x14ac:dyDescent="0.3">
      <c r="A148" s="25" t="s">
        <v>65</v>
      </c>
      <c r="B148">
        <v>7428720</v>
      </c>
      <c r="C148">
        <v>7548350</v>
      </c>
      <c r="D148" s="13">
        <v>12159100</v>
      </c>
      <c r="E148">
        <f>(D148-B148)/B148</f>
        <v>0.63676918769316926</v>
      </c>
      <c r="J148" s="8"/>
      <c r="K148" s="8"/>
      <c r="L148" s="8"/>
    </row>
    <row r="152" spans="1:23" s="5" customFormat="1" x14ac:dyDescent="0.3">
      <c r="A152" s="5" t="s">
        <v>194</v>
      </c>
    </row>
    <row r="153" spans="1:23" ht="14.4" customHeight="1" x14ac:dyDescent="0.3">
      <c r="P153">
        <v>0</v>
      </c>
      <c r="Q153">
        <v>1</v>
      </c>
      <c r="R153">
        <v>2</v>
      </c>
      <c r="S153">
        <v>3</v>
      </c>
      <c r="T153">
        <v>4</v>
      </c>
      <c r="U153">
        <v>5</v>
      </c>
      <c r="V153">
        <v>6</v>
      </c>
    </row>
    <row r="154" spans="1:23" ht="28.8" x14ac:dyDescent="0.3">
      <c r="A154" s="12" t="s">
        <v>151</v>
      </c>
      <c r="B154">
        <v>2015</v>
      </c>
      <c r="C154">
        <v>2020</v>
      </c>
      <c r="D154">
        <v>2025</v>
      </c>
      <c r="E154">
        <v>2030</v>
      </c>
      <c r="F154">
        <v>2035</v>
      </c>
      <c r="G154">
        <v>2040</v>
      </c>
      <c r="H154">
        <v>2045</v>
      </c>
      <c r="I154">
        <v>2050</v>
      </c>
      <c r="J154" s="64" t="s">
        <v>189</v>
      </c>
      <c r="K154" s="64"/>
      <c r="L154" s="48" t="s">
        <v>181</v>
      </c>
      <c r="M154" s="47"/>
      <c r="O154">
        <v>2015</v>
      </c>
      <c r="P154">
        <v>2020</v>
      </c>
      <c r="Q154">
        <v>2025</v>
      </c>
      <c r="R154">
        <v>2030</v>
      </c>
      <c r="S154">
        <v>2035</v>
      </c>
      <c r="T154">
        <v>2040</v>
      </c>
      <c r="U154">
        <v>2045</v>
      </c>
      <c r="V154">
        <v>2050</v>
      </c>
      <c r="W154" t="s">
        <v>183</v>
      </c>
    </row>
    <row r="155" spans="1:23" x14ac:dyDescent="0.3">
      <c r="A155" s="11" t="s">
        <v>161</v>
      </c>
      <c r="J155" s="41" t="s">
        <v>151</v>
      </c>
      <c r="K155" s="41" t="s">
        <v>152</v>
      </c>
      <c r="L155" s="42" t="s">
        <v>182</v>
      </c>
      <c r="M155" s="43"/>
      <c r="N155" s="11" t="s">
        <v>163</v>
      </c>
      <c r="W155" s="13"/>
    </row>
    <row r="156" spans="1:23" x14ac:dyDescent="0.3">
      <c r="A156" s="25" t="s">
        <v>64</v>
      </c>
      <c r="B156" s="13"/>
      <c r="C156" s="13"/>
      <c r="D156" s="13"/>
      <c r="E156" s="13"/>
      <c r="F156" s="13"/>
      <c r="G156" s="13"/>
      <c r="H156" s="13"/>
      <c r="I156" s="13"/>
      <c r="N156" s="25" t="s">
        <v>64</v>
      </c>
      <c r="W156" s="13"/>
    </row>
    <row r="157" spans="1:23" x14ac:dyDescent="0.3">
      <c r="A157" t="s">
        <v>164</v>
      </c>
      <c r="B157" s="13">
        <f t="shared" ref="B157:I157" si="2">H13</f>
        <v>16023.9</v>
      </c>
      <c r="C157" s="13">
        <f t="shared" si="2"/>
        <v>14530.5</v>
      </c>
      <c r="D157" s="13">
        <f t="shared" si="2"/>
        <v>18177.7</v>
      </c>
      <c r="E157" s="13">
        <f t="shared" si="2"/>
        <v>20802.5</v>
      </c>
      <c r="F157" s="13">
        <f t="shared" si="2"/>
        <v>22976.3</v>
      </c>
      <c r="G157" s="13">
        <f t="shared" si="2"/>
        <v>25016.2</v>
      </c>
      <c r="H157" s="13">
        <f t="shared" si="2"/>
        <v>26783.9</v>
      </c>
      <c r="I157" s="13">
        <f t="shared" si="2"/>
        <v>28311.1</v>
      </c>
      <c r="L157" s="13"/>
      <c r="M157" s="13"/>
      <c r="N157" t="s">
        <v>164</v>
      </c>
      <c r="O157" s="13">
        <f>H56</f>
        <v>1.37751E-2</v>
      </c>
      <c r="P157" s="13">
        <f>I56</f>
        <v>1.37751E-2</v>
      </c>
      <c r="Q157" s="13">
        <f>$P157+($P157*$L166-$P157)*Q153/$V$153</f>
        <v>1.3951308489422214E-2</v>
      </c>
      <c r="R157" s="13">
        <f t="shared" ref="R157:V157" si="3">$P157+($P157*$L166-$P157)*R153/$V$153</f>
        <v>1.4127516978844425E-2</v>
      </c>
      <c r="S157" s="13">
        <f t="shared" si="3"/>
        <v>1.4303725468266639E-2</v>
      </c>
      <c r="T157" s="13">
        <f t="shared" si="3"/>
        <v>1.4479933957688852E-2</v>
      </c>
      <c r="U157" s="13">
        <f t="shared" si="3"/>
        <v>1.4656142447111064E-2</v>
      </c>
      <c r="V157" s="13">
        <f t="shared" si="3"/>
        <v>1.4832350936533277E-2</v>
      </c>
      <c r="W157" s="13">
        <f t="shared" ref="W157:W162" si="4">V157/P157</f>
        <v>1.0767508719743071</v>
      </c>
    </row>
    <row r="158" spans="1:23" x14ac:dyDescent="0.3">
      <c r="A158" t="s">
        <v>165</v>
      </c>
      <c r="B158" s="13">
        <f t="shared" ref="B158:I158" si="5">H17</f>
        <v>48072.800000000003</v>
      </c>
      <c r="C158" s="13">
        <f t="shared" si="5"/>
        <v>43592.2</v>
      </c>
      <c r="D158" s="13">
        <f t="shared" si="5"/>
        <v>54534.1</v>
      </c>
      <c r="E158" s="13">
        <f t="shared" si="5"/>
        <v>62408.7</v>
      </c>
      <c r="F158" s="13">
        <f t="shared" si="5"/>
        <v>68930.2</v>
      </c>
      <c r="G158" s="13">
        <f t="shared" si="5"/>
        <v>75050.100000000006</v>
      </c>
      <c r="H158" s="13">
        <f t="shared" si="5"/>
        <v>80353.100000000006</v>
      </c>
      <c r="I158" s="13">
        <f t="shared" si="5"/>
        <v>84935</v>
      </c>
      <c r="L158" s="13"/>
      <c r="M158" s="13"/>
      <c r="N158" t="s">
        <v>165</v>
      </c>
      <c r="O158" s="13">
        <f>H60</f>
        <v>0.40357500000000002</v>
      </c>
      <c r="P158" s="13">
        <f>I60</f>
        <v>0.40357500000000002</v>
      </c>
      <c r="Q158" s="13">
        <f>$P158+($P158*$L166-$P158)*Q153/$V$153</f>
        <v>0.40873745552617186</v>
      </c>
      <c r="R158" s="13">
        <f t="shared" ref="R158:V158" si="6">$P158+($P158*$L166-$P158)*R153/$V$153</f>
        <v>0.41389991105234369</v>
      </c>
      <c r="S158" s="13">
        <f t="shared" si="6"/>
        <v>0.41906236657851548</v>
      </c>
      <c r="T158" s="13">
        <f t="shared" si="6"/>
        <v>0.42422482210468732</v>
      </c>
      <c r="U158" s="13">
        <f t="shared" si="6"/>
        <v>0.42938727763085915</v>
      </c>
      <c r="V158" s="13">
        <f t="shared" si="6"/>
        <v>0.43454973315703099</v>
      </c>
      <c r="W158" s="13">
        <f t="shared" si="4"/>
        <v>1.0767508719743071</v>
      </c>
    </row>
    <row r="159" spans="1:23" x14ac:dyDescent="0.3">
      <c r="A159" t="s">
        <v>170</v>
      </c>
      <c r="B159" s="13">
        <f t="shared" ref="B159:I159" si="7">H22</f>
        <v>841165</v>
      </c>
      <c r="C159" s="13">
        <f t="shared" si="7"/>
        <v>902927</v>
      </c>
      <c r="D159" s="13">
        <f t="shared" si="7"/>
        <v>967641</v>
      </c>
      <c r="E159" s="13">
        <f t="shared" si="7"/>
        <v>1018400</v>
      </c>
      <c r="F159" s="13">
        <f t="shared" si="7"/>
        <v>1041590</v>
      </c>
      <c r="G159" s="13">
        <f t="shared" si="7"/>
        <v>1016810</v>
      </c>
      <c r="H159" s="13">
        <f t="shared" si="7"/>
        <v>985258</v>
      </c>
      <c r="I159" s="13">
        <f t="shared" si="7"/>
        <v>951555</v>
      </c>
      <c r="L159" s="13"/>
      <c r="M159" s="13"/>
      <c r="N159" t="s">
        <v>170</v>
      </c>
      <c r="O159" s="13">
        <f>H65</f>
        <v>1</v>
      </c>
      <c r="P159" s="13">
        <f>I65</f>
        <v>1</v>
      </c>
      <c r="Q159" s="13">
        <f>$P159+($P159*$L167-$P159)*Q153/$V$153</f>
        <v>0.99314752272108342</v>
      </c>
      <c r="R159" s="13">
        <f t="shared" ref="R159:V159" si="8">$P159+($P159*$L167-$P159)*R153/$V$153</f>
        <v>0.98629504544216673</v>
      </c>
      <c r="S159" s="13">
        <f t="shared" si="8"/>
        <v>0.97944256816325015</v>
      </c>
      <c r="T159" s="13">
        <f t="shared" si="8"/>
        <v>0.97259009088433357</v>
      </c>
      <c r="U159" s="13">
        <f t="shared" si="8"/>
        <v>0.96573761360541688</v>
      </c>
      <c r="V159" s="13">
        <f t="shared" si="8"/>
        <v>0.9588851363265003</v>
      </c>
      <c r="W159" s="13">
        <f t="shared" si="4"/>
        <v>0.9588851363265003</v>
      </c>
    </row>
    <row r="160" spans="1:23" x14ac:dyDescent="0.3">
      <c r="A160" t="s">
        <v>171</v>
      </c>
      <c r="B160" s="13">
        <f t="shared" ref="B160:I160" si="9">H21</f>
        <v>40976.699999999997</v>
      </c>
      <c r="C160" s="13">
        <f t="shared" si="9"/>
        <v>40870.800000000003</v>
      </c>
      <c r="D160" s="13">
        <f t="shared" si="9"/>
        <v>41472.800000000003</v>
      </c>
      <c r="E160" s="13">
        <f t="shared" si="9"/>
        <v>39315.800000000003</v>
      </c>
      <c r="F160" s="13">
        <f t="shared" si="9"/>
        <v>36763.5</v>
      </c>
      <c r="G160" s="13">
        <f t="shared" si="9"/>
        <v>34315.3999999999</v>
      </c>
      <c r="H160" s="13">
        <f t="shared" si="9"/>
        <v>32151.8</v>
      </c>
      <c r="I160" s="13">
        <f t="shared" si="9"/>
        <v>30164.400000000001</v>
      </c>
      <c r="L160" s="13"/>
      <c r="M160" s="13"/>
      <c r="N160" t="s">
        <v>171</v>
      </c>
      <c r="O160" s="13">
        <f>H64</f>
        <v>1.2729000000000001E-2</v>
      </c>
      <c r="P160" s="13">
        <f>I64</f>
        <v>1.2729000000000001E-2</v>
      </c>
      <c r="Q160" s="13">
        <f>$P160+($P160*$L167-$P160)*Q153/$V$153</f>
        <v>1.2641774816716671E-2</v>
      </c>
      <c r="R160" s="13">
        <f t="shared" ref="R160:V160" si="10">$P160+($P160*$L167-$P160)*R153/$V$153</f>
        <v>1.2554549633433342E-2</v>
      </c>
      <c r="S160" s="13">
        <f t="shared" si="10"/>
        <v>1.2467324450150013E-2</v>
      </c>
      <c r="T160" s="13">
        <f t="shared" si="10"/>
        <v>1.2380099266866682E-2</v>
      </c>
      <c r="U160" s="13">
        <f t="shared" si="10"/>
        <v>1.2292874083583353E-2</v>
      </c>
      <c r="V160" s="13">
        <f t="shared" si="10"/>
        <v>1.2205648900300023E-2</v>
      </c>
      <c r="W160" s="13">
        <f t="shared" si="4"/>
        <v>0.9588851363265003</v>
      </c>
    </row>
    <row r="161" spans="1:23" x14ac:dyDescent="0.3">
      <c r="A161" t="s">
        <v>172</v>
      </c>
      <c r="B161" s="13">
        <f t="shared" ref="B161:I161" si="11">H19</f>
        <v>244407.8</v>
      </c>
      <c r="C161" s="13">
        <f t="shared" si="11"/>
        <v>261288.34999999899</v>
      </c>
      <c r="D161" s="13">
        <f t="shared" si="11"/>
        <v>280442.96999999997</v>
      </c>
      <c r="E161" s="13">
        <f t="shared" si="11"/>
        <v>280663.65000000002</v>
      </c>
      <c r="F161" s="13">
        <f t="shared" si="11"/>
        <v>280176.94</v>
      </c>
      <c r="G161" s="13">
        <f t="shared" si="11"/>
        <v>279727</v>
      </c>
      <c r="H161" s="13">
        <f t="shared" si="11"/>
        <v>279907.58</v>
      </c>
      <c r="I161" s="13">
        <f t="shared" si="11"/>
        <v>282790.17</v>
      </c>
      <c r="L161" s="13"/>
      <c r="M161" s="13"/>
      <c r="N161" t="s">
        <v>172</v>
      </c>
      <c r="O161" s="13">
        <f>H62</f>
        <v>0.38813399999999998</v>
      </c>
      <c r="P161" s="13">
        <f>I62</f>
        <v>0.38813399999999998</v>
      </c>
      <c r="Q161" s="13">
        <f>$P161+($P161*$L167-$P161)*Q153/$V$153</f>
        <v>0.38547432058382497</v>
      </c>
      <c r="R161" s="13">
        <f t="shared" ref="R161:V161" si="12">$P161+($P161*$L167-$P161)*R153/$V$153</f>
        <v>0.38281464116764996</v>
      </c>
      <c r="S161" s="13">
        <f t="shared" si="12"/>
        <v>0.3801549617514749</v>
      </c>
      <c r="T161" s="13">
        <f t="shared" si="12"/>
        <v>0.37749528233529989</v>
      </c>
      <c r="U161" s="13">
        <f t="shared" si="12"/>
        <v>0.37483560291912488</v>
      </c>
      <c r="V161" s="13">
        <f t="shared" si="12"/>
        <v>0.37217592350294987</v>
      </c>
      <c r="W161" s="13">
        <f t="shared" si="4"/>
        <v>0.9588851363265003</v>
      </c>
    </row>
    <row r="162" spans="1:23" x14ac:dyDescent="0.3">
      <c r="A162" t="s">
        <v>173</v>
      </c>
      <c r="B162" s="13">
        <f t="shared" ref="B162:I163" si="13">H15</f>
        <v>0</v>
      </c>
      <c r="C162" s="13">
        <f t="shared" si="13"/>
        <v>327.27499999999998</v>
      </c>
      <c r="D162" s="13">
        <f t="shared" si="13"/>
        <v>448.31799999999998</v>
      </c>
      <c r="E162" s="13">
        <f t="shared" si="13"/>
        <v>564.61599999999999</v>
      </c>
      <c r="F162" s="13">
        <f t="shared" si="13"/>
        <v>678.20399999999995</v>
      </c>
      <c r="G162" s="13">
        <f t="shared" si="13"/>
        <v>791.91800000000001</v>
      </c>
      <c r="H162" s="13">
        <f t="shared" si="13"/>
        <v>910.62099999999998</v>
      </c>
      <c r="I162" s="13">
        <f t="shared" si="13"/>
        <v>1037.3499999999999</v>
      </c>
      <c r="L162" s="13"/>
      <c r="M162" s="13"/>
      <c r="N162" t="s">
        <v>173</v>
      </c>
      <c r="O162" s="13">
        <f>H58</f>
        <v>0</v>
      </c>
      <c r="P162" s="13">
        <f>I58</f>
        <v>5.8823499999999997E-5</v>
      </c>
      <c r="Q162" s="13">
        <f>$P162+($P162*$L168-$P162)*Q153/$V$153</f>
        <v>6.0356083163703018E-5</v>
      </c>
      <c r="R162" s="13">
        <f t="shared" ref="R162:V162" si="14">$P162+($P162*$L168-$P162)*R153/$V$153</f>
        <v>6.188866632740604E-5</v>
      </c>
      <c r="S162" s="13">
        <f t="shared" si="14"/>
        <v>6.3421249491109062E-5</v>
      </c>
      <c r="T162" s="13">
        <f t="shared" si="14"/>
        <v>6.495383265481207E-5</v>
      </c>
      <c r="U162" s="13">
        <f t="shared" si="14"/>
        <v>6.6486415818515091E-5</v>
      </c>
      <c r="V162" s="13">
        <f t="shared" si="14"/>
        <v>6.8018998982218113E-5</v>
      </c>
      <c r="W162" s="13">
        <f t="shared" si="4"/>
        <v>1.1563235608594884</v>
      </c>
    </row>
    <row r="163" spans="1:23" x14ac:dyDescent="0.3">
      <c r="A163" t="s">
        <v>174</v>
      </c>
      <c r="B163" s="13">
        <f t="shared" si="13"/>
        <v>57839.1</v>
      </c>
      <c r="C163" s="13">
        <f t="shared" si="13"/>
        <v>60895</v>
      </c>
      <c r="D163" s="13">
        <f t="shared" si="13"/>
        <v>68620.100000000006</v>
      </c>
      <c r="E163" s="13">
        <f t="shared" si="13"/>
        <v>73363.199999999997</v>
      </c>
      <c r="F163" s="13">
        <f t="shared" si="13"/>
        <v>76866.100000000006</v>
      </c>
      <c r="G163" s="13">
        <f t="shared" si="13"/>
        <v>79267</v>
      </c>
      <c r="H163" s="13">
        <f t="shared" si="13"/>
        <v>81278.899999999994</v>
      </c>
      <c r="I163" s="13">
        <f t="shared" si="13"/>
        <v>83057.8</v>
      </c>
      <c r="L163" s="13"/>
      <c r="M163" s="13"/>
      <c r="N163" t="s">
        <v>174</v>
      </c>
      <c r="O163" s="13">
        <f>H59</f>
        <v>1.32408E-2</v>
      </c>
      <c r="P163" s="13">
        <f>I59</f>
        <v>1.32408E-2</v>
      </c>
      <c r="Q163" s="13">
        <f>$P163+($P163*$L168-$P163)*Q153/$V$153</f>
        <v>1.3585774834104719E-2</v>
      </c>
      <c r="R163" s="13">
        <f t="shared" ref="R163:V163" si="15">$P163+($P163*$L168-$P163)*R153/$V$153</f>
        <v>1.3930749668209438E-2</v>
      </c>
      <c r="S163" s="13">
        <f t="shared" si="15"/>
        <v>1.4275724502314157E-2</v>
      </c>
      <c r="T163" s="13">
        <f t="shared" si="15"/>
        <v>1.4620699336418876E-2</v>
      </c>
      <c r="U163" s="13">
        <f t="shared" si="15"/>
        <v>1.4965674170523595E-2</v>
      </c>
      <c r="V163" s="13">
        <f t="shared" si="15"/>
        <v>1.5310649004628314E-2</v>
      </c>
      <c r="W163" s="13">
        <f>V163/P163</f>
        <v>1.1563235608594884</v>
      </c>
    </row>
    <row r="164" spans="1:23" x14ac:dyDescent="0.3">
      <c r="A164" t="s">
        <v>175</v>
      </c>
      <c r="B164" s="13">
        <f t="shared" ref="B164:I164" si="16">H14</f>
        <v>6241.59</v>
      </c>
      <c r="C164" s="13">
        <f t="shared" si="16"/>
        <v>7625.92</v>
      </c>
      <c r="D164" s="13">
        <f t="shared" si="16"/>
        <v>9050.08</v>
      </c>
      <c r="E164" s="13">
        <f t="shared" si="16"/>
        <v>9164.2000000000007</v>
      </c>
      <c r="F164" s="13">
        <f t="shared" si="16"/>
        <v>7645.42299</v>
      </c>
      <c r="G164" s="13">
        <f t="shared" si="16"/>
        <v>5480.2412999999997</v>
      </c>
      <c r="H164" s="13">
        <f t="shared" si="16"/>
        <v>2843.9647999999902</v>
      </c>
      <c r="I164" s="13">
        <f t="shared" si="16"/>
        <v>0</v>
      </c>
      <c r="L164" s="13"/>
      <c r="M164" s="13"/>
      <c r="N164" t="s">
        <v>175</v>
      </c>
      <c r="O164" s="13">
        <f>H57</f>
        <v>1.4951299999999999E-3</v>
      </c>
      <c r="P164" s="13">
        <f>I57</f>
        <v>1.4951299999999999E-3</v>
      </c>
      <c r="Q164" s="13">
        <f>$P164+($P164*$L169-$P164)*Q153/$V$153</f>
        <v>1.2459416666666665E-3</v>
      </c>
      <c r="R164" s="13">
        <f t="shared" ref="R164:V164" si="17">$P164+($P164*$L169-$P164)*R153/$V$153</f>
        <v>9.9675333333333312E-4</v>
      </c>
      <c r="S164" s="13">
        <f t="shared" si="17"/>
        <v>7.4756499999999995E-4</v>
      </c>
      <c r="T164" s="13">
        <f t="shared" si="17"/>
        <v>4.9837666666666656E-4</v>
      </c>
      <c r="U164" s="13">
        <f t="shared" si="17"/>
        <v>2.4918833333333339E-4</v>
      </c>
      <c r="V164" s="13">
        <f t="shared" si="17"/>
        <v>0</v>
      </c>
      <c r="W164" s="13">
        <f>V164/P164</f>
        <v>0</v>
      </c>
    </row>
    <row r="165" spans="1:23" x14ac:dyDescent="0.3">
      <c r="B165" s="13"/>
      <c r="C165" s="13"/>
      <c r="D165" s="13"/>
      <c r="E165" s="13"/>
      <c r="F165" s="13"/>
      <c r="G165" s="13"/>
      <c r="H165" s="13"/>
      <c r="I165" s="13"/>
      <c r="L165" s="13"/>
      <c r="M165" s="13"/>
      <c r="O165" s="13"/>
      <c r="P165" s="13"/>
      <c r="Q165" s="13"/>
      <c r="R165" s="13"/>
      <c r="S165" s="13"/>
    </row>
    <row r="166" spans="1:23" x14ac:dyDescent="0.3">
      <c r="A166" t="s">
        <v>176</v>
      </c>
      <c r="B166" s="13">
        <f>B157+B158</f>
        <v>64096.700000000004</v>
      </c>
      <c r="C166" s="13">
        <f t="shared" ref="C166:I166" si="18">C157+C158</f>
        <v>58122.7</v>
      </c>
      <c r="D166" s="13">
        <f t="shared" si="18"/>
        <v>72711.8</v>
      </c>
      <c r="E166" s="13">
        <f t="shared" si="18"/>
        <v>83211.199999999997</v>
      </c>
      <c r="F166" s="13">
        <f t="shared" si="18"/>
        <v>91906.5</v>
      </c>
      <c r="G166" s="13">
        <f t="shared" si="18"/>
        <v>100066.3</v>
      </c>
      <c r="H166" s="13">
        <f t="shared" si="18"/>
        <v>107137</v>
      </c>
      <c r="I166" s="13">
        <f t="shared" si="18"/>
        <v>113246.1</v>
      </c>
      <c r="J166" s="50">
        <f>I166/I$170</f>
        <v>7.6573448383407849E-2</v>
      </c>
      <c r="K166" s="50">
        <f>D116-D116*(D116-D108)*0.5/D108</f>
        <v>8.2450527316913991E-2</v>
      </c>
      <c r="L166" s="13">
        <f>K166/J166</f>
        <v>1.0767508719743071</v>
      </c>
      <c r="M166" s="13"/>
      <c r="N166" t="s">
        <v>176</v>
      </c>
      <c r="O166" s="13"/>
      <c r="P166" s="13"/>
      <c r="Q166" s="13"/>
      <c r="R166" s="13"/>
      <c r="S166" s="13"/>
    </row>
    <row r="167" spans="1:23" x14ac:dyDescent="0.3">
      <c r="A167" t="s">
        <v>177</v>
      </c>
      <c r="B167" s="13">
        <f>H18</f>
        <v>1126550</v>
      </c>
      <c r="C167" s="13">
        <f t="shared" ref="C167:H167" si="19">I18</f>
        <v>1205090</v>
      </c>
      <c r="D167" s="13">
        <f t="shared" si="19"/>
        <v>1289560</v>
      </c>
      <c r="E167" s="13">
        <f t="shared" si="19"/>
        <v>1338380</v>
      </c>
      <c r="F167" s="13">
        <f t="shared" si="19"/>
        <v>1358530</v>
      </c>
      <c r="G167" s="13">
        <f t="shared" si="19"/>
        <v>1330850</v>
      </c>
      <c r="H167" s="13">
        <f t="shared" si="19"/>
        <v>1297320</v>
      </c>
      <c r="I167">
        <v>1281580</v>
      </c>
      <c r="J167" s="50">
        <f t="shared" ref="J167:J169" si="20">I167/I$170</f>
        <v>0.86656405809301884</v>
      </c>
      <c r="K167" s="50">
        <f>D118-D118*(D118-D110)*0.5/D110</f>
        <v>0.83093539498016966</v>
      </c>
      <c r="L167" s="13">
        <f>K167/J167</f>
        <v>0.9588851363265003</v>
      </c>
      <c r="M167" s="13"/>
      <c r="N167" t="s">
        <v>177</v>
      </c>
      <c r="O167" s="13"/>
      <c r="P167" s="13"/>
      <c r="Q167" s="13"/>
      <c r="R167" s="13"/>
      <c r="S167" s="13"/>
    </row>
    <row r="168" spans="1:23" x14ac:dyDescent="0.3">
      <c r="A168" t="s">
        <v>178</v>
      </c>
      <c r="B168" s="13">
        <f>B162+B163</f>
        <v>57839.1</v>
      </c>
      <c r="C168" s="13">
        <f t="shared" ref="C168:I168" si="21">C162+C163</f>
        <v>61222.275000000001</v>
      </c>
      <c r="D168" s="13">
        <f t="shared" si="21"/>
        <v>69068.418000000005</v>
      </c>
      <c r="E168" s="13">
        <f t="shared" si="21"/>
        <v>73927.815999999992</v>
      </c>
      <c r="F168" s="13">
        <f t="shared" si="21"/>
        <v>77544.304000000004</v>
      </c>
      <c r="G168" s="13">
        <f t="shared" si="21"/>
        <v>80058.918000000005</v>
      </c>
      <c r="H168" s="13">
        <f t="shared" si="21"/>
        <v>82189.520999999993</v>
      </c>
      <c r="I168" s="13">
        <f t="shared" si="21"/>
        <v>84095.150000000009</v>
      </c>
      <c r="J168" s="50">
        <f t="shared" si="20"/>
        <v>5.6862493523573351E-2</v>
      </c>
      <c r="K168" s="50">
        <f>D119-D119*(D119-D111)*0.5/D111</f>
        <v>6.5751440990527932E-2</v>
      </c>
      <c r="L168" s="13">
        <f>K168/J168</f>
        <v>1.1563235608594884</v>
      </c>
      <c r="M168" s="13"/>
      <c r="N168" t="s">
        <v>178</v>
      </c>
      <c r="O168" s="13"/>
      <c r="P168" s="13"/>
      <c r="Q168" s="13"/>
      <c r="R168" s="13"/>
      <c r="S168" s="13"/>
    </row>
    <row r="169" spans="1:23" x14ac:dyDescent="0.3">
      <c r="A169" t="s">
        <v>179</v>
      </c>
      <c r="B169" s="13">
        <f>B164</f>
        <v>6241.59</v>
      </c>
      <c r="C169" s="13">
        <f t="shared" ref="C169:I169" si="22">C164</f>
        <v>7625.92</v>
      </c>
      <c r="D169" s="13">
        <f t="shared" si="22"/>
        <v>9050.08</v>
      </c>
      <c r="E169" s="13">
        <f t="shared" si="22"/>
        <v>9164.2000000000007</v>
      </c>
      <c r="F169" s="13">
        <f t="shared" si="22"/>
        <v>7645.42299</v>
      </c>
      <c r="G169" s="13">
        <f t="shared" si="22"/>
        <v>5480.2412999999997</v>
      </c>
      <c r="H169" s="13">
        <f t="shared" si="22"/>
        <v>2843.9647999999902</v>
      </c>
      <c r="I169" s="13">
        <f t="shared" si="22"/>
        <v>0</v>
      </c>
      <c r="J169" s="38">
        <f t="shared" si="20"/>
        <v>0</v>
      </c>
      <c r="K169" s="13">
        <f>D117-D117*(D117-D109)*0.5/D109</f>
        <v>0</v>
      </c>
      <c r="L169" s="13">
        <v>0</v>
      </c>
      <c r="M169" s="13"/>
      <c r="N169" t="s">
        <v>179</v>
      </c>
      <c r="O169" s="13"/>
      <c r="P169" s="13"/>
      <c r="Q169" s="13"/>
      <c r="R169" s="13"/>
      <c r="S169" s="13"/>
    </row>
    <row r="170" spans="1:23" x14ac:dyDescent="0.3">
      <c r="A170" t="s">
        <v>180</v>
      </c>
      <c r="B170" s="13">
        <f>SUM(B166:B169)</f>
        <v>1254727.3900000001</v>
      </c>
      <c r="C170" s="13">
        <f t="shared" ref="C170:I170" si="23">SUM(C166:C169)</f>
        <v>1332060.8949999998</v>
      </c>
      <c r="D170" s="13">
        <f t="shared" si="23"/>
        <v>1440390.2980000002</v>
      </c>
      <c r="E170" s="13">
        <f t="shared" si="23"/>
        <v>1504683.2159999998</v>
      </c>
      <c r="F170" s="13">
        <f t="shared" si="23"/>
        <v>1535626.2269900001</v>
      </c>
      <c r="G170" s="13">
        <f t="shared" si="23"/>
        <v>1516455.4593000002</v>
      </c>
      <c r="H170" s="13">
        <f t="shared" si="23"/>
        <v>1489490.4857999999</v>
      </c>
      <c r="I170" s="13">
        <f t="shared" si="23"/>
        <v>1478921.25</v>
      </c>
      <c r="J170" s="38">
        <f>SUM(J166:J169)</f>
        <v>1</v>
      </c>
      <c r="K170" s="13">
        <f>SUM(K166:K169)</f>
        <v>0.9791373632876117</v>
      </c>
      <c r="L170" s="13"/>
      <c r="M170" s="13"/>
      <c r="N170" t="s">
        <v>180</v>
      </c>
      <c r="O170" s="13"/>
      <c r="P170" s="13"/>
      <c r="Q170" s="13"/>
      <c r="R170" s="13"/>
      <c r="S170" s="13"/>
    </row>
    <row r="171" spans="1:23" x14ac:dyDescent="0.3">
      <c r="B171" s="13"/>
      <c r="C171" s="13"/>
      <c r="D171" s="13"/>
      <c r="E171" s="13"/>
      <c r="F171" s="13"/>
      <c r="G171" s="13"/>
      <c r="H171" s="13"/>
      <c r="I171" s="13"/>
      <c r="L171" s="13"/>
      <c r="M171" s="13"/>
      <c r="N171" s="11"/>
      <c r="W171" s="13"/>
    </row>
    <row r="172" spans="1:23" x14ac:dyDescent="0.3">
      <c r="A172" s="25" t="s">
        <v>65</v>
      </c>
      <c r="B172" s="13"/>
      <c r="C172" s="13"/>
      <c r="D172" s="13"/>
      <c r="E172" s="13"/>
      <c r="F172" s="13"/>
      <c r="G172" s="13"/>
      <c r="H172" s="13"/>
      <c r="I172" s="13"/>
      <c r="N172" s="25" t="s">
        <v>65</v>
      </c>
      <c r="W172" s="13"/>
    </row>
    <row r="173" spans="1:23" x14ac:dyDescent="0.3">
      <c r="A173" t="s">
        <v>164</v>
      </c>
      <c r="B173" s="13">
        <f t="shared" ref="B173:I173" si="24">H33</f>
        <v>38400.6</v>
      </c>
      <c r="C173" s="13">
        <f t="shared" si="24"/>
        <v>38726.199999999997</v>
      </c>
      <c r="D173" s="13">
        <f t="shared" si="24"/>
        <v>52681.9</v>
      </c>
      <c r="E173" s="13">
        <f t="shared" si="24"/>
        <v>65152.5</v>
      </c>
      <c r="F173" s="13">
        <f t="shared" si="24"/>
        <v>75755.3</v>
      </c>
      <c r="G173" s="13">
        <f t="shared" si="24"/>
        <v>84992.8</v>
      </c>
      <c r="H173" s="13">
        <f t="shared" si="24"/>
        <v>92986.5</v>
      </c>
      <c r="I173" s="13">
        <f t="shared" si="24"/>
        <v>99964.6</v>
      </c>
      <c r="L173" s="13"/>
      <c r="M173" s="13"/>
      <c r="N173" t="s">
        <v>164</v>
      </c>
      <c r="O173" s="13">
        <f>H76</f>
        <v>2.39487E-2</v>
      </c>
      <c r="P173" s="13">
        <f>I76</f>
        <v>2.39487E-2</v>
      </c>
      <c r="Q173" s="13">
        <f>$P173+($P173*$L182-$P173)*Q153/$V$153</f>
        <v>2.3940050215160002E-2</v>
      </c>
      <c r="R173" s="13">
        <f t="shared" ref="R173:V173" si="25">$P173+($P173*$L182-$P173)*R153/$V$153</f>
        <v>2.393140043032E-2</v>
      </c>
      <c r="S173" s="13">
        <f t="shared" si="25"/>
        <v>2.3922750645480002E-2</v>
      </c>
      <c r="T173" s="13">
        <f t="shared" si="25"/>
        <v>2.3914100860640004E-2</v>
      </c>
      <c r="U173" s="13">
        <f t="shared" si="25"/>
        <v>2.3905451075800003E-2</v>
      </c>
      <c r="V173" s="13">
        <f t="shared" si="25"/>
        <v>2.3896801290960005E-2</v>
      </c>
      <c r="W173" s="13">
        <f>V173/P173</f>
        <v>0.99783292166004856</v>
      </c>
    </row>
    <row r="174" spans="1:23" x14ac:dyDescent="0.3">
      <c r="A174" t="s">
        <v>165</v>
      </c>
      <c r="B174" s="13">
        <f t="shared" ref="B174:I174" si="26">H37</f>
        <v>115202</v>
      </c>
      <c r="C174" s="13">
        <f t="shared" si="26"/>
        <v>116179</v>
      </c>
      <c r="D174" s="13">
        <f t="shared" si="26"/>
        <v>158046</v>
      </c>
      <c r="E174" s="13">
        <f t="shared" si="26"/>
        <v>195457</v>
      </c>
      <c r="F174" s="13">
        <f t="shared" si="26"/>
        <v>227266</v>
      </c>
      <c r="G174" s="13">
        <f t="shared" si="26"/>
        <v>254978</v>
      </c>
      <c r="H174" s="13">
        <f t="shared" si="26"/>
        <v>278959</v>
      </c>
      <c r="I174" s="13">
        <f t="shared" si="26"/>
        <v>299894</v>
      </c>
      <c r="L174" s="13"/>
      <c r="M174" s="13"/>
      <c r="N174" t="s">
        <v>165</v>
      </c>
      <c r="O174" s="13">
        <f>H80</f>
        <v>0.701623</v>
      </c>
      <c r="P174" s="13">
        <f>I80</f>
        <v>0.701623</v>
      </c>
      <c r="Q174" s="13">
        <f>$P174+($P174*$L182-$P174)*Q153/$V$153</f>
        <v>0.70136958799898141</v>
      </c>
      <c r="R174" s="13">
        <f t="shared" ref="R174:V174" si="27">$P174+($P174*$L182-$P174)*R153/$V$153</f>
        <v>0.70111617599796272</v>
      </c>
      <c r="S174" s="13">
        <f t="shared" si="27"/>
        <v>0.70086276399694414</v>
      </c>
      <c r="T174" s="13">
        <f t="shared" si="27"/>
        <v>0.70060935199592556</v>
      </c>
      <c r="U174" s="13">
        <f t="shared" si="27"/>
        <v>0.70035593999490686</v>
      </c>
      <c r="V174" s="13">
        <f t="shared" si="27"/>
        <v>0.70010252799388828</v>
      </c>
      <c r="W174" s="13">
        <f>V174/P174</f>
        <v>0.99783292166004856</v>
      </c>
    </row>
    <row r="175" spans="1:23" x14ac:dyDescent="0.3">
      <c r="A175" t="s">
        <v>170</v>
      </c>
      <c r="B175" s="13">
        <f t="shared" ref="B175:I175" si="28">H42</f>
        <v>4586780</v>
      </c>
      <c r="C175" s="13">
        <f t="shared" si="28"/>
        <v>4673120</v>
      </c>
      <c r="D175" s="13">
        <f t="shared" si="28"/>
        <v>4826090</v>
      </c>
      <c r="E175" s="13">
        <f t="shared" si="28"/>
        <v>4751590</v>
      </c>
      <c r="F175" s="13">
        <f t="shared" si="28"/>
        <v>4697030</v>
      </c>
      <c r="G175" s="13">
        <f t="shared" si="28"/>
        <v>4633060</v>
      </c>
      <c r="H175" s="13">
        <f t="shared" si="28"/>
        <v>4587560</v>
      </c>
      <c r="I175" s="13">
        <f t="shared" si="28"/>
        <v>4557710</v>
      </c>
      <c r="L175" s="13"/>
      <c r="M175" s="13"/>
      <c r="N175" t="s">
        <v>170</v>
      </c>
      <c r="O175" s="13">
        <f>H85</f>
        <v>1</v>
      </c>
      <c r="P175" s="13">
        <f>I85</f>
        <v>1</v>
      </c>
      <c r="Q175" s="13">
        <f>$P175+($P175*$L183-$P175)*Q153/$V$153</f>
        <v>0.98853801764700699</v>
      </c>
      <c r="R175" s="13">
        <f t="shared" ref="R175:V175" si="29">$P175+($P175*$L183-$P175)*R153/$V$153</f>
        <v>0.97707603529401399</v>
      </c>
      <c r="S175" s="13">
        <f t="shared" si="29"/>
        <v>0.96561405294102098</v>
      </c>
      <c r="T175" s="13">
        <f t="shared" si="29"/>
        <v>0.95415207058802798</v>
      </c>
      <c r="U175" s="13">
        <f t="shared" si="29"/>
        <v>0.94269008823503497</v>
      </c>
      <c r="V175" s="13">
        <f t="shared" si="29"/>
        <v>0.93122810588204197</v>
      </c>
      <c r="W175" s="13">
        <f t="shared" ref="W175:W178" si="30">V175/P175</f>
        <v>0.93122810588204197</v>
      </c>
    </row>
    <row r="176" spans="1:23" x14ac:dyDescent="0.3">
      <c r="A176" t="s">
        <v>171</v>
      </c>
      <c r="B176" s="13">
        <f t="shared" ref="B176:I176" si="31">H41</f>
        <v>93044.3</v>
      </c>
      <c r="C176" s="13">
        <f t="shared" si="31"/>
        <v>95684.3</v>
      </c>
      <c r="D176" s="13">
        <f t="shared" si="31"/>
        <v>99382.3</v>
      </c>
      <c r="E176" s="13">
        <f t="shared" si="31"/>
        <v>97301.8</v>
      </c>
      <c r="F176" s="13">
        <f t="shared" si="31"/>
        <v>95208.799999999901</v>
      </c>
      <c r="G176" s="13">
        <f t="shared" si="31"/>
        <v>92565.9</v>
      </c>
      <c r="H176" s="13">
        <f t="shared" si="31"/>
        <v>90711.1</v>
      </c>
      <c r="I176" s="13">
        <f t="shared" si="31"/>
        <v>89434.5</v>
      </c>
      <c r="L176" s="13"/>
      <c r="M176" s="13"/>
      <c r="N176" t="s">
        <v>171</v>
      </c>
      <c r="O176" s="13">
        <f>H84</f>
        <v>1.95251E-2</v>
      </c>
      <c r="P176" s="13">
        <f>I84</f>
        <v>1.95251E-2</v>
      </c>
      <c r="Q176" s="13">
        <f>$P176+($P176*$L183-$P176)*Q153/$V$153</f>
        <v>1.9301303648359577E-2</v>
      </c>
      <c r="R176" s="13">
        <f t="shared" ref="R176:V176" si="32">$P176+($P176*$L183-$P176)*R153/$V$153</f>
        <v>1.9077507296719153E-2</v>
      </c>
      <c r="S176" s="13">
        <f t="shared" si="32"/>
        <v>1.8853710945078726E-2</v>
      </c>
      <c r="T176" s="13">
        <f t="shared" si="32"/>
        <v>1.8629914593438303E-2</v>
      </c>
      <c r="U176" s="13">
        <f t="shared" si="32"/>
        <v>1.8406118241797879E-2</v>
      </c>
      <c r="V176" s="13">
        <f t="shared" si="32"/>
        <v>1.8182321890157456E-2</v>
      </c>
      <c r="W176" s="13">
        <f t="shared" si="30"/>
        <v>0.93122810588204186</v>
      </c>
    </row>
    <row r="177" spans="1:23" x14ac:dyDescent="0.3">
      <c r="A177" t="s">
        <v>172</v>
      </c>
      <c r="B177" s="13">
        <f t="shared" ref="B177:I177" si="33">H39</f>
        <v>777922</v>
      </c>
      <c r="C177" s="13">
        <f t="shared" si="33"/>
        <v>777346.799999999</v>
      </c>
      <c r="D177" s="13">
        <f t="shared" si="33"/>
        <v>687191.71</v>
      </c>
      <c r="E177" s="13">
        <f t="shared" si="33"/>
        <v>619993.4</v>
      </c>
      <c r="F177" s="13">
        <f t="shared" si="33"/>
        <v>560476.4</v>
      </c>
      <c r="G177" s="13">
        <f t="shared" si="33"/>
        <v>513072.4</v>
      </c>
      <c r="H177" s="13">
        <f t="shared" si="33"/>
        <v>473771.6</v>
      </c>
      <c r="I177" s="13">
        <f t="shared" si="33"/>
        <v>439815.5</v>
      </c>
      <c r="L177" s="13"/>
      <c r="M177" s="13"/>
      <c r="N177" t="s">
        <v>172</v>
      </c>
      <c r="O177" s="13">
        <f>H82</f>
        <v>5.3004000000000003E-2</v>
      </c>
      <c r="P177" s="13">
        <f>I82</f>
        <v>5.3004000000000003E-2</v>
      </c>
      <c r="Q177" s="13">
        <f>$P177+($P177*$L183-$P177)*Q153/$V$153</f>
        <v>5.2396469087361959E-2</v>
      </c>
      <c r="R177" s="13">
        <f t="shared" ref="R177:V177" si="34">$P177+($P177*$L183-$P177)*R153/$V$153</f>
        <v>5.1788938174723922E-2</v>
      </c>
      <c r="S177" s="13">
        <f t="shared" si="34"/>
        <v>5.1181407262085879E-2</v>
      </c>
      <c r="T177" s="13">
        <f t="shared" si="34"/>
        <v>5.0573876349447835E-2</v>
      </c>
      <c r="U177" s="13">
        <f t="shared" si="34"/>
        <v>4.9966345436809799E-2</v>
      </c>
      <c r="V177" s="13">
        <f t="shared" si="34"/>
        <v>4.9358814524171755E-2</v>
      </c>
      <c r="W177" s="13">
        <f t="shared" si="30"/>
        <v>0.93122810588204197</v>
      </c>
    </row>
    <row r="178" spans="1:23" x14ac:dyDescent="0.3">
      <c r="A178" t="s">
        <v>173</v>
      </c>
      <c r="B178" s="13">
        <f t="shared" ref="B178:I179" si="35">H35</f>
        <v>21065.1</v>
      </c>
      <c r="C178" s="13">
        <f t="shared" si="35"/>
        <v>21008.400000000001</v>
      </c>
      <c r="D178" s="13">
        <f t="shared" si="35"/>
        <v>27559.7</v>
      </c>
      <c r="E178" s="13">
        <f t="shared" si="35"/>
        <v>32241.4</v>
      </c>
      <c r="F178" s="13">
        <f t="shared" si="35"/>
        <v>37451.699999999997</v>
      </c>
      <c r="G178" s="13">
        <f t="shared" si="35"/>
        <v>39006.800000000003</v>
      </c>
      <c r="H178" s="13">
        <f t="shared" si="35"/>
        <v>41013.699999999997</v>
      </c>
      <c r="I178" s="13">
        <f t="shared" si="35"/>
        <v>43407.1</v>
      </c>
      <c r="L178" s="13"/>
      <c r="M178" s="13"/>
      <c r="N178" t="s">
        <v>173</v>
      </c>
      <c r="O178" s="13">
        <f>H78</f>
        <v>2.3946000000000002E-3</v>
      </c>
      <c r="P178" s="13">
        <f>I78</f>
        <v>2.3281E-3</v>
      </c>
      <c r="Q178" s="13">
        <f>$P178+($P178*$L184-$P178)*Q153/$V$153</f>
        <v>2.3196838932893881E-3</v>
      </c>
      <c r="R178" s="13">
        <f t="shared" ref="R178:V178" si="36">$P178+($P178*$L184-$P178)*R153/$V$153</f>
        <v>2.3112677865787762E-3</v>
      </c>
      <c r="S178" s="13">
        <f t="shared" si="36"/>
        <v>2.3028516798681642E-3</v>
      </c>
      <c r="T178" s="13">
        <f t="shared" si="36"/>
        <v>2.2944355731575523E-3</v>
      </c>
      <c r="U178" s="13">
        <f t="shared" si="36"/>
        <v>2.2860194664469403E-3</v>
      </c>
      <c r="V178" s="13">
        <f t="shared" si="36"/>
        <v>2.2776033597363284E-3</v>
      </c>
      <c r="W178" s="13">
        <f t="shared" si="30"/>
        <v>0.97830993502698693</v>
      </c>
    </row>
    <row r="179" spans="1:23" x14ac:dyDescent="0.3">
      <c r="A179" t="s">
        <v>174</v>
      </c>
      <c r="B179" s="13">
        <f t="shared" si="35"/>
        <v>363805.5</v>
      </c>
      <c r="C179" s="13">
        <f t="shared" si="35"/>
        <v>372521.6</v>
      </c>
      <c r="D179" s="13">
        <f t="shared" si="35"/>
        <v>402916.6</v>
      </c>
      <c r="E179" s="13">
        <f t="shared" si="35"/>
        <v>409945.3</v>
      </c>
      <c r="F179" s="13">
        <f t="shared" si="35"/>
        <v>415275.5</v>
      </c>
      <c r="G179" s="13">
        <f t="shared" si="35"/>
        <v>418527</v>
      </c>
      <c r="H179" s="13">
        <f t="shared" si="35"/>
        <v>424297.8</v>
      </c>
      <c r="I179" s="13">
        <f t="shared" si="35"/>
        <v>431896.2</v>
      </c>
      <c r="L179" s="13"/>
      <c r="M179" s="13"/>
      <c r="N179" t="s">
        <v>174</v>
      </c>
      <c r="O179" s="13">
        <f>H79</f>
        <v>5.0960100000000001E-2</v>
      </c>
      <c r="P179" s="13">
        <f>I79</f>
        <v>5.0994900000000003E-2</v>
      </c>
      <c r="Q179" s="13">
        <f>$P179+($P179*$L184-$P179)*Q153/$V$153</f>
        <v>5.081055288428462E-2</v>
      </c>
      <c r="R179" s="13">
        <f t="shared" ref="R179:V179" si="37">$P179+($P179*$L184-$P179)*R153/$V$153</f>
        <v>5.0626205768569237E-2</v>
      </c>
      <c r="S179" s="13">
        <f t="shared" si="37"/>
        <v>5.0441858652853853E-2</v>
      </c>
      <c r="T179" s="13">
        <f t="shared" si="37"/>
        <v>5.025751153713847E-2</v>
      </c>
      <c r="U179" s="13">
        <f t="shared" si="37"/>
        <v>5.0073164421423087E-2</v>
      </c>
      <c r="V179" s="13">
        <f t="shared" si="37"/>
        <v>4.9888817305707704E-2</v>
      </c>
      <c r="W179" s="13">
        <f>V179/P179</f>
        <v>0.97830993502698704</v>
      </c>
    </row>
    <row r="180" spans="1:23" x14ac:dyDescent="0.3">
      <c r="A180" t="s">
        <v>175</v>
      </c>
      <c r="B180" s="13">
        <f t="shared" ref="B180:I180" si="38">H34</f>
        <v>277139</v>
      </c>
      <c r="C180" s="13">
        <f t="shared" si="38"/>
        <v>289011</v>
      </c>
      <c r="D180" s="13">
        <f t="shared" si="38"/>
        <v>308124</v>
      </c>
      <c r="E180" s="13">
        <f t="shared" si="38"/>
        <v>278810</v>
      </c>
      <c r="F180" s="13">
        <f t="shared" si="38"/>
        <v>224371.21100000001</v>
      </c>
      <c r="G180" s="13">
        <f t="shared" si="38"/>
        <v>165050.948</v>
      </c>
      <c r="H180" s="13">
        <f t="shared" si="38"/>
        <v>101623.93</v>
      </c>
      <c r="I180" s="13">
        <f t="shared" si="38"/>
        <v>35953.966</v>
      </c>
      <c r="L180" s="13"/>
      <c r="M180" s="13"/>
      <c r="N180" t="s">
        <v>175</v>
      </c>
      <c r="O180" s="13">
        <f>H77</f>
        <v>8.0730999999999997E-3</v>
      </c>
      <c r="P180" s="13">
        <f>I77</f>
        <v>8.0730999999999997E-3</v>
      </c>
      <c r="Q180" s="13">
        <f>$P180+($P180*$L185-$P180)*Q153/$V$153</f>
        <v>8.0689763299427383E-3</v>
      </c>
      <c r="R180" s="13">
        <f t="shared" ref="R180:V180" si="39">$P180+($P180*$L185-$P180)*R153/$V$153</f>
        <v>8.0648526598854787E-3</v>
      </c>
      <c r="S180" s="13">
        <f t="shared" si="39"/>
        <v>8.060728989828219E-3</v>
      </c>
      <c r="T180" s="13">
        <f t="shared" si="39"/>
        <v>8.0566053197709576E-3</v>
      </c>
      <c r="U180" s="13">
        <f t="shared" si="39"/>
        <v>8.0524816497136963E-3</v>
      </c>
      <c r="V180" s="13">
        <f t="shared" si="39"/>
        <v>8.0483579796564366E-3</v>
      </c>
      <c r="W180" s="13">
        <f>V180/P180</f>
        <v>0.99693525159559981</v>
      </c>
    </row>
    <row r="181" spans="1:23" x14ac:dyDescent="0.3">
      <c r="B181" s="13"/>
      <c r="C181" s="13"/>
      <c r="D181" s="13"/>
      <c r="E181" s="13"/>
      <c r="F181" s="13"/>
      <c r="G181" s="13"/>
      <c r="H181" s="13"/>
      <c r="I181" s="13"/>
      <c r="K181" s="12"/>
      <c r="L181" s="13"/>
      <c r="M181" s="13"/>
      <c r="O181" s="13"/>
      <c r="P181" s="13"/>
      <c r="Q181" s="13"/>
      <c r="R181" s="13"/>
      <c r="S181" s="13"/>
    </row>
    <row r="182" spans="1:23" x14ac:dyDescent="0.3">
      <c r="A182" t="s">
        <v>176</v>
      </c>
      <c r="B182" s="13">
        <f>B173+B174</f>
        <v>153602.6</v>
      </c>
      <c r="C182" s="13">
        <f t="shared" ref="C182:I182" si="40">C173+C174</f>
        <v>154905.20000000001</v>
      </c>
      <c r="D182" s="13">
        <f t="shared" si="40"/>
        <v>210727.9</v>
      </c>
      <c r="E182" s="13">
        <f t="shared" si="40"/>
        <v>260609.5</v>
      </c>
      <c r="F182" s="13">
        <f t="shared" si="40"/>
        <v>303021.3</v>
      </c>
      <c r="G182" s="13">
        <f t="shared" si="40"/>
        <v>339970.8</v>
      </c>
      <c r="H182" s="13">
        <f t="shared" si="40"/>
        <v>371945.5</v>
      </c>
      <c r="I182" s="13">
        <f t="shared" si="40"/>
        <v>399858.6</v>
      </c>
      <c r="J182" s="50">
        <f>I182/I$186</f>
        <v>6.6664478564966517E-2</v>
      </c>
      <c r="K182" s="50">
        <f>D128-D128*(D128-D120)*0.5/D120</f>
        <v>6.6520011417424224E-2</v>
      </c>
      <c r="L182" s="13">
        <f>K182/J182</f>
        <v>0.99783292166004856</v>
      </c>
      <c r="M182" s="13"/>
      <c r="N182" t="s">
        <v>176</v>
      </c>
      <c r="O182" s="13"/>
      <c r="P182" s="13"/>
      <c r="Q182" s="13"/>
      <c r="R182" s="13"/>
      <c r="S182" s="13"/>
    </row>
    <row r="183" spans="1:23" x14ac:dyDescent="0.3">
      <c r="A183" t="s">
        <v>177</v>
      </c>
      <c r="B183" s="13">
        <f>B175+B176+B177</f>
        <v>5457746.2999999998</v>
      </c>
      <c r="C183" s="13">
        <f t="shared" ref="C183:I183" si="41">C175+C176+C177</f>
        <v>5546151.0999999987</v>
      </c>
      <c r="D183" s="13">
        <f t="shared" si="41"/>
        <v>5612664.0099999998</v>
      </c>
      <c r="E183" s="13">
        <f t="shared" si="41"/>
        <v>5468885.2000000002</v>
      </c>
      <c r="F183" s="13">
        <f t="shared" si="41"/>
        <v>5352715.2</v>
      </c>
      <c r="G183" s="13">
        <f t="shared" si="41"/>
        <v>5238698.3000000007</v>
      </c>
      <c r="H183" s="13">
        <f t="shared" si="41"/>
        <v>5152042.6999999993</v>
      </c>
      <c r="I183" s="13">
        <f t="shared" si="41"/>
        <v>5086960</v>
      </c>
      <c r="J183" s="50">
        <f t="shared" ref="J183:J185" si="42">I183/I$186</f>
        <v>0.84809864257225465</v>
      </c>
      <c r="K183" s="50">
        <f>D130-D130*(D130-D122)*0.5/D122</f>
        <v>0.78977329252369166</v>
      </c>
      <c r="L183" s="13">
        <f>K183/J183</f>
        <v>0.93122810588204197</v>
      </c>
      <c r="M183" s="13"/>
      <c r="N183" t="s">
        <v>177</v>
      </c>
      <c r="O183" s="13"/>
      <c r="P183" s="13"/>
      <c r="Q183" s="13"/>
      <c r="R183" s="13"/>
      <c r="S183" s="13"/>
    </row>
    <row r="184" spans="1:23" x14ac:dyDescent="0.3">
      <c r="A184" t="s">
        <v>178</v>
      </c>
      <c r="B184" s="13">
        <f>B178+B179</f>
        <v>384870.6</v>
      </c>
      <c r="C184" s="13">
        <f t="shared" ref="C184:I184" si="43">C178+C179</f>
        <v>393530</v>
      </c>
      <c r="D184" s="13">
        <f t="shared" si="43"/>
        <v>430476.3</v>
      </c>
      <c r="E184" s="13">
        <f t="shared" si="43"/>
        <v>442186.7</v>
      </c>
      <c r="F184" s="13">
        <f t="shared" si="43"/>
        <v>452727.2</v>
      </c>
      <c r="G184" s="13">
        <f t="shared" si="43"/>
        <v>457533.8</v>
      </c>
      <c r="H184" s="13">
        <f t="shared" si="43"/>
        <v>465311.5</v>
      </c>
      <c r="I184" s="13">
        <f t="shared" si="43"/>
        <v>475303.3</v>
      </c>
      <c r="J184" s="50">
        <f t="shared" si="42"/>
        <v>7.9242628906087936E-2</v>
      </c>
      <c r="K184" s="50">
        <f>D131-D131*(D131-D123)*0.5/D123</f>
        <v>7.7523851136482538E-2</v>
      </c>
      <c r="L184" s="13">
        <f>K184/J184</f>
        <v>0.97830993502698704</v>
      </c>
      <c r="M184" s="13"/>
      <c r="N184" t="s">
        <v>178</v>
      </c>
      <c r="O184" s="13"/>
      <c r="P184" s="13"/>
      <c r="Q184" s="13"/>
      <c r="R184" s="13"/>
      <c r="S184" s="13"/>
    </row>
    <row r="185" spans="1:23" x14ac:dyDescent="0.3">
      <c r="A185" t="s">
        <v>179</v>
      </c>
      <c r="B185" s="13">
        <f>B180</f>
        <v>277139</v>
      </c>
      <c r="C185" s="13">
        <f t="shared" ref="C185:I185" si="44">C180</f>
        <v>289011</v>
      </c>
      <c r="D185" s="13">
        <f t="shared" si="44"/>
        <v>308124</v>
      </c>
      <c r="E185" s="13">
        <f t="shared" si="44"/>
        <v>278810</v>
      </c>
      <c r="F185" s="13">
        <f t="shared" si="44"/>
        <v>224371.21100000001</v>
      </c>
      <c r="G185" s="13">
        <f t="shared" si="44"/>
        <v>165050.948</v>
      </c>
      <c r="H185" s="13">
        <f t="shared" si="44"/>
        <v>101623.93</v>
      </c>
      <c r="I185" s="13">
        <f t="shared" si="44"/>
        <v>35953.966</v>
      </c>
      <c r="J185" s="50">
        <f t="shared" si="42"/>
        <v>5.9942499566910286E-3</v>
      </c>
      <c r="K185" s="50">
        <f>D129-D129*(D129-D121)*0.5/D121</f>
        <v>5.9758790887006839E-3</v>
      </c>
      <c r="L185" s="13">
        <f>K185/J185</f>
        <v>0.99693525159559981</v>
      </c>
      <c r="M185" s="13"/>
      <c r="N185" t="s">
        <v>179</v>
      </c>
      <c r="O185" s="13"/>
      <c r="P185" s="13"/>
      <c r="Q185" s="13"/>
      <c r="R185" s="13"/>
      <c r="S185" s="13"/>
    </row>
    <row r="186" spans="1:23" x14ac:dyDescent="0.3">
      <c r="A186" t="s">
        <v>180</v>
      </c>
      <c r="B186" s="13">
        <f>SUM(B182:B185)</f>
        <v>6273358.4999999991</v>
      </c>
      <c r="C186" s="13">
        <f t="shared" ref="C186:I186" si="45">SUM(C182:C185)</f>
        <v>6383597.2999999989</v>
      </c>
      <c r="D186" s="13">
        <f t="shared" si="45"/>
        <v>6561992.21</v>
      </c>
      <c r="E186" s="13">
        <f t="shared" si="45"/>
        <v>6450491.4000000004</v>
      </c>
      <c r="F186" s="13">
        <f t="shared" si="45"/>
        <v>6332834.9110000003</v>
      </c>
      <c r="G186" s="13">
        <f t="shared" si="45"/>
        <v>6201253.8480000002</v>
      </c>
      <c r="H186" s="13">
        <f t="shared" si="45"/>
        <v>6090923.629999999</v>
      </c>
      <c r="I186" s="13">
        <f t="shared" si="45"/>
        <v>5998075.8659999995</v>
      </c>
      <c r="J186" s="38">
        <f>SUM(J182:J185)</f>
        <v>1</v>
      </c>
      <c r="K186" s="13">
        <f>SUM(K182:K185)</f>
        <v>0.93979303416629911</v>
      </c>
      <c r="L186" s="13"/>
      <c r="M186" s="13"/>
      <c r="N186" t="s">
        <v>180</v>
      </c>
      <c r="O186" s="13"/>
      <c r="P186" s="13"/>
      <c r="Q186" s="13"/>
      <c r="R186" s="13"/>
      <c r="S186" s="13"/>
    </row>
    <row r="187" spans="1:23" x14ac:dyDescent="0.3">
      <c r="I187" s="13"/>
    </row>
    <row r="189" spans="1:23" s="5" customFormat="1" x14ac:dyDescent="0.3">
      <c r="A189" s="5" t="s">
        <v>228</v>
      </c>
    </row>
    <row r="191" spans="1:23" x14ac:dyDescent="0.3">
      <c r="A191" s="12" t="s">
        <v>152</v>
      </c>
    </row>
    <row r="192" spans="1:23" x14ac:dyDescent="0.3">
      <c r="A192" t="s">
        <v>116</v>
      </c>
      <c r="B192" t="s">
        <v>145</v>
      </c>
      <c r="C192">
        <v>2015</v>
      </c>
      <c r="D192">
        <v>2020</v>
      </c>
      <c r="E192">
        <v>2050</v>
      </c>
      <c r="F192" t="s">
        <v>109</v>
      </c>
    </row>
    <row r="193" spans="1:22" x14ac:dyDescent="0.3">
      <c r="A193" t="s">
        <v>229</v>
      </c>
      <c r="B193">
        <v>12</v>
      </c>
      <c r="C193">
        <v>2468.3277932536998</v>
      </c>
      <c r="D193">
        <v>3893.7573652328902</v>
      </c>
      <c r="E193">
        <v>0</v>
      </c>
      <c r="F193" s="39" t="s">
        <v>188</v>
      </c>
    </row>
    <row r="194" spans="1:22" x14ac:dyDescent="0.3">
      <c r="A194" t="s">
        <v>229</v>
      </c>
      <c r="B194">
        <v>13</v>
      </c>
      <c r="C194">
        <v>82393.468320567103</v>
      </c>
      <c r="D194">
        <v>84187.598795481405</v>
      </c>
      <c r="E194">
        <v>18070.2875897421</v>
      </c>
      <c r="F194" t="s">
        <v>188</v>
      </c>
    </row>
    <row r="195" spans="1:22" x14ac:dyDescent="0.3">
      <c r="A195" t="s">
        <v>230</v>
      </c>
      <c r="B195">
        <v>12</v>
      </c>
      <c r="C195">
        <v>77602.589292573495</v>
      </c>
      <c r="D195">
        <v>77506.715679255794</v>
      </c>
      <c r="E195">
        <v>128866.043337522</v>
      </c>
      <c r="F195" t="s">
        <v>188</v>
      </c>
    </row>
    <row r="196" spans="1:22" x14ac:dyDescent="0.3">
      <c r="A196" t="s">
        <v>230</v>
      </c>
      <c r="B196">
        <v>13</v>
      </c>
      <c r="C196">
        <v>928364.53843909805</v>
      </c>
      <c r="D196">
        <v>928899.22665993799</v>
      </c>
      <c r="E196">
        <v>496684.54251488799</v>
      </c>
      <c r="F196" t="s">
        <v>188</v>
      </c>
    </row>
    <row r="197" spans="1:22" x14ac:dyDescent="0.3">
      <c r="A197" t="s">
        <v>196</v>
      </c>
      <c r="B197">
        <v>12</v>
      </c>
      <c r="C197">
        <v>826410.92986216804</v>
      </c>
      <c r="D197">
        <v>890626.87938958197</v>
      </c>
      <c r="E197">
        <v>1124625.90848121</v>
      </c>
      <c r="F197" t="s">
        <v>188</v>
      </c>
    </row>
    <row r="198" spans="1:22" x14ac:dyDescent="0.3">
      <c r="A198" t="s">
        <v>196</v>
      </c>
      <c r="B198">
        <v>13</v>
      </c>
      <c r="C198">
        <v>4253237.3063460002</v>
      </c>
      <c r="D198">
        <v>4483839.1883373503</v>
      </c>
      <c r="E198">
        <v>3974912.2677383702</v>
      </c>
      <c r="F198" t="s">
        <v>188</v>
      </c>
    </row>
    <row r="199" spans="1:22" x14ac:dyDescent="0.3">
      <c r="A199" t="s">
        <v>201</v>
      </c>
      <c r="B199">
        <v>12</v>
      </c>
      <c r="C199">
        <f>C193+C197</f>
        <v>828879.25765542174</v>
      </c>
      <c r="D199">
        <f t="shared" ref="D199:E200" si="46">D193+D197</f>
        <v>894520.63675481488</v>
      </c>
      <c r="E199">
        <f t="shared" si="46"/>
        <v>1124625.90848121</v>
      </c>
      <c r="F199" t="s">
        <v>188</v>
      </c>
    </row>
    <row r="200" spans="1:22" x14ac:dyDescent="0.3">
      <c r="A200" t="s">
        <v>201</v>
      </c>
      <c r="B200">
        <v>13</v>
      </c>
      <c r="C200">
        <f>C194+C198</f>
        <v>4335630.7746665673</v>
      </c>
      <c r="D200">
        <f t="shared" si="46"/>
        <v>4568026.7871328313</v>
      </c>
      <c r="E200">
        <f t="shared" si="46"/>
        <v>3992982.5553281121</v>
      </c>
      <c r="F200" t="s">
        <v>188</v>
      </c>
    </row>
    <row r="202" spans="1:22" ht="29.4" customHeight="1" x14ac:dyDescent="0.3">
      <c r="A202" s="12" t="s">
        <v>151</v>
      </c>
      <c r="B202">
        <v>2015</v>
      </c>
      <c r="C202">
        <v>2020</v>
      </c>
      <c r="D202">
        <v>2050</v>
      </c>
      <c r="E202" s="64" t="s">
        <v>189</v>
      </c>
      <c r="F202" s="64"/>
      <c r="G202" s="65" t="s">
        <v>181</v>
      </c>
      <c r="H202" s="65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x14ac:dyDescent="0.3">
      <c r="A203" s="11" t="s">
        <v>161</v>
      </c>
      <c r="E203" s="41" t="s">
        <v>151</v>
      </c>
      <c r="F203" s="41" t="s">
        <v>152</v>
      </c>
      <c r="G203" s="42" t="s">
        <v>182</v>
      </c>
      <c r="H203" s="43"/>
      <c r="I203" s="53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2" x14ac:dyDescent="0.3">
      <c r="A204" s="25" t="s">
        <v>64</v>
      </c>
      <c r="F204" t="s">
        <v>444</v>
      </c>
      <c r="I204" s="54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1:22" x14ac:dyDescent="0.3">
      <c r="A205" s="54" t="s">
        <v>140</v>
      </c>
      <c r="B205" s="13">
        <f>H13+H17</f>
        <v>64096.700000000004</v>
      </c>
      <c r="C205" s="13">
        <f t="shared" ref="C205" si="47">I13+I17</f>
        <v>58122.7</v>
      </c>
      <c r="D205" s="13">
        <f>O13+O17</f>
        <v>113246.1</v>
      </c>
      <c r="E205">
        <f>(D205-B205)/B205</f>
        <v>0.76680078693598885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2" x14ac:dyDescent="0.3">
      <c r="A206" t="s">
        <v>166</v>
      </c>
      <c r="B206" s="13">
        <f>H14</f>
        <v>6241.59</v>
      </c>
      <c r="C206" s="13">
        <f t="shared" ref="C206" si="48">I14</f>
        <v>7625.92</v>
      </c>
      <c r="D206" s="13">
        <f>O14</f>
        <v>0</v>
      </c>
      <c r="E206">
        <f>(D206-B206)/B206</f>
        <v>-1</v>
      </c>
      <c r="F206">
        <f>(E192-C192)/C192*0.5</f>
        <v>8.6848635235732014E-3</v>
      </c>
      <c r="G206" s="13">
        <f>F206/E206</f>
        <v>-8.6848635235732014E-3</v>
      </c>
      <c r="H206" s="13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x14ac:dyDescent="0.3">
      <c r="A207" t="s">
        <v>196</v>
      </c>
      <c r="B207" s="13">
        <f>H15+H16+H18</f>
        <v>1184389.1000000001</v>
      </c>
      <c r="C207" s="13">
        <f t="shared" ref="C207" si="49">I15+I16+I18</f>
        <v>1266312.2749999999</v>
      </c>
      <c r="D207" s="13">
        <f>O15+O16+O18</f>
        <v>1348605.15</v>
      </c>
      <c r="E207">
        <f>(D207-B207)/B207</f>
        <v>0.13865042324350993</v>
      </c>
      <c r="F207">
        <f>(E196-C196)/C196*0.5</f>
        <v>-0.23249487569291125</v>
      </c>
      <c r="G207" s="13">
        <f>F207/E207</f>
        <v>-1.6768421635798654</v>
      </c>
      <c r="H207" s="13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2" x14ac:dyDescent="0.3">
      <c r="A208" t="s">
        <v>200</v>
      </c>
      <c r="B208" s="13">
        <f>SUM(B205:B207)</f>
        <v>1254727.3900000001</v>
      </c>
      <c r="C208" s="13">
        <f>SUM(C205:C207)</f>
        <v>1332060.895</v>
      </c>
      <c r="D208" s="13">
        <f>SUM(D205:D207)</f>
        <v>1461851.25</v>
      </c>
      <c r="E208" s="49">
        <f>(D208-B208)/B208</f>
        <v>0.1650747896720417</v>
      </c>
      <c r="F208" s="49">
        <f>(E199-C199)/C199*0.5</f>
        <v>0.17840152717920638</v>
      </c>
      <c r="G208" s="13">
        <f>F208/E208</f>
        <v>1.0807315128714763</v>
      </c>
      <c r="H208" s="13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x14ac:dyDescent="0.3">
      <c r="B209" s="13"/>
      <c r="C209" s="13"/>
      <c r="D209" s="13"/>
      <c r="G209" s="13"/>
      <c r="H209" s="13"/>
      <c r="I209" s="54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x14ac:dyDescent="0.3">
      <c r="A210" s="25" t="s">
        <v>65</v>
      </c>
      <c r="B210" s="13"/>
      <c r="C210" s="13"/>
      <c r="D210" s="13"/>
      <c r="G210" s="13"/>
      <c r="H210" s="13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x14ac:dyDescent="0.3">
      <c r="A211" s="54" t="s">
        <v>140</v>
      </c>
      <c r="B211" s="13">
        <f>H33+H37</f>
        <v>153602.6</v>
      </c>
      <c r="C211" s="13">
        <f t="shared" ref="C211" si="50">I33+I37</f>
        <v>154905.20000000001</v>
      </c>
      <c r="D211" s="13">
        <f>O33+O37</f>
        <v>399858.6</v>
      </c>
      <c r="G211" s="13"/>
      <c r="H211" s="13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x14ac:dyDescent="0.3">
      <c r="A212" t="s">
        <v>166</v>
      </c>
      <c r="B212" s="13">
        <f>H34</f>
        <v>277139</v>
      </c>
      <c r="C212" s="13">
        <f t="shared" ref="C212" si="51">I34</f>
        <v>289011</v>
      </c>
      <c r="D212" s="13">
        <f>O34</f>
        <v>35953.966</v>
      </c>
      <c r="E212">
        <f>(D212-B212)/B212</f>
        <v>-0.87026738928840752</v>
      </c>
      <c r="F212">
        <f>(E193-C193)/C193*0.5</f>
        <v>-0.5</v>
      </c>
      <c r="G212" s="13">
        <f>F212/E212</f>
        <v>0.57453606346072039</v>
      </c>
      <c r="H212" s="13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x14ac:dyDescent="0.3">
      <c r="A213" t="s">
        <v>196</v>
      </c>
      <c r="B213" s="13">
        <f>H35+H36+H38</f>
        <v>5842620.5999999996</v>
      </c>
      <c r="C213" s="13">
        <f t="shared" ref="C213" si="52">I35+I36+I38</f>
        <v>5939680</v>
      </c>
      <c r="D213" s="13">
        <f>O35+O36+O38</f>
        <v>5562263.2999999998</v>
      </c>
      <c r="E213">
        <f>(D213-B213)/B213</f>
        <v>-4.7984854604456062E-2</v>
      </c>
      <c r="F213">
        <f>(E197-C197)/C197*0.5</f>
        <v>0.18042777983876582</v>
      </c>
      <c r="G213" s="13">
        <f>F213/E213</f>
        <v>-3.7600985003716274</v>
      </c>
      <c r="H213" s="13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x14ac:dyDescent="0.3">
      <c r="A214" t="s">
        <v>200</v>
      </c>
      <c r="B214" s="13">
        <f>SUM(B211:B213)</f>
        <v>6273362.1999999993</v>
      </c>
      <c r="C214" s="13">
        <f>SUM(C211:C213)</f>
        <v>6383596.2000000002</v>
      </c>
      <c r="D214" s="13">
        <f>SUM(D211:D213)</f>
        <v>5998075.8659999995</v>
      </c>
      <c r="E214" s="49">
        <f>(D214-B214)/B214</f>
        <v>-4.3881785432379437E-2</v>
      </c>
      <c r="F214" s="49">
        <f>(E200-C200)/C200*0.5</f>
        <v>-3.9515382783582013E-2</v>
      </c>
      <c r="G214" s="13">
        <f>F214/E214</f>
        <v>0.90049623993704808</v>
      </c>
      <c r="H214" s="13"/>
    </row>
    <row r="215" spans="1:22" x14ac:dyDescent="0.3">
      <c r="B215" s="13"/>
      <c r="C215" s="13"/>
      <c r="D215" s="13"/>
    </row>
    <row r="216" spans="1:22" x14ac:dyDescent="0.3">
      <c r="A216" s="13"/>
      <c r="B216" s="13"/>
      <c r="C216" s="13"/>
      <c r="D216" s="13"/>
      <c r="J216" s="8"/>
      <c r="K216" s="8"/>
      <c r="L216" s="8"/>
    </row>
    <row r="217" spans="1:22" x14ac:dyDescent="0.3">
      <c r="A217" s="13"/>
      <c r="B217" s="13"/>
      <c r="D217" s="13"/>
    </row>
    <row r="218" spans="1:22" x14ac:dyDescent="0.3">
      <c r="A218" s="13"/>
      <c r="B218" s="13"/>
      <c r="D218" s="13"/>
    </row>
  </sheetData>
  <mergeCells count="5">
    <mergeCell ref="E136:F136"/>
    <mergeCell ref="G136:H136"/>
    <mergeCell ref="J154:K154"/>
    <mergeCell ref="E202:F202"/>
    <mergeCell ref="G202:H20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9EF1-5B93-4520-92A6-FDD61864B8EE}">
  <dimension ref="A1:AD110"/>
  <sheetViews>
    <sheetView workbookViewId="0">
      <selection activeCell="H110" sqref="H110"/>
    </sheetView>
  </sheetViews>
  <sheetFormatPr defaultRowHeight="14.4" x14ac:dyDescent="0.3"/>
  <cols>
    <col min="1" max="1" width="14.77734375" customWidth="1"/>
    <col min="7" max="7" width="12" bestFit="1" customWidth="1"/>
  </cols>
  <sheetData>
    <row r="1" spans="1:30" x14ac:dyDescent="0.3">
      <c r="A1" t="s">
        <v>214</v>
      </c>
    </row>
    <row r="3" spans="1:30" s="60" customFormat="1" x14ac:dyDescent="0.3">
      <c r="A3" s="60" t="s">
        <v>213</v>
      </c>
    </row>
    <row r="4" spans="1:30" x14ac:dyDescent="0.3">
      <c r="A4" t="s">
        <v>204</v>
      </c>
    </row>
    <row r="5" spans="1:30" x14ac:dyDescent="0.3">
      <c r="A5" t="s">
        <v>104</v>
      </c>
      <c r="B5" t="s">
        <v>73</v>
      </c>
      <c r="C5" t="s">
        <v>205</v>
      </c>
      <c r="D5" t="s">
        <v>206</v>
      </c>
      <c r="E5" t="s">
        <v>207</v>
      </c>
      <c r="F5">
        <v>1990</v>
      </c>
      <c r="G5">
        <v>2005</v>
      </c>
      <c r="H5">
        <v>2010</v>
      </c>
      <c r="I5">
        <v>2015</v>
      </c>
      <c r="J5">
        <v>2020</v>
      </c>
      <c r="K5">
        <v>2025</v>
      </c>
      <c r="L5">
        <v>2030</v>
      </c>
      <c r="M5">
        <v>2035</v>
      </c>
      <c r="N5">
        <v>2040</v>
      </c>
      <c r="O5">
        <v>2045</v>
      </c>
      <c r="P5">
        <v>2050</v>
      </c>
      <c r="Q5" t="s">
        <v>105</v>
      </c>
    </row>
    <row r="6" spans="1:30" x14ac:dyDescent="0.3">
      <c r="A6" t="s">
        <v>203</v>
      </c>
      <c r="B6" t="s">
        <v>64</v>
      </c>
      <c r="C6" t="s">
        <v>208</v>
      </c>
      <c r="D6" t="s">
        <v>209</v>
      </c>
      <c r="E6" t="s">
        <v>208</v>
      </c>
      <c r="F6">
        <v>0.75504800000000005</v>
      </c>
      <c r="G6">
        <v>0.82255599999999995</v>
      </c>
      <c r="H6">
        <v>0.81297600000000003</v>
      </c>
      <c r="I6">
        <v>0.80279100000000003</v>
      </c>
      <c r="J6">
        <v>0.89085300000000001</v>
      </c>
      <c r="K6">
        <v>1.0173700000000001</v>
      </c>
      <c r="L6">
        <v>1.1141000000000001</v>
      </c>
      <c r="M6">
        <v>1.18059</v>
      </c>
      <c r="N6">
        <v>1.22654</v>
      </c>
      <c r="O6">
        <v>1.25468</v>
      </c>
      <c r="P6">
        <v>1.2738700000000001</v>
      </c>
      <c r="Q6" t="s">
        <v>210</v>
      </c>
    </row>
    <row r="7" spans="1:30" x14ac:dyDescent="0.3">
      <c r="A7" t="s">
        <v>203</v>
      </c>
      <c r="B7" t="s">
        <v>64</v>
      </c>
      <c r="C7" s="57" t="s">
        <v>211</v>
      </c>
      <c r="D7" s="57" t="s">
        <v>212</v>
      </c>
      <c r="E7" s="57" t="s">
        <v>211</v>
      </c>
      <c r="F7" s="57">
        <v>2.6083799999999999</v>
      </c>
      <c r="G7" s="57">
        <v>2.9061599999999999</v>
      </c>
      <c r="H7" s="57">
        <v>2.7023700000000002</v>
      </c>
      <c r="I7" s="57">
        <v>2.4985900000000001</v>
      </c>
      <c r="J7" s="57">
        <v>2.5565799999999999</v>
      </c>
      <c r="K7" s="57">
        <v>2.6507000000000001</v>
      </c>
      <c r="L7" s="57">
        <v>2.6860499999999998</v>
      </c>
      <c r="M7" s="57">
        <v>2.69482</v>
      </c>
      <c r="N7" s="57">
        <v>2.6891699999999998</v>
      </c>
      <c r="O7" s="57">
        <v>2.67231</v>
      </c>
      <c r="P7" s="57">
        <v>2.6518600000000001</v>
      </c>
      <c r="Q7" t="s">
        <v>210</v>
      </c>
    </row>
    <row r="8" spans="1:30" x14ac:dyDescent="0.3">
      <c r="A8" t="s">
        <v>203</v>
      </c>
      <c r="B8" t="s">
        <v>65</v>
      </c>
      <c r="C8" t="s">
        <v>208</v>
      </c>
      <c r="D8" t="s">
        <v>209</v>
      </c>
      <c r="E8" t="s">
        <v>208</v>
      </c>
      <c r="F8">
        <v>5.0727500000000001</v>
      </c>
      <c r="G8">
        <v>5.6970000000000001</v>
      </c>
      <c r="H8">
        <v>5.81243</v>
      </c>
      <c r="I8">
        <v>5.8948499999999999</v>
      </c>
      <c r="J8">
        <v>5.9721599999999997</v>
      </c>
      <c r="K8">
        <v>6.2215699999999998</v>
      </c>
      <c r="L8">
        <v>6.3310199999999996</v>
      </c>
      <c r="M8">
        <v>6.4318999999999997</v>
      </c>
      <c r="N8">
        <v>6.5314800000000002</v>
      </c>
      <c r="O8">
        <v>6.6262400000000001</v>
      </c>
      <c r="P8">
        <v>6.7115400000000003</v>
      </c>
      <c r="Q8" t="s">
        <v>210</v>
      </c>
    </row>
    <row r="9" spans="1:30" x14ac:dyDescent="0.3">
      <c r="A9" t="s">
        <v>203</v>
      </c>
      <c r="B9" t="s">
        <v>65</v>
      </c>
      <c r="C9" s="57" t="s">
        <v>211</v>
      </c>
      <c r="D9" s="57" t="s">
        <v>212</v>
      </c>
      <c r="E9" s="57" t="s">
        <v>211</v>
      </c>
      <c r="F9" s="57">
        <v>9.9173399999999994</v>
      </c>
      <c r="G9" s="57">
        <v>11.692</v>
      </c>
      <c r="H9" s="57">
        <v>10.7706</v>
      </c>
      <c r="I9" s="57">
        <v>9.8492800000000003</v>
      </c>
      <c r="J9" s="57">
        <v>9.9645200000000003</v>
      </c>
      <c r="K9" s="57">
        <v>10.266299999999999</v>
      </c>
      <c r="L9" s="57">
        <v>10.400499999999999</v>
      </c>
      <c r="M9" s="57">
        <v>10.531000000000001</v>
      </c>
      <c r="N9" s="57">
        <v>10.6676</v>
      </c>
      <c r="O9" s="57">
        <v>10.803599999999999</v>
      </c>
      <c r="P9" s="57">
        <v>10.933</v>
      </c>
      <c r="Q9" t="s">
        <v>210</v>
      </c>
    </row>
    <row r="13" spans="1:30" s="60" customFormat="1" x14ac:dyDescent="0.3">
      <c r="A13" s="60" t="s">
        <v>139</v>
      </c>
    </row>
    <row r="14" spans="1:30" x14ac:dyDescent="0.3">
      <c r="A14" t="s">
        <v>102</v>
      </c>
      <c r="B14" t="s">
        <v>73</v>
      </c>
      <c r="C14" t="s">
        <v>71</v>
      </c>
      <c r="D14" t="s">
        <v>216</v>
      </c>
      <c r="E14" t="s">
        <v>218</v>
      </c>
      <c r="F14" t="s">
        <v>106</v>
      </c>
      <c r="G14" s="61" t="s">
        <v>215</v>
      </c>
      <c r="H14" s="61" t="s">
        <v>217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idden="1" x14ac:dyDescent="0.3">
      <c r="A15" t="s">
        <v>8</v>
      </c>
      <c r="B15" t="s">
        <v>64</v>
      </c>
      <c r="C15">
        <v>2015</v>
      </c>
      <c r="D15">
        <v>31.005211760000002</v>
      </c>
      <c r="E15">
        <v>7199.741</v>
      </c>
      <c r="F15">
        <v>2.2322949432215401E-4</v>
      </c>
      <c r="G15" s="61">
        <f>D15*E15 * 1000</f>
        <v>223229494.32215416</v>
      </c>
      <c r="H15" s="61">
        <f>G15/1000000000</f>
        <v>0.22322949432215416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idden="1" x14ac:dyDescent="0.3">
      <c r="A16" t="s">
        <v>30</v>
      </c>
      <c r="B16" t="s">
        <v>64</v>
      </c>
      <c r="C16">
        <v>2015</v>
      </c>
      <c r="D16">
        <v>30.199092319999998</v>
      </c>
      <c r="E16">
        <v>4232.8739999999998</v>
      </c>
      <c r="F16">
        <v>1.2782895270492799E-4</v>
      </c>
      <c r="G16" s="61">
        <f t="shared" ref="G16:G79" si="0">D16*E16 * 1000</f>
        <v>127828952.70492767</v>
      </c>
      <c r="H16" s="61">
        <f t="shared" ref="H16:H79" si="1">G16/1000000000</f>
        <v>0.12782895270492767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8" hidden="1" x14ac:dyDescent="0.3">
      <c r="A17" t="s">
        <v>12</v>
      </c>
      <c r="B17" t="s">
        <v>64</v>
      </c>
      <c r="C17">
        <v>2015</v>
      </c>
      <c r="D17">
        <v>61.968463989999996</v>
      </c>
      <c r="E17">
        <v>1160.9849999999999</v>
      </c>
      <c r="F17" s="8">
        <v>7.1944457165430106E-5</v>
      </c>
      <c r="G17" s="61">
        <f t="shared" si="0"/>
        <v>71944457.165430143</v>
      </c>
      <c r="H17" s="61">
        <f t="shared" si="1"/>
        <v>7.1944457165430145E-2</v>
      </c>
    </row>
    <row r="18" spans="1:8" hidden="1" x14ac:dyDescent="0.3">
      <c r="A18" t="s">
        <v>14</v>
      </c>
      <c r="B18" t="s">
        <v>64</v>
      </c>
      <c r="C18">
        <v>2015</v>
      </c>
      <c r="D18">
        <v>32.404491350000001</v>
      </c>
      <c r="E18">
        <v>10601.397000000001</v>
      </c>
      <c r="F18">
        <v>3.4353287738441601E-4</v>
      </c>
      <c r="G18" s="61">
        <f t="shared" si="0"/>
        <v>343532877.38441598</v>
      </c>
      <c r="H18" s="61">
        <f t="shared" si="1"/>
        <v>0.34353287738441596</v>
      </c>
    </row>
    <row r="19" spans="1:8" hidden="1" x14ac:dyDescent="0.3">
      <c r="A19" t="s">
        <v>20</v>
      </c>
      <c r="B19" t="s">
        <v>64</v>
      </c>
      <c r="C19">
        <v>2015</v>
      </c>
      <c r="D19">
        <v>30.561126819999998</v>
      </c>
      <c r="E19">
        <v>1315.325</v>
      </c>
      <c r="F19" s="8">
        <v>4.0197814134516498E-5</v>
      </c>
      <c r="G19" s="61">
        <f t="shared" si="0"/>
        <v>40197814.1345165</v>
      </c>
      <c r="H19" s="61">
        <f t="shared" si="1"/>
        <v>4.01978141345165E-2</v>
      </c>
    </row>
    <row r="20" spans="1:8" hidden="1" x14ac:dyDescent="0.3">
      <c r="A20" t="s">
        <v>32</v>
      </c>
      <c r="B20" t="s">
        <v>64</v>
      </c>
      <c r="C20">
        <v>2015</v>
      </c>
      <c r="D20">
        <v>31.495982139999999</v>
      </c>
      <c r="E20">
        <v>9777.9230000000007</v>
      </c>
      <c r="F20">
        <v>3.0796528817429502E-4</v>
      </c>
      <c r="G20" s="61">
        <f t="shared" si="0"/>
        <v>307965288.17429519</v>
      </c>
      <c r="H20" s="61">
        <f t="shared" si="1"/>
        <v>0.30796528817429519</v>
      </c>
    </row>
    <row r="21" spans="1:8" hidden="1" x14ac:dyDescent="0.3">
      <c r="A21" t="s">
        <v>42</v>
      </c>
      <c r="B21" t="s">
        <v>64</v>
      </c>
      <c r="C21">
        <v>2015</v>
      </c>
      <c r="D21">
        <v>27.677885610000001</v>
      </c>
      <c r="E21">
        <v>1997.674</v>
      </c>
      <c r="F21" s="8">
        <v>5.5291392458071097E-5</v>
      </c>
      <c r="G21" s="61">
        <f t="shared" si="0"/>
        <v>55291392.458071142</v>
      </c>
      <c r="H21" s="61">
        <f t="shared" si="1"/>
        <v>5.5291392458071145E-2</v>
      </c>
    </row>
    <row r="22" spans="1:8" hidden="1" x14ac:dyDescent="0.3">
      <c r="A22" t="s">
        <v>108</v>
      </c>
      <c r="B22" t="s">
        <v>64</v>
      </c>
      <c r="C22">
        <v>2015</v>
      </c>
      <c r="D22">
        <v>32.672384399999999</v>
      </c>
      <c r="E22">
        <v>2931.88</v>
      </c>
      <c r="F22" s="8">
        <v>9.5791510374672E-5</v>
      </c>
      <c r="G22" s="61">
        <f t="shared" si="0"/>
        <v>95791510.374671996</v>
      </c>
      <c r="H22" s="61">
        <f t="shared" si="1"/>
        <v>9.5791510374671998E-2</v>
      </c>
    </row>
    <row r="23" spans="1:8" hidden="1" x14ac:dyDescent="0.3">
      <c r="A23" t="s">
        <v>44</v>
      </c>
      <c r="B23" t="s">
        <v>64</v>
      </c>
      <c r="C23">
        <v>2015</v>
      </c>
      <c r="D23">
        <v>40</v>
      </c>
      <c r="E23">
        <v>433.55900000000003</v>
      </c>
      <c r="F23" s="8">
        <v>1.7342359999999999E-5</v>
      </c>
      <c r="G23" s="61">
        <f t="shared" si="0"/>
        <v>17342360</v>
      </c>
      <c r="H23" s="61">
        <f t="shared" si="1"/>
        <v>1.7342360000000001E-2</v>
      </c>
    </row>
    <row r="24" spans="1:8" hidden="1" x14ac:dyDescent="0.3">
      <c r="A24" t="s">
        <v>50</v>
      </c>
      <c r="B24" t="s">
        <v>64</v>
      </c>
      <c r="C24">
        <v>2015</v>
      </c>
      <c r="D24">
        <v>25.72070806</v>
      </c>
      <c r="E24">
        <v>38034.078999999998</v>
      </c>
      <c r="F24">
        <v>9.7826344228997704E-4</v>
      </c>
      <c r="G24" s="61">
        <f t="shared" si="0"/>
        <v>978263442.2899766</v>
      </c>
      <c r="H24" s="61">
        <f t="shared" si="1"/>
        <v>0.97826344228997664</v>
      </c>
    </row>
    <row r="25" spans="1:8" hidden="1" x14ac:dyDescent="0.3">
      <c r="A25" t="s">
        <v>54</v>
      </c>
      <c r="B25" t="s">
        <v>64</v>
      </c>
      <c r="C25">
        <v>2015</v>
      </c>
      <c r="D25">
        <v>21.12963748</v>
      </c>
      <c r="E25">
        <v>19925.174999999999</v>
      </c>
      <c r="F25">
        <v>4.2101172447555902E-4</v>
      </c>
      <c r="G25" s="61">
        <f t="shared" si="0"/>
        <v>421011724.47555894</v>
      </c>
      <c r="H25" s="61">
        <f t="shared" si="1"/>
        <v>0.42101172447555896</v>
      </c>
    </row>
    <row r="26" spans="1:8" hidden="1" x14ac:dyDescent="0.3">
      <c r="A26" t="s">
        <v>60</v>
      </c>
      <c r="B26" t="s">
        <v>64</v>
      </c>
      <c r="C26">
        <v>2015</v>
      </c>
      <c r="D26">
        <v>27.776875669999999</v>
      </c>
      <c r="E26">
        <v>5435.6109999999999</v>
      </c>
      <c r="F26">
        <v>1.5098429093748399E-4</v>
      </c>
      <c r="G26" s="61">
        <f t="shared" si="0"/>
        <v>150984290.93748435</v>
      </c>
      <c r="H26" s="61">
        <f t="shared" si="1"/>
        <v>0.15098429093748436</v>
      </c>
    </row>
    <row r="27" spans="1:8" hidden="1" x14ac:dyDescent="0.3">
      <c r="A27" t="s">
        <v>58</v>
      </c>
      <c r="B27" t="s">
        <v>64</v>
      </c>
      <c r="C27">
        <v>2015</v>
      </c>
      <c r="D27">
        <v>30.724655179999999</v>
      </c>
      <c r="E27">
        <v>2071.1990000000001</v>
      </c>
      <c r="F27" s="8">
        <v>6.3636875084160799E-5</v>
      </c>
      <c r="G27" s="61">
        <f t="shared" si="0"/>
        <v>63636875.08416082</v>
      </c>
      <c r="H27" s="61">
        <f t="shared" si="1"/>
        <v>6.3636875084160813E-2</v>
      </c>
    </row>
    <row r="28" spans="1:8" hidden="1" x14ac:dyDescent="0.3">
      <c r="A28" t="s">
        <v>107</v>
      </c>
      <c r="B28" t="s">
        <v>65</v>
      </c>
      <c r="C28">
        <v>2015</v>
      </c>
      <c r="D28">
        <v>43.875352399999997</v>
      </c>
      <c r="E28">
        <v>8678.66</v>
      </c>
      <c r="F28">
        <v>3.8077926585978398E-4</v>
      </c>
      <c r="G28" s="61">
        <f t="shared" si="0"/>
        <v>380779265.85978395</v>
      </c>
      <c r="H28" s="61">
        <f t="shared" si="1"/>
        <v>0.38077926585978394</v>
      </c>
    </row>
    <row r="29" spans="1:8" hidden="1" x14ac:dyDescent="0.3">
      <c r="A29" t="s">
        <v>6</v>
      </c>
      <c r="B29" t="s">
        <v>65</v>
      </c>
      <c r="C29">
        <v>2015</v>
      </c>
      <c r="D29">
        <v>50.453166279999998</v>
      </c>
      <c r="E29">
        <v>11287.94</v>
      </c>
      <c r="F29">
        <v>5.6951231377866298E-4</v>
      </c>
      <c r="G29" s="61">
        <f t="shared" si="0"/>
        <v>569512313.77866316</v>
      </c>
      <c r="H29" s="61">
        <f t="shared" si="1"/>
        <v>0.56951231377866318</v>
      </c>
    </row>
    <row r="30" spans="1:8" hidden="1" x14ac:dyDescent="0.3">
      <c r="A30" t="s">
        <v>18</v>
      </c>
      <c r="B30" t="s">
        <v>65</v>
      </c>
      <c r="C30">
        <v>2015</v>
      </c>
      <c r="D30">
        <v>52.229549390000003</v>
      </c>
      <c r="E30">
        <v>5688.6949999999997</v>
      </c>
      <c r="F30">
        <v>2.9711797646714597E-4</v>
      </c>
      <c r="G30" s="61">
        <f t="shared" si="0"/>
        <v>297117976.4671461</v>
      </c>
      <c r="H30" s="61">
        <f t="shared" si="1"/>
        <v>0.29711797646714611</v>
      </c>
    </row>
    <row r="31" spans="1:8" hidden="1" x14ac:dyDescent="0.3">
      <c r="A31" t="s">
        <v>26</v>
      </c>
      <c r="B31" t="s">
        <v>65</v>
      </c>
      <c r="C31">
        <v>2015</v>
      </c>
      <c r="D31">
        <v>51.98065012</v>
      </c>
      <c r="E31">
        <v>5481.1220000000003</v>
      </c>
      <c r="F31">
        <v>2.84912284947035E-4</v>
      </c>
      <c r="G31" s="61">
        <f t="shared" si="0"/>
        <v>284912284.94703466</v>
      </c>
      <c r="H31" s="61">
        <f t="shared" si="1"/>
        <v>0.28491228494703463</v>
      </c>
    </row>
    <row r="32" spans="1:8" hidden="1" x14ac:dyDescent="0.3">
      <c r="A32" t="s">
        <v>28</v>
      </c>
      <c r="B32" t="s">
        <v>65</v>
      </c>
      <c r="C32">
        <v>2015</v>
      </c>
      <c r="D32">
        <v>41.615529160000001</v>
      </c>
      <c r="E32">
        <v>64453.2</v>
      </c>
      <c r="F32">
        <v>2.6822540240553101E-3</v>
      </c>
      <c r="G32" s="61">
        <f t="shared" si="0"/>
        <v>2682254024.0553122</v>
      </c>
      <c r="H32" s="61">
        <f t="shared" si="1"/>
        <v>2.6822540240553123</v>
      </c>
    </row>
    <row r="33" spans="1:11" hidden="1" x14ac:dyDescent="0.3">
      <c r="A33" t="s">
        <v>16</v>
      </c>
      <c r="B33" t="s">
        <v>65</v>
      </c>
      <c r="C33">
        <v>2015</v>
      </c>
      <c r="D33">
        <v>46.181243360000003</v>
      </c>
      <c r="E33">
        <v>81787.410999999993</v>
      </c>
      <c r="F33">
        <v>3.77704433117534E-3</v>
      </c>
      <c r="G33" s="61">
        <f t="shared" si="0"/>
        <v>3777044331.1753407</v>
      </c>
      <c r="H33" s="61">
        <f t="shared" si="1"/>
        <v>3.7770443311753406</v>
      </c>
    </row>
    <row r="34" spans="1:11" hidden="1" x14ac:dyDescent="0.3">
      <c r="A34" t="s">
        <v>22</v>
      </c>
      <c r="B34" t="s">
        <v>65</v>
      </c>
      <c r="C34">
        <v>2015</v>
      </c>
      <c r="D34">
        <v>33.766557480000003</v>
      </c>
      <c r="E34">
        <v>10659.75</v>
      </c>
      <c r="F34">
        <v>3.5994306109743E-4</v>
      </c>
      <c r="G34" s="61">
        <f t="shared" si="0"/>
        <v>359943061.09742999</v>
      </c>
      <c r="H34" s="61">
        <f t="shared" si="1"/>
        <v>0.35994306109743002</v>
      </c>
    </row>
    <row r="35" spans="1:11" hidden="1" x14ac:dyDescent="0.3">
      <c r="A35" t="s">
        <v>34</v>
      </c>
      <c r="B35" t="s">
        <v>65</v>
      </c>
      <c r="C35">
        <v>2015</v>
      </c>
      <c r="D35">
        <v>44.756159080000003</v>
      </c>
      <c r="E35">
        <v>4652.4250000000002</v>
      </c>
      <c r="F35">
        <v>2.0822467340776899E-4</v>
      </c>
      <c r="G35" s="61">
        <f t="shared" si="0"/>
        <v>208224673.40776902</v>
      </c>
      <c r="H35" s="61">
        <f t="shared" si="1"/>
        <v>0.20822467340776901</v>
      </c>
    </row>
    <row r="36" spans="1:11" hidden="1" x14ac:dyDescent="0.3">
      <c r="A36" t="s">
        <v>36</v>
      </c>
      <c r="B36" t="s">
        <v>65</v>
      </c>
      <c r="C36">
        <v>2015</v>
      </c>
      <c r="D36">
        <v>40.471145970000002</v>
      </c>
      <c r="E36">
        <v>60578.493999999999</v>
      </c>
      <c r="F36">
        <v>2.45168107331677E-3</v>
      </c>
      <c r="G36" s="61">
        <f t="shared" si="0"/>
        <v>2451681073.3167691</v>
      </c>
      <c r="H36" s="61">
        <f t="shared" si="1"/>
        <v>2.4516810733167693</v>
      </c>
    </row>
    <row r="37" spans="1:11" hidden="1" x14ac:dyDescent="0.3">
      <c r="A37" t="s">
        <v>40</v>
      </c>
      <c r="B37" t="s">
        <v>65</v>
      </c>
      <c r="C37">
        <v>2015</v>
      </c>
      <c r="D37">
        <v>48.011002490000003</v>
      </c>
      <c r="E37">
        <v>566.74099999999999</v>
      </c>
      <c r="F37" s="8">
        <v>2.7209803562185101E-5</v>
      </c>
      <c r="G37" s="61">
        <f t="shared" si="0"/>
        <v>27209803.56218509</v>
      </c>
      <c r="H37" s="61">
        <f t="shared" si="1"/>
        <v>2.7209803562185091E-2</v>
      </c>
    </row>
    <row r="38" spans="1:11" hidden="1" x14ac:dyDescent="0.3">
      <c r="A38" t="s">
        <v>46</v>
      </c>
      <c r="B38" t="s">
        <v>65</v>
      </c>
      <c r="C38">
        <v>2015</v>
      </c>
      <c r="D38">
        <v>50.657624060000003</v>
      </c>
      <c r="E38">
        <v>16938.499</v>
      </c>
      <c r="F38">
        <v>8.5806411448268599E-4</v>
      </c>
      <c r="G38" s="61">
        <f t="shared" si="0"/>
        <v>858064114.48268604</v>
      </c>
      <c r="H38" s="61">
        <f t="shared" si="1"/>
        <v>0.85806411448268605</v>
      </c>
    </row>
    <row r="39" spans="1:11" hidden="1" x14ac:dyDescent="0.3">
      <c r="A39" t="s">
        <v>52</v>
      </c>
      <c r="B39" t="s">
        <v>65</v>
      </c>
      <c r="C39">
        <v>2015</v>
      </c>
      <c r="D39">
        <v>40.466615640000001</v>
      </c>
      <c r="E39">
        <v>10368.351000000001</v>
      </c>
      <c r="F39">
        <v>4.1957207473760998E-4</v>
      </c>
      <c r="G39" s="61">
        <f t="shared" si="0"/>
        <v>419572074.73760968</v>
      </c>
      <c r="H39" s="61">
        <f t="shared" si="1"/>
        <v>0.41957207473760966</v>
      </c>
    </row>
    <row r="40" spans="1:11" hidden="1" x14ac:dyDescent="0.3">
      <c r="A40" t="s">
        <v>24</v>
      </c>
      <c r="B40" t="s">
        <v>65</v>
      </c>
      <c r="C40">
        <v>2015</v>
      </c>
      <c r="D40">
        <v>38.667902050000002</v>
      </c>
      <c r="E40">
        <v>46671.925999999999</v>
      </c>
      <c r="F40">
        <v>1.80470546305285E-3</v>
      </c>
      <c r="G40" s="61">
        <f t="shared" si="0"/>
        <v>1804705463.0528483</v>
      </c>
      <c r="H40" s="61">
        <f t="shared" si="1"/>
        <v>1.8047054630528483</v>
      </c>
    </row>
    <row r="41" spans="1:11" hidden="1" x14ac:dyDescent="0.3">
      <c r="A41" t="s">
        <v>56</v>
      </c>
      <c r="B41" t="s">
        <v>65</v>
      </c>
      <c r="C41">
        <v>2015</v>
      </c>
      <c r="D41">
        <v>48.401826479999997</v>
      </c>
      <c r="E41">
        <v>9764.9500000000007</v>
      </c>
      <c r="F41">
        <v>4.72641415485876E-4</v>
      </c>
      <c r="G41" s="61">
        <f t="shared" si="0"/>
        <v>472641415.48587602</v>
      </c>
      <c r="H41" s="61">
        <f t="shared" si="1"/>
        <v>0.47264141548587602</v>
      </c>
    </row>
    <row r="42" spans="1:11" hidden="1" x14ac:dyDescent="0.3">
      <c r="A42" t="s">
        <v>8</v>
      </c>
      <c r="B42" t="s">
        <v>64</v>
      </c>
      <c r="C42">
        <v>2020</v>
      </c>
      <c r="D42">
        <v>32.290181509999996</v>
      </c>
      <c r="E42">
        <v>6884.7930370000004</v>
      </c>
      <c r="F42">
        <v>2.22311216823514E-4</v>
      </c>
      <c r="G42" s="61">
        <f t="shared" si="0"/>
        <v>222311216.82351413</v>
      </c>
      <c r="H42" s="61">
        <f t="shared" si="1"/>
        <v>0.22231121682351412</v>
      </c>
    </row>
    <row r="43" spans="1:11" hidden="1" x14ac:dyDescent="0.3">
      <c r="A43" t="s">
        <v>30</v>
      </c>
      <c r="B43" t="s">
        <v>64</v>
      </c>
      <c r="C43">
        <v>2020</v>
      </c>
      <c r="D43">
        <v>31.59922199</v>
      </c>
      <c r="E43">
        <v>4077.9567120000002</v>
      </c>
      <c r="F43">
        <v>1.2886025940809899E-4</v>
      </c>
      <c r="G43" s="61">
        <f t="shared" si="0"/>
        <v>128860259.4080985</v>
      </c>
      <c r="H43" s="61">
        <f t="shared" si="1"/>
        <v>0.1288602594080985</v>
      </c>
    </row>
    <row r="44" spans="1:11" hidden="1" x14ac:dyDescent="0.3">
      <c r="A44" t="s">
        <v>12</v>
      </c>
      <c r="B44" t="s">
        <v>64</v>
      </c>
      <c r="C44">
        <v>2020</v>
      </c>
      <c r="D44">
        <v>61.968463989999996</v>
      </c>
      <c r="E44">
        <v>1211.7635330000001</v>
      </c>
      <c r="F44" s="8">
        <v>7.5091124859105697E-5</v>
      </c>
      <c r="G44" s="61">
        <f t="shared" si="0"/>
        <v>75091124.859105676</v>
      </c>
      <c r="H44" s="61">
        <f t="shared" si="1"/>
        <v>7.5091124859105671E-2</v>
      </c>
    </row>
    <row r="45" spans="1:11" hidden="1" x14ac:dyDescent="0.3">
      <c r="A45" t="s">
        <v>14</v>
      </c>
      <c r="B45" t="s">
        <v>64</v>
      </c>
      <c r="C45">
        <v>2020</v>
      </c>
      <c r="D45">
        <v>33.489564010000002</v>
      </c>
      <c r="E45">
        <v>10617.759050000001</v>
      </c>
      <c r="F45">
        <v>3.5558412134773198E-4</v>
      </c>
      <c r="G45" s="61">
        <f t="shared" si="0"/>
        <v>355584121.34773183</v>
      </c>
      <c r="H45" s="61">
        <f t="shared" si="1"/>
        <v>0.35558412134773182</v>
      </c>
      <c r="I45" s="61"/>
      <c r="J45" s="61"/>
      <c r="K45" s="61"/>
    </row>
    <row r="46" spans="1:11" hidden="1" x14ac:dyDescent="0.3">
      <c r="A46" t="s">
        <v>20</v>
      </c>
      <c r="B46" t="s">
        <v>64</v>
      </c>
      <c r="C46">
        <v>2020</v>
      </c>
      <c r="D46">
        <v>31.909537270000001</v>
      </c>
      <c r="E46">
        <v>1331.1859609999999</v>
      </c>
      <c r="F46" s="8">
        <v>4.2477528035830298E-5</v>
      </c>
      <c r="G46" s="61">
        <f t="shared" si="0"/>
        <v>42477528.035830259</v>
      </c>
      <c r="H46" s="61">
        <f t="shared" si="1"/>
        <v>4.2477528035830256E-2</v>
      </c>
    </row>
    <row r="47" spans="1:11" hidden="1" x14ac:dyDescent="0.3">
      <c r="A47" t="s">
        <v>32</v>
      </c>
      <c r="B47" t="s">
        <v>64</v>
      </c>
      <c r="C47">
        <v>2020</v>
      </c>
      <c r="D47">
        <v>32.710841840000001</v>
      </c>
      <c r="E47">
        <v>9691.8206399999999</v>
      </c>
      <c r="F47">
        <v>3.17027612096688E-4</v>
      </c>
      <c r="G47" s="61">
        <f t="shared" si="0"/>
        <v>317027612.09668761</v>
      </c>
      <c r="H47" s="61">
        <f t="shared" si="1"/>
        <v>0.31702761209668762</v>
      </c>
    </row>
    <row r="48" spans="1:11" hidden="1" x14ac:dyDescent="0.3">
      <c r="A48" t="s">
        <v>42</v>
      </c>
      <c r="B48" t="s">
        <v>64</v>
      </c>
      <c r="C48">
        <v>2020</v>
      </c>
      <c r="D48">
        <v>29.438187670000001</v>
      </c>
      <c r="E48">
        <v>1903.796834</v>
      </c>
      <c r="F48" s="8">
        <v>5.6044328484843798E-5</v>
      </c>
      <c r="G48" s="61">
        <f t="shared" si="0"/>
        <v>56044328.484843843</v>
      </c>
      <c r="H48" s="61">
        <f t="shared" si="1"/>
        <v>5.6044328484843843E-2</v>
      </c>
    </row>
    <row r="49" spans="1:8" hidden="1" x14ac:dyDescent="0.3">
      <c r="A49" t="s">
        <v>108</v>
      </c>
      <c r="B49" t="s">
        <v>64</v>
      </c>
      <c r="C49">
        <v>2020</v>
      </c>
      <c r="D49">
        <v>33.719186630000003</v>
      </c>
      <c r="E49">
        <v>2790.9583069999999</v>
      </c>
      <c r="F49" s="8">
        <v>9.4108844030281797E-5</v>
      </c>
      <c r="G49" s="61">
        <f t="shared" si="0"/>
        <v>94108844.030281842</v>
      </c>
      <c r="H49" s="61">
        <f t="shared" si="1"/>
        <v>9.4108844030281844E-2</v>
      </c>
    </row>
    <row r="50" spans="1:8" hidden="1" x14ac:dyDescent="0.3">
      <c r="A50" t="s">
        <v>44</v>
      </c>
      <c r="B50" t="s">
        <v>64</v>
      </c>
      <c r="C50">
        <v>2020</v>
      </c>
      <c r="D50">
        <v>40</v>
      </c>
      <c r="E50">
        <v>489.61556539999998</v>
      </c>
      <c r="F50" s="8">
        <v>1.9584622616E-5</v>
      </c>
      <c r="G50" s="61">
        <f t="shared" si="0"/>
        <v>19584622.616</v>
      </c>
      <c r="H50" s="61">
        <f t="shared" si="1"/>
        <v>1.9584622616E-2</v>
      </c>
    </row>
    <row r="51" spans="1:8" hidden="1" x14ac:dyDescent="0.3">
      <c r="A51" t="s">
        <v>50</v>
      </c>
      <c r="B51" t="s">
        <v>64</v>
      </c>
      <c r="C51">
        <v>2020</v>
      </c>
      <c r="D51">
        <v>27.76060691</v>
      </c>
      <c r="E51">
        <v>37939.370490000001</v>
      </c>
      <c r="F51">
        <v>1.0532199505857401E-3</v>
      </c>
      <c r="G51" s="61">
        <f t="shared" si="0"/>
        <v>1053219950.5857441</v>
      </c>
      <c r="H51" s="61">
        <f t="shared" si="1"/>
        <v>1.0532199505857442</v>
      </c>
    </row>
    <row r="52" spans="1:8" hidden="1" x14ac:dyDescent="0.3">
      <c r="A52" t="s">
        <v>54</v>
      </c>
      <c r="B52" t="s">
        <v>64</v>
      </c>
      <c r="C52">
        <v>2020</v>
      </c>
      <c r="D52">
        <v>23.825403550000001</v>
      </c>
      <c r="E52">
        <v>19456.35411</v>
      </c>
      <c r="F52">
        <v>4.6355548828245097E-4</v>
      </c>
      <c r="G52" s="61">
        <f t="shared" si="0"/>
        <v>463555488.28245109</v>
      </c>
      <c r="H52" s="61">
        <f t="shared" si="1"/>
        <v>0.46355548828245108</v>
      </c>
    </row>
    <row r="53" spans="1:8" hidden="1" x14ac:dyDescent="0.3">
      <c r="A53" t="s">
        <v>60</v>
      </c>
      <c r="B53" t="s">
        <v>64</v>
      </c>
      <c r="C53">
        <v>2020</v>
      </c>
      <c r="D53">
        <v>29.523036279999999</v>
      </c>
      <c r="E53">
        <v>5471.1211350000003</v>
      </c>
      <c r="F53">
        <v>1.6152410776087999E-4</v>
      </c>
      <c r="G53" s="61">
        <f t="shared" si="0"/>
        <v>161524107.76087978</v>
      </c>
      <c r="H53" s="61">
        <f t="shared" si="1"/>
        <v>0.16152410776087978</v>
      </c>
    </row>
    <row r="54" spans="1:8" hidden="1" x14ac:dyDescent="0.3">
      <c r="A54" t="s">
        <v>58</v>
      </c>
      <c r="B54" t="s">
        <v>64</v>
      </c>
      <c r="C54">
        <v>2020</v>
      </c>
      <c r="D54">
        <v>32.049704439999999</v>
      </c>
      <c r="E54">
        <v>2111.188005</v>
      </c>
      <c r="F54" s="8">
        <v>6.7662951577523203E-5</v>
      </c>
      <c r="G54" s="61">
        <f t="shared" si="0"/>
        <v>67662951.577523246</v>
      </c>
      <c r="H54" s="61">
        <f t="shared" si="1"/>
        <v>6.766295157752325E-2</v>
      </c>
    </row>
    <row r="55" spans="1:8" hidden="1" x14ac:dyDescent="0.3">
      <c r="A55" t="s">
        <v>107</v>
      </c>
      <c r="B55" t="s">
        <v>65</v>
      </c>
      <c r="C55">
        <v>2020</v>
      </c>
      <c r="D55">
        <v>43.875352399999997</v>
      </c>
      <c r="E55">
        <v>8998.6184030000004</v>
      </c>
      <c r="F55">
        <v>3.9481755354475002E-4</v>
      </c>
      <c r="G55" s="61">
        <f t="shared" si="0"/>
        <v>394817553.54475021</v>
      </c>
      <c r="H55" s="61">
        <f t="shared" si="1"/>
        <v>0.39481755354475023</v>
      </c>
    </row>
    <row r="56" spans="1:8" hidden="1" x14ac:dyDescent="0.3">
      <c r="A56" t="s">
        <v>6</v>
      </c>
      <c r="B56" t="s">
        <v>65</v>
      </c>
      <c r="C56">
        <v>2020</v>
      </c>
      <c r="D56">
        <v>49.931318259999998</v>
      </c>
      <c r="E56">
        <v>11616.76082</v>
      </c>
      <c r="F56">
        <v>5.8004018165371798E-4</v>
      </c>
      <c r="G56" s="61">
        <f t="shared" si="0"/>
        <v>580040181.65371847</v>
      </c>
      <c r="H56" s="61">
        <f t="shared" si="1"/>
        <v>0.58004018165371851</v>
      </c>
    </row>
    <row r="57" spans="1:8" hidden="1" x14ac:dyDescent="0.3">
      <c r="A57" t="s">
        <v>18</v>
      </c>
      <c r="B57" t="s">
        <v>65</v>
      </c>
      <c r="C57">
        <v>2020</v>
      </c>
      <c r="D57">
        <v>52.801513579999998</v>
      </c>
      <c r="E57">
        <v>5836.0513110000002</v>
      </c>
      <c r="F57">
        <v>3.0815234255134299E-4</v>
      </c>
      <c r="G57" s="61">
        <f t="shared" si="0"/>
        <v>308152342.55134332</v>
      </c>
      <c r="H57" s="61">
        <f t="shared" si="1"/>
        <v>0.30815234255134333</v>
      </c>
    </row>
    <row r="58" spans="1:8" hidden="1" x14ac:dyDescent="0.3">
      <c r="A58" t="s">
        <v>26</v>
      </c>
      <c r="B58" t="s">
        <v>65</v>
      </c>
      <c r="C58">
        <v>2020</v>
      </c>
      <c r="D58">
        <v>51.98065012</v>
      </c>
      <c r="E58">
        <v>5534.7281579999999</v>
      </c>
      <c r="F58">
        <v>2.8769876789031001E-4</v>
      </c>
      <c r="G58" s="61">
        <f t="shared" si="0"/>
        <v>287698767.89031011</v>
      </c>
      <c r="H58" s="61">
        <f t="shared" si="1"/>
        <v>0.28769876789031013</v>
      </c>
    </row>
    <row r="59" spans="1:8" hidden="1" x14ac:dyDescent="0.3">
      <c r="A59" t="s">
        <v>28</v>
      </c>
      <c r="B59" t="s">
        <v>65</v>
      </c>
      <c r="C59">
        <v>2020</v>
      </c>
      <c r="D59">
        <v>41.725351830000001</v>
      </c>
      <c r="E59">
        <v>65204.339489999998</v>
      </c>
      <c r="F59">
        <v>2.7206740060630101E-3</v>
      </c>
      <c r="G59" s="61">
        <f t="shared" si="0"/>
        <v>2720674006.0630131</v>
      </c>
      <c r="H59" s="61">
        <f t="shared" si="1"/>
        <v>2.720674006063013</v>
      </c>
    </row>
    <row r="60" spans="1:8" hidden="1" x14ac:dyDescent="0.3">
      <c r="A60" t="s">
        <v>16</v>
      </c>
      <c r="B60" t="s">
        <v>65</v>
      </c>
      <c r="C60">
        <v>2020</v>
      </c>
      <c r="D60">
        <v>45.4</v>
      </c>
      <c r="E60">
        <v>83084.614220000003</v>
      </c>
      <c r="F60">
        <v>3.7720414855880002E-3</v>
      </c>
      <c r="G60" s="61">
        <f t="shared" si="0"/>
        <v>3772041485.5880003</v>
      </c>
      <c r="H60" s="61">
        <f t="shared" si="1"/>
        <v>3.7720414855880002</v>
      </c>
    </row>
    <row r="61" spans="1:8" hidden="1" x14ac:dyDescent="0.3">
      <c r="A61" t="s">
        <v>22</v>
      </c>
      <c r="B61" t="s">
        <v>65</v>
      </c>
      <c r="C61">
        <v>2020</v>
      </c>
      <c r="D61">
        <v>34.776447169999997</v>
      </c>
      <c r="E61">
        <v>10371.45693</v>
      </c>
      <c r="F61">
        <v>3.6068242400207501E-4</v>
      </c>
      <c r="G61" s="61">
        <f t="shared" si="0"/>
        <v>360682424.00207537</v>
      </c>
      <c r="H61" s="61">
        <f t="shared" si="1"/>
        <v>0.3606824240020754</v>
      </c>
    </row>
    <row r="62" spans="1:8" hidden="1" x14ac:dyDescent="0.3">
      <c r="A62" t="s">
        <v>34</v>
      </c>
      <c r="B62" t="s">
        <v>65</v>
      </c>
      <c r="C62">
        <v>2020</v>
      </c>
      <c r="D62">
        <v>44.756159080000003</v>
      </c>
      <c r="E62">
        <v>4936.5599869999996</v>
      </c>
      <c r="F62">
        <v>2.20941464086135E-4</v>
      </c>
      <c r="G62" s="61">
        <f t="shared" si="0"/>
        <v>220941464.08613473</v>
      </c>
      <c r="H62" s="61">
        <f t="shared" si="1"/>
        <v>0.22094146408613474</v>
      </c>
    </row>
    <row r="63" spans="1:8" hidden="1" x14ac:dyDescent="0.3">
      <c r="A63" t="s">
        <v>36</v>
      </c>
      <c r="B63" t="s">
        <v>65</v>
      </c>
      <c r="C63">
        <v>2020</v>
      </c>
      <c r="D63">
        <v>41.806794410000002</v>
      </c>
      <c r="E63">
        <v>59917.590989999997</v>
      </c>
      <c r="F63">
        <v>2.5049624080614001E-3</v>
      </c>
      <c r="G63" s="61">
        <f t="shared" si="0"/>
        <v>2504962408.061398</v>
      </c>
      <c r="H63" s="61">
        <f t="shared" si="1"/>
        <v>2.5049624080613979</v>
      </c>
    </row>
    <row r="64" spans="1:8" hidden="1" x14ac:dyDescent="0.3">
      <c r="A64" t="s">
        <v>40</v>
      </c>
      <c r="B64" t="s">
        <v>65</v>
      </c>
      <c r="C64">
        <v>2020</v>
      </c>
      <c r="D64">
        <v>48.011002490000003</v>
      </c>
      <c r="E64">
        <v>630.54681170000003</v>
      </c>
      <c r="F64" s="8">
        <v>3.02731845465903E-5</v>
      </c>
      <c r="G64" s="61">
        <f t="shared" si="0"/>
        <v>30273184.546590265</v>
      </c>
      <c r="H64" s="61">
        <f t="shared" si="1"/>
        <v>3.0273184546590264E-2</v>
      </c>
    </row>
    <row r="65" spans="1:8" hidden="1" x14ac:dyDescent="0.3">
      <c r="A65" t="s">
        <v>46</v>
      </c>
      <c r="B65" t="s">
        <v>65</v>
      </c>
      <c r="C65">
        <v>2020</v>
      </c>
      <c r="D65">
        <v>50.657624060000003</v>
      </c>
      <c r="E65">
        <v>17339.565429999999</v>
      </c>
      <c r="F65">
        <v>8.7838118691671205E-4</v>
      </c>
      <c r="G65" s="61">
        <f t="shared" si="0"/>
        <v>878381186.91671216</v>
      </c>
      <c r="H65" s="61">
        <f t="shared" si="1"/>
        <v>0.87838118691671219</v>
      </c>
    </row>
    <row r="66" spans="1:8" hidden="1" x14ac:dyDescent="0.3">
      <c r="A66" t="s">
        <v>52</v>
      </c>
      <c r="B66" t="s">
        <v>65</v>
      </c>
      <c r="C66">
        <v>2020</v>
      </c>
      <c r="D66">
        <v>40.466615640000001</v>
      </c>
      <c r="E66">
        <v>10284.6618</v>
      </c>
      <c r="F66">
        <v>4.16185456047991E-4</v>
      </c>
      <c r="G66" s="61">
        <f t="shared" si="0"/>
        <v>416185456.04799056</v>
      </c>
      <c r="H66" s="61">
        <f t="shared" si="1"/>
        <v>0.41618545604799057</v>
      </c>
    </row>
    <row r="67" spans="1:8" hidden="1" x14ac:dyDescent="0.3">
      <c r="A67" t="s">
        <v>24</v>
      </c>
      <c r="B67" t="s">
        <v>65</v>
      </c>
      <c r="C67">
        <v>2020</v>
      </c>
      <c r="D67">
        <v>39.192243099999999</v>
      </c>
      <c r="E67">
        <v>47573.396999999997</v>
      </c>
      <c r="F67">
        <v>1.86450814031681E-3</v>
      </c>
      <c r="G67" s="61">
        <f t="shared" si="0"/>
        <v>1864508140.3168104</v>
      </c>
      <c r="H67" s="61">
        <f t="shared" si="1"/>
        <v>1.8645081403168104</v>
      </c>
    </row>
    <row r="68" spans="1:8" hidden="1" x14ac:dyDescent="0.3">
      <c r="A68" t="s">
        <v>56</v>
      </c>
      <c r="B68" t="s">
        <v>65</v>
      </c>
      <c r="C68">
        <v>2020</v>
      </c>
      <c r="D68">
        <v>47.005343979999999</v>
      </c>
      <c r="E68">
        <v>10286.3087</v>
      </c>
      <c r="F68">
        <v>4.8351147872796699E-4</v>
      </c>
      <c r="G68" s="61">
        <f t="shared" si="0"/>
        <v>483511478.72796661</v>
      </c>
      <c r="H68" s="61">
        <f t="shared" si="1"/>
        <v>0.48351147872796663</v>
      </c>
    </row>
    <row r="69" spans="1:8" hidden="1" x14ac:dyDescent="0.3">
      <c r="A69" t="s">
        <v>8</v>
      </c>
      <c r="B69" t="s">
        <v>64</v>
      </c>
      <c r="C69">
        <v>2050</v>
      </c>
      <c r="D69">
        <v>40</v>
      </c>
      <c r="E69">
        <v>5450.9012869999997</v>
      </c>
      <c r="F69">
        <v>2.1803605147999999E-4</v>
      </c>
      <c r="G69" s="61">
        <f t="shared" si="0"/>
        <v>218036051.47999999</v>
      </c>
      <c r="H69" s="61">
        <f t="shared" si="1"/>
        <v>0.21803605147999999</v>
      </c>
    </row>
    <row r="70" spans="1:8" hidden="1" x14ac:dyDescent="0.3">
      <c r="A70" t="s">
        <v>30</v>
      </c>
      <c r="B70" t="s">
        <v>64</v>
      </c>
      <c r="C70">
        <v>2050</v>
      </c>
      <c r="D70">
        <v>40</v>
      </c>
      <c r="E70">
        <v>3358.9859240000001</v>
      </c>
      <c r="F70">
        <v>1.3435943695999999E-4</v>
      </c>
      <c r="G70" s="61">
        <f t="shared" si="0"/>
        <v>134359436.95999998</v>
      </c>
      <c r="H70" s="61">
        <f t="shared" si="1"/>
        <v>0.13435943695999997</v>
      </c>
    </row>
    <row r="71" spans="1:8" hidden="1" x14ac:dyDescent="0.3">
      <c r="A71" t="s">
        <v>12</v>
      </c>
      <c r="B71" t="s">
        <v>64</v>
      </c>
      <c r="C71">
        <v>2050</v>
      </c>
      <c r="D71">
        <v>61.968463989999996</v>
      </c>
      <c r="E71">
        <v>1396.2039030000001</v>
      </c>
      <c r="F71" s="8">
        <v>8.6520611285753005E-5</v>
      </c>
      <c r="G71" s="61">
        <f t="shared" si="0"/>
        <v>86520611.285752952</v>
      </c>
      <c r="H71" s="61">
        <f t="shared" si="1"/>
        <v>8.6520611285752946E-2</v>
      </c>
    </row>
    <row r="72" spans="1:8" hidden="1" x14ac:dyDescent="0.3">
      <c r="A72" t="s">
        <v>14</v>
      </c>
      <c r="B72" t="s">
        <v>64</v>
      </c>
      <c r="C72">
        <v>2050</v>
      </c>
      <c r="D72">
        <v>40</v>
      </c>
      <c r="E72">
        <v>10323.65826</v>
      </c>
      <c r="F72">
        <v>4.1294633039999998E-4</v>
      </c>
      <c r="G72" s="61">
        <f t="shared" si="0"/>
        <v>412946330.39999998</v>
      </c>
      <c r="H72" s="61">
        <f t="shared" si="1"/>
        <v>0.41294633039999995</v>
      </c>
    </row>
    <row r="73" spans="1:8" hidden="1" x14ac:dyDescent="0.3">
      <c r="A73" t="s">
        <v>20</v>
      </c>
      <c r="B73" t="s">
        <v>64</v>
      </c>
      <c r="C73">
        <v>2050</v>
      </c>
      <c r="D73">
        <v>40</v>
      </c>
      <c r="E73">
        <v>1215.9486059999999</v>
      </c>
      <c r="F73" s="8">
        <v>4.863794424E-5</v>
      </c>
      <c r="G73" s="61">
        <f t="shared" si="0"/>
        <v>48637944.239999995</v>
      </c>
      <c r="H73" s="61">
        <f t="shared" si="1"/>
        <v>4.8637944239999995E-2</v>
      </c>
    </row>
    <row r="74" spans="1:8" hidden="1" x14ac:dyDescent="0.3">
      <c r="A74" t="s">
        <v>32</v>
      </c>
      <c r="B74" t="s">
        <v>64</v>
      </c>
      <c r="C74">
        <v>2050</v>
      </c>
      <c r="D74">
        <v>40</v>
      </c>
      <c r="E74">
        <v>8572.9690890000002</v>
      </c>
      <c r="F74">
        <v>3.4291876356E-4</v>
      </c>
      <c r="G74" s="61">
        <f t="shared" si="0"/>
        <v>342918763.56</v>
      </c>
      <c r="H74" s="61">
        <f t="shared" si="1"/>
        <v>0.34291876356000001</v>
      </c>
    </row>
    <row r="75" spans="1:8" hidden="1" x14ac:dyDescent="0.3">
      <c r="A75" t="s">
        <v>42</v>
      </c>
      <c r="B75" t="s">
        <v>64</v>
      </c>
      <c r="C75">
        <v>2050</v>
      </c>
      <c r="D75">
        <v>40</v>
      </c>
      <c r="E75">
        <v>1447.0641109999999</v>
      </c>
      <c r="F75" s="8">
        <v>5.7882564440000001E-5</v>
      </c>
      <c r="G75" s="61">
        <f t="shared" si="0"/>
        <v>57882564.439999998</v>
      </c>
      <c r="H75" s="61">
        <f t="shared" si="1"/>
        <v>5.7882564439999999E-2</v>
      </c>
    </row>
    <row r="76" spans="1:8" hidden="1" x14ac:dyDescent="0.3">
      <c r="A76" t="s">
        <v>108</v>
      </c>
      <c r="B76" t="s">
        <v>64</v>
      </c>
      <c r="C76">
        <v>2050</v>
      </c>
      <c r="D76">
        <v>40</v>
      </c>
      <c r="E76">
        <v>2097.289675</v>
      </c>
      <c r="F76" s="8">
        <v>8.3891586999999999E-5</v>
      </c>
      <c r="G76" s="61">
        <f t="shared" si="0"/>
        <v>83891587</v>
      </c>
      <c r="H76" s="61">
        <f t="shared" si="1"/>
        <v>8.3891587000000004E-2</v>
      </c>
    </row>
    <row r="77" spans="1:8" hidden="1" x14ac:dyDescent="0.3">
      <c r="A77" t="s">
        <v>44</v>
      </c>
      <c r="B77" t="s">
        <v>64</v>
      </c>
      <c r="C77">
        <v>2050</v>
      </c>
      <c r="D77">
        <v>40</v>
      </c>
      <c r="E77">
        <v>494.64925149999999</v>
      </c>
      <c r="F77" s="8">
        <v>1.978597006E-5</v>
      </c>
      <c r="G77" s="61">
        <f t="shared" si="0"/>
        <v>19785970.059999999</v>
      </c>
      <c r="H77" s="61">
        <f t="shared" si="1"/>
        <v>1.9785970059999998E-2</v>
      </c>
    </row>
    <row r="78" spans="1:8" hidden="1" x14ac:dyDescent="0.3">
      <c r="A78" t="s">
        <v>50</v>
      </c>
      <c r="B78" t="s">
        <v>64</v>
      </c>
      <c r="C78">
        <v>2050</v>
      </c>
      <c r="D78">
        <v>40</v>
      </c>
      <c r="E78">
        <v>34607.455629999997</v>
      </c>
      <c r="F78">
        <v>1.3842982252000001E-3</v>
      </c>
      <c r="G78" s="61">
        <f t="shared" si="0"/>
        <v>1384298225.1999998</v>
      </c>
      <c r="H78" s="61">
        <f t="shared" si="1"/>
        <v>1.3842982251999998</v>
      </c>
    </row>
    <row r="79" spans="1:8" hidden="1" x14ac:dyDescent="0.3">
      <c r="A79" t="s">
        <v>54</v>
      </c>
      <c r="B79" t="s">
        <v>64</v>
      </c>
      <c r="C79">
        <v>2050</v>
      </c>
      <c r="D79">
        <v>40</v>
      </c>
      <c r="E79">
        <v>15909.42468</v>
      </c>
      <c r="F79">
        <v>6.3637698720000004E-4</v>
      </c>
      <c r="G79" s="61">
        <f t="shared" si="0"/>
        <v>636376987.19999993</v>
      </c>
      <c r="H79" s="61">
        <f t="shared" si="1"/>
        <v>0.63637698719999991</v>
      </c>
    </row>
    <row r="80" spans="1:8" hidden="1" x14ac:dyDescent="0.3">
      <c r="A80" t="s">
        <v>60</v>
      </c>
      <c r="B80" t="s">
        <v>64</v>
      </c>
      <c r="C80">
        <v>2050</v>
      </c>
      <c r="D80">
        <v>40</v>
      </c>
      <c r="E80">
        <v>5192.0956029999998</v>
      </c>
      <c r="F80">
        <v>2.0768382412000001E-4</v>
      </c>
      <c r="G80" s="61">
        <f t="shared" ref="G80:G95" si="2">D80*E80 * 1000</f>
        <v>207683824.12</v>
      </c>
      <c r="H80" s="61">
        <f t="shared" ref="H80:H95" si="3">G80/1000000000</f>
        <v>0.20768382412</v>
      </c>
    </row>
    <row r="81" spans="1:8" hidden="1" x14ac:dyDescent="0.3">
      <c r="A81" t="s">
        <v>58</v>
      </c>
      <c r="B81" t="s">
        <v>64</v>
      </c>
      <c r="C81">
        <v>2050</v>
      </c>
      <c r="D81">
        <v>40</v>
      </c>
      <c r="E81">
        <v>2037.616616</v>
      </c>
      <c r="F81" s="8">
        <v>8.1504664640000003E-5</v>
      </c>
      <c r="G81" s="61">
        <f t="shared" si="2"/>
        <v>81504664.640000001</v>
      </c>
      <c r="H81" s="61">
        <f t="shared" si="3"/>
        <v>8.1504664640000002E-2</v>
      </c>
    </row>
    <row r="82" spans="1:8" hidden="1" x14ac:dyDescent="0.3">
      <c r="A82" t="s">
        <v>107</v>
      </c>
      <c r="B82" t="s">
        <v>65</v>
      </c>
      <c r="C82">
        <v>2050</v>
      </c>
      <c r="D82">
        <v>43.875352399999997</v>
      </c>
      <c r="E82">
        <v>9367.4646040000007</v>
      </c>
      <c r="F82">
        <v>4.1100081059502601E-4</v>
      </c>
      <c r="G82" s="61">
        <f t="shared" si="2"/>
        <v>411000810.59502649</v>
      </c>
      <c r="H82" s="61">
        <f t="shared" si="3"/>
        <v>0.41100081059502647</v>
      </c>
    </row>
    <row r="83" spans="1:8" hidden="1" x14ac:dyDescent="0.3">
      <c r="A83" t="s">
        <v>6</v>
      </c>
      <c r="B83" t="s">
        <v>65</v>
      </c>
      <c r="C83">
        <v>2050</v>
      </c>
      <c r="D83">
        <v>51.052594829999997</v>
      </c>
      <c r="E83">
        <v>12423.40676</v>
      </c>
      <c r="F83">
        <v>6.3424715172656296E-4</v>
      </c>
      <c r="G83" s="61">
        <f t="shared" si="2"/>
        <v>634247151.72656298</v>
      </c>
      <c r="H83" s="61">
        <f t="shared" si="3"/>
        <v>0.63424715172656299</v>
      </c>
    </row>
    <row r="84" spans="1:8" hidden="1" x14ac:dyDescent="0.3">
      <c r="A84" t="s">
        <v>18</v>
      </c>
      <c r="B84" t="s">
        <v>65</v>
      </c>
      <c r="C84">
        <v>2050</v>
      </c>
      <c r="D84">
        <v>52.682431139999998</v>
      </c>
      <c r="E84">
        <v>6197.1354359999996</v>
      </c>
      <c r="F84">
        <v>3.2648016087232401E-4</v>
      </c>
      <c r="G84" s="61">
        <f t="shared" si="2"/>
        <v>326480160.87232387</v>
      </c>
      <c r="H84" s="61">
        <f t="shared" si="3"/>
        <v>0.32648016087232384</v>
      </c>
    </row>
    <row r="85" spans="1:8" hidden="1" x14ac:dyDescent="0.3">
      <c r="A85" t="s">
        <v>26</v>
      </c>
      <c r="B85" t="s">
        <v>65</v>
      </c>
      <c r="C85">
        <v>2050</v>
      </c>
      <c r="D85">
        <v>51.98065012</v>
      </c>
      <c r="E85">
        <v>5481.6178520000003</v>
      </c>
      <c r="F85">
        <v>2.8493805965635802E-4</v>
      </c>
      <c r="G85" s="61">
        <f t="shared" si="2"/>
        <v>284938059.656358</v>
      </c>
      <c r="H85" s="61">
        <f t="shared" si="3"/>
        <v>0.28493805965635799</v>
      </c>
    </row>
    <row r="86" spans="1:8" hidden="1" x14ac:dyDescent="0.3">
      <c r="A86" t="s">
        <v>28</v>
      </c>
      <c r="B86" t="s">
        <v>65</v>
      </c>
      <c r="C86">
        <v>2050</v>
      </c>
      <c r="D86">
        <v>39.471589440000002</v>
      </c>
      <c r="E86">
        <v>69400.201780000003</v>
      </c>
      <c r="F86">
        <v>2.73933627171332E-3</v>
      </c>
      <c r="G86" s="61">
        <f t="shared" si="2"/>
        <v>2739336271.7133174</v>
      </c>
      <c r="H86" s="61">
        <f t="shared" si="3"/>
        <v>2.7393362717133174</v>
      </c>
    </row>
    <row r="87" spans="1:8" hidden="1" x14ac:dyDescent="0.3">
      <c r="A87" t="s">
        <v>16</v>
      </c>
      <c r="B87" t="s">
        <v>65</v>
      </c>
      <c r="C87">
        <v>2050</v>
      </c>
      <c r="D87">
        <v>41.2</v>
      </c>
      <c r="E87">
        <v>80783.175359999994</v>
      </c>
      <c r="F87">
        <v>3.3282668248319999E-3</v>
      </c>
      <c r="G87" s="61">
        <f t="shared" si="2"/>
        <v>3328266824.8319998</v>
      </c>
      <c r="H87" s="61">
        <f t="shared" si="3"/>
        <v>3.3282668248319998</v>
      </c>
    </row>
    <row r="88" spans="1:8" hidden="1" x14ac:dyDescent="0.3">
      <c r="A88" t="s">
        <v>22</v>
      </c>
      <c r="B88" t="s">
        <v>65</v>
      </c>
      <c r="C88">
        <v>2050</v>
      </c>
      <c r="D88">
        <v>40.297795360000002</v>
      </c>
      <c r="E88">
        <v>9617.7118900000005</v>
      </c>
      <c r="F88">
        <v>3.87572585574659E-4</v>
      </c>
      <c r="G88" s="61">
        <f t="shared" si="2"/>
        <v>387572585.57465887</v>
      </c>
      <c r="H88" s="61">
        <f t="shared" si="3"/>
        <v>0.38757258557465885</v>
      </c>
    </row>
    <row r="89" spans="1:8" hidden="1" x14ac:dyDescent="0.3">
      <c r="A89" t="s">
        <v>34</v>
      </c>
      <c r="B89" t="s">
        <v>65</v>
      </c>
      <c r="C89">
        <v>2050</v>
      </c>
      <c r="D89">
        <v>44.756159080000003</v>
      </c>
      <c r="E89">
        <v>5936.1754060000003</v>
      </c>
      <c r="F89">
        <v>2.6568041079772002E-4</v>
      </c>
      <c r="G89" s="61">
        <f t="shared" si="2"/>
        <v>265680410.7977196</v>
      </c>
      <c r="H89" s="61">
        <f t="shared" si="3"/>
        <v>0.26568041079771959</v>
      </c>
    </row>
    <row r="90" spans="1:8" hidden="1" x14ac:dyDescent="0.3">
      <c r="A90" t="s">
        <v>36</v>
      </c>
      <c r="B90" t="s">
        <v>65</v>
      </c>
      <c r="C90">
        <v>2050</v>
      </c>
      <c r="D90">
        <v>43.147480569999999</v>
      </c>
      <c r="E90">
        <v>56144.07834</v>
      </c>
      <c r="F90">
        <v>2.42247552929571E-3</v>
      </c>
      <c r="G90" s="61">
        <f t="shared" si="2"/>
        <v>2422475529.2957077</v>
      </c>
      <c r="H90" s="61">
        <f t="shared" si="3"/>
        <v>2.4224755292957076</v>
      </c>
    </row>
    <row r="91" spans="1:8" hidden="1" x14ac:dyDescent="0.3">
      <c r="A91" t="s">
        <v>40</v>
      </c>
      <c r="B91" t="s">
        <v>65</v>
      </c>
      <c r="C91">
        <v>2050</v>
      </c>
      <c r="D91">
        <v>48.011002490000003</v>
      </c>
      <c r="E91">
        <v>763.0491432</v>
      </c>
      <c r="F91" s="8">
        <v>3.6634754314167601E-5</v>
      </c>
      <c r="G91" s="61">
        <f t="shared" si="2"/>
        <v>36634754.314167574</v>
      </c>
      <c r="H91" s="61">
        <f t="shared" si="3"/>
        <v>3.6634754314167572E-2</v>
      </c>
    </row>
    <row r="92" spans="1:8" hidden="1" x14ac:dyDescent="0.3">
      <c r="A92" t="s">
        <v>46</v>
      </c>
      <c r="B92" t="s">
        <v>65</v>
      </c>
      <c r="C92">
        <v>2050</v>
      </c>
      <c r="D92">
        <v>50.657624060000003</v>
      </c>
      <c r="E92">
        <v>17799.621500000001</v>
      </c>
      <c r="F92">
        <v>9.0168653435729296E-4</v>
      </c>
      <c r="G92" s="61">
        <f t="shared" si="2"/>
        <v>901686534.35729337</v>
      </c>
      <c r="H92" s="61">
        <f t="shared" si="3"/>
        <v>0.9016865343572934</v>
      </c>
    </row>
    <row r="93" spans="1:8" hidden="1" x14ac:dyDescent="0.3">
      <c r="A93" t="s">
        <v>52</v>
      </c>
      <c r="B93" t="s">
        <v>65</v>
      </c>
      <c r="C93">
        <v>2050</v>
      </c>
      <c r="D93">
        <v>40.466615640000001</v>
      </c>
      <c r="E93">
        <v>9638.2453430000005</v>
      </c>
      <c r="F93">
        <v>3.9002716973920098E-4</v>
      </c>
      <c r="G93" s="61">
        <f t="shared" si="2"/>
        <v>390027169.73920095</v>
      </c>
      <c r="H93" s="61">
        <f t="shared" si="3"/>
        <v>0.39002716973920093</v>
      </c>
    </row>
    <row r="94" spans="1:8" hidden="1" x14ac:dyDescent="0.3">
      <c r="A94" t="s">
        <v>24</v>
      </c>
      <c r="B94" t="s">
        <v>65</v>
      </c>
      <c r="C94">
        <v>2050</v>
      </c>
      <c r="D94">
        <v>40.900770850000001</v>
      </c>
      <c r="E94">
        <v>49658.404369999997</v>
      </c>
      <c r="F94">
        <v>2.0310670179140098E-3</v>
      </c>
      <c r="G94" s="61">
        <f t="shared" si="2"/>
        <v>2031067017.9140086</v>
      </c>
      <c r="H94" s="61">
        <f t="shared" si="3"/>
        <v>2.0310670179140087</v>
      </c>
    </row>
    <row r="95" spans="1:8" hidden="1" x14ac:dyDescent="0.3">
      <c r="A95" t="s">
        <v>56</v>
      </c>
      <c r="B95" t="s">
        <v>65</v>
      </c>
      <c r="C95">
        <v>2050</v>
      </c>
      <c r="D95">
        <v>47.443468840000001</v>
      </c>
      <c r="E95">
        <v>11663.135840000001</v>
      </c>
      <c r="F95">
        <v>5.5333962180172699E-4</v>
      </c>
      <c r="G95" s="61">
        <f t="shared" si="2"/>
        <v>553339621.80172729</v>
      </c>
      <c r="H95" s="61">
        <f t="shared" si="3"/>
        <v>0.55333962180172724</v>
      </c>
    </row>
    <row r="98" spans="1:22" s="60" customFormat="1" x14ac:dyDescent="0.3">
      <c r="A98" s="60" t="s">
        <v>222</v>
      </c>
    </row>
    <row r="99" spans="1:22" x14ac:dyDescent="0.3">
      <c r="A99" t="s">
        <v>66</v>
      </c>
      <c r="C99">
        <v>2015</v>
      </c>
      <c r="D99">
        <v>2020</v>
      </c>
      <c r="E99" s="61">
        <v>2050</v>
      </c>
      <c r="F99" s="61" t="s">
        <v>109</v>
      </c>
      <c r="G99" s="61"/>
      <c r="H99" s="61"/>
      <c r="I99" s="61"/>
      <c r="J99" s="61"/>
      <c r="K99" s="61"/>
      <c r="L99" s="61"/>
    </row>
    <row r="100" spans="1:22" x14ac:dyDescent="0.3">
      <c r="A100" t="s">
        <v>64</v>
      </c>
      <c r="C100">
        <f>SUM(H15:H27)</f>
        <v>2.897020479505664</v>
      </c>
      <c r="D100">
        <f>SUM(H42:H54)</f>
        <v>3.0570521559086918</v>
      </c>
      <c r="E100">
        <f>SUM(H69:H81)</f>
        <v>3.7148429605857531</v>
      </c>
      <c r="F100" t="s">
        <v>110</v>
      </c>
    </row>
    <row r="101" spans="1:22" x14ac:dyDescent="0.3">
      <c r="A101" t="s">
        <v>65</v>
      </c>
      <c r="C101">
        <f>SUM(H28:H41)</f>
        <v>14.593661875426452</v>
      </c>
      <c r="D101">
        <f>SUM(H55:H67)</f>
        <v>14.339358601268849</v>
      </c>
      <c r="E101">
        <f>SUM(H82:H95)</f>
        <v>14.712752903190074</v>
      </c>
      <c r="F101" t="s">
        <v>110</v>
      </c>
    </row>
    <row r="104" spans="1:22" s="60" customFormat="1" x14ac:dyDescent="0.3">
      <c r="A104" s="60" t="s">
        <v>219</v>
      </c>
    </row>
    <row r="105" spans="1:22" ht="31.2" customHeight="1" x14ac:dyDescent="0.3">
      <c r="A105" s="12" t="s">
        <v>151</v>
      </c>
      <c r="B105">
        <v>2015</v>
      </c>
      <c r="C105">
        <v>2020</v>
      </c>
      <c r="D105">
        <v>2050</v>
      </c>
      <c r="E105" s="64" t="s">
        <v>189</v>
      </c>
      <c r="F105" s="64"/>
      <c r="G105" s="58" t="s">
        <v>181</v>
      </c>
      <c r="H105" s="58"/>
      <c r="I105" s="12" t="s">
        <v>224</v>
      </c>
      <c r="N105">
        <v>0</v>
      </c>
      <c r="O105">
        <v>1</v>
      </c>
      <c r="P105">
        <v>2</v>
      </c>
      <c r="Q105">
        <v>3</v>
      </c>
      <c r="R105">
        <v>4</v>
      </c>
      <c r="S105">
        <v>5</v>
      </c>
      <c r="T105">
        <v>6</v>
      </c>
      <c r="V105" t="s">
        <v>183</v>
      </c>
    </row>
    <row r="106" spans="1:22" x14ac:dyDescent="0.3">
      <c r="A106" s="11" t="s">
        <v>223</v>
      </c>
      <c r="E106" s="42" t="s">
        <v>151</v>
      </c>
      <c r="F106" s="42" t="s">
        <v>446</v>
      </c>
      <c r="G106" s="42" t="s">
        <v>182</v>
      </c>
      <c r="H106" s="43"/>
      <c r="I106" s="62" t="s">
        <v>217</v>
      </c>
      <c r="J106" cm="1">
        <f t="array" ref="J106:T106">F5:P5</f>
        <v>1990</v>
      </c>
      <c r="K106">
        <v>2005</v>
      </c>
      <c r="L106">
        <v>2010</v>
      </c>
      <c r="M106">
        <v>2015</v>
      </c>
      <c r="N106">
        <v>2020</v>
      </c>
      <c r="O106">
        <v>2025</v>
      </c>
      <c r="P106">
        <v>2030</v>
      </c>
      <c r="Q106">
        <v>2035</v>
      </c>
      <c r="R106">
        <v>2040</v>
      </c>
      <c r="S106">
        <v>2045</v>
      </c>
      <c r="T106">
        <v>2050</v>
      </c>
      <c r="U106" t="str">
        <f>Q5</f>
        <v>Units</v>
      </c>
    </row>
    <row r="107" spans="1:22" x14ac:dyDescent="0.3">
      <c r="A107" s="56" t="s">
        <v>64</v>
      </c>
      <c r="B107">
        <f>I7</f>
        <v>2.4985900000000001</v>
      </c>
      <c r="C107">
        <f>J7</f>
        <v>2.5565799999999999</v>
      </c>
      <c r="D107">
        <f>P7</f>
        <v>2.6518600000000001</v>
      </c>
      <c r="E107">
        <f>(D107-B107)/B107</f>
        <v>6.1342597224834809E-2</v>
      </c>
      <c r="F107">
        <f>(E100-C100)/C100*0.5</f>
        <v>0.14114889536777439</v>
      </c>
      <c r="G107">
        <f>P7</f>
        <v>2.6518600000000001</v>
      </c>
      <c r="H107" t="s">
        <v>258</v>
      </c>
      <c r="I107" s="56" t="s">
        <v>64</v>
      </c>
      <c r="J107" s="61" cm="1">
        <f t="array" ref="J107:N107">F7:J7</f>
        <v>2.6083799999999999</v>
      </c>
      <c r="K107" s="61">
        <v>2.9061599999999999</v>
      </c>
      <c r="L107" s="61">
        <v>2.7023700000000002</v>
      </c>
      <c r="M107">
        <v>2.4985900000000001</v>
      </c>
      <c r="N107">
        <v>2.5565799999999999</v>
      </c>
      <c r="O107">
        <f>$N$107+$N$107*(($G$107-$N$107)/$N$107)*O105/$T$105</f>
        <v>2.57246</v>
      </c>
      <c r="P107">
        <f t="shared" ref="P107:T107" si="4">$N$107+$N$107*(($G$107-$N$107)/$N$107)*P105/$T$105</f>
        <v>2.5883400000000001</v>
      </c>
      <c r="Q107">
        <f t="shared" si="4"/>
        <v>2.6042199999999998</v>
      </c>
      <c r="R107">
        <f t="shared" si="4"/>
        <v>2.6200999999999999</v>
      </c>
      <c r="S107">
        <f t="shared" si="4"/>
        <v>2.63598</v>
      </c>
      <c r="T107">
        <f t="shared" si="4"/>
        <v>2.6518600000000001</v>
      </c>
      <c r="U107" t="str" cm="1">
        <f t="array" ref="U107:U108">Q6:Q7</f>
        <v>billion m^2</v>
      </c>
      <c r="V107">
        <f>T107/N107</f>
        <v>1.0372685384380698</v>
      </c>
    </row>
    <row r="108" spans="1:22" x14ac:dyDescent="0.3">
      <c r="A108" s="56" t="s">
        <v>65</v>
      </c>
      <c r="B108">
        <f>I9</f>
        <v>9.8492800000000003</v>
      </c>
      <c r="C108">
        <f>J9</f>
        <v>9.9645200000000003</v>
      </c>
      <c r="D108">
        <f>P9</f>
        <v>10.933</v>
      </c>
      <c r="E108">
        <f>(D108-B108)/B108</f>
        <v>0.11003037785503098</v>
      </c>
      <c r="F108">
        <f>(E101-C101)/C101*0.5</f>
        <v>4.0802311572037033E-3</v>
      </c>
      <c r="G108">
        <f>B108*(1+F108)</f>
        <v>9.8894673391320236</v>
      </c>
      <c r="I108" s="56" t="s">
        <v>65</v>
      </c>
      <c r="J108" cm="1">
        <f t="array" ref="J108:N108">F9:J9</f>
        <v>9.9173399999999994</v>
      </c>
      <c r="K108">
        <v>11.692</v>
      </c>
      <c r="L108">
        <v>10.7706</v>
      </c>
      <c r="M108">
        <v>9.8492800000000003</v>
      </c>
      <c r="N108">
        <v>9.9645200000000003</v>
      </c>
      <c r="O108">
        <f>$N$108+$N$108*(($G$108-$N$108)/$N$108)*O105/$T$105</f>
        <v>9.9520112231886699</v>
      </c>
      <c r="P108">
        <f t="shared" ref="P108:T108" si="5">$N$108+$N$108*(($G$108-$N$108)/$N$108)*P105/$T$105</f>
        <v>9.9395024463773414</v>
      </c>
      <c r="Q108">
        <f t="shared" si="5"/>
        <v>9.9269936695660128</v>
      </c>
      <c r="R108">
        <f t="shared" si="5"/>
        <v>9.9144848927546825</v>
      </c>
      <c r="S108">
        <f t="shared" si="5"/>
        <v>9.9019761159433521</v>
      </c>
      <c r="T108">
        <f t="shared" si="5"/>
        <v>9.8894673391320236</v>
      </c>
      <c r="U108" t="str">
        <v>billion m^2</v>
      </c>
      <c r="V108">
        <f>T108/N108</f>
        <v>0.99246801041415178</v>
      </c>
    </row>
    <row r="109" spans="1:22" x14ac:dyDescent="0.3">
      <c r="A109" s="12"/>
    </row>
    <row r="110" spans="1:22" x14ac:dyDescent="0.3">
      <c r="D110" s="61"/>
      <c r="E110" s="61"/>
    </row>
  </sheetData>
  <sortState xmlns:xlrd2="http://schemas.microsoft.com/office/spreadsheetml/2017/richdata2" ref="A15:G95">
    <sortCondition ref="C15:C95"/>
    <sortCondition ref="B15:B95"/>
    <sortCondition ref="A15:A95"/>
  </sortState>
  <mergeCells count="1">
    <mergeCell ref="E105:F10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9D5F-FABB-45CB-B73A-3A9B7A0814F0}">
  <sheetPr>
    <tabColor theme="9" tint="0.79998168889431442"/>
  </sheetPr>
  <dimension ref="A1:L3"/>
  <sheetViews>
    <sheetView topLeftCell="C1" workbookViewId="0">
      <selection activeCell="C1" sqref="A1:XFD1048576"/>
    </sheetView>
  </sheetViews>
  <sheetFormatPr defaultRowHeight="14.4" x14ac:dyDescent="0.3"/>
  <sheetData>
    <row r="1" spans="1:12" x14ac:dyDescent="0.3">
      <c r="A1" t="s">
        <v>73</v>
      </c>
      <c r="B1" cm="1">
        <f t="array" ref="B1:L3">'BLD-FloorSpace-computation'!J106:T108</f>
        <v>1990</v>
      </c>
      <c r="C1">
        <v>2005</v>
      </c>
      <c r="D1">
        <v>2010</v>
      </c>
      <c r="E1">
        <v>2015</v>
      </c>
      <c r="F1">
        <v>2020</v>
      </c>
      <c r="G1">
        <v>2025</v>
      </c>
      <c r="H1">
        <v>2030</v>
      </c>
      <c r="I1">
        <v>2035</v>
      </c>
      <c r="J1">
        <v>2040</v>
      </c>
      <c r="K1">
        <v>2045</v>
      </c>
      <c r="L1">
        <v>2050</v>
      </c>
    </row>
    <row r="2" spans="1:12" x14ac:dyDescent="0.3">
      <c r="A2" t="s">
        <v>64</v>
      </c>
      <c r="B2">
        <v>2.6083799999999999</v>
      </c>
      <c r="C2">
        <v>2.9061599999999999</v>
      </c>
      <c r="D2">
        <v>2.7023700000000002</v>
      </c>
      <c r="E2">
        <v>2.4985900000000001</v>
      </c>
      <c r="F2">
        <v>2.5565799999999999</v>
      </c>
      <c r="G2">
        <v>2.57246</v>
      </c>
      <c r="H2">
        <v>2.5883400000000001</v>
      </c>
      <c r="I2">
        <v>2.6042199999999998</v>
      </c>
      <c r="J2">
        <v>2.6200999999999999</v>
      </c>
      <c r="K2">
        <v>2.63598</v>
      </c>
      <c r="L2">
        <v>2.6518600000000001</v>
      </c>
    </row>
    <row r="3" spans="1:12" x14ac:dyDescent="0.3">
      <c r="A3" t="s">
        <v>65</v>
      </c>
      <c r="B3">
        <v>9.9173399999999994</v>
      </c>
      <c r="C3">
        <v>11.692</v>
      </c>
      <c r="D3">
        <v>10.7706</v>
      </c>
      <c r="E3">
        <v>9.8492800000000003</v>
      </c>
      <c r="F3">
        <v>9.9645200000000003</v>
      </c>
      <c r="G3">
        <v>9.9520112231886699</v>
      </c>
      <c r="H3">
        <v>9.9395024463773414</v>
      </c>
      <c r="I3">
        <v>9.9269936695660128</v>
      </c>
      <c r="J3">
        <v>9.9144848927546825</v>
      </c>
      <c r="K3">
        <v>9.9019761159433521</v>
      </c>
      <c r="L3">
        <v>9.8894673391320236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30B2-D4B7-4C41-AD63-F7FDF05C9713}">
  <dimension ref="A1:R71"/>
  <sheetViews>
    <sheetView topLeftCell="A43" workbookViewId="0">
      <selection activeCell="M73" sqref="M73"/>
    </sheetView>
  </sheetViews>
  <sheetFormatPr defaultRowHeight="14.4" x14ac:dyDescent="0.3"/>
  <cols>
    <col min="1" max="1" width="18.33203125" customWidth="1"/>
    <col min="2" max="2" width="23.109375" customWidth="1"/>
    <col min="3" max="3" width="15.44140625" customWidth="1"/>
    <col min="4" max="4" width="10.6640625" customWidth="1"/>
    <col min="5" max="5" width="10.109375" customWidth="1"/>
    <col min="7" max="7" width="12.33203125" customWidth="1"/>
    <col min="9" max="9" width="13.33203125" customWidth="1"/>
  </cols>
  <sheetData>
    <row r="1" spans="1:18" x14ac:dyDescent="0.3">
      <c r="A1" t="s">
        <v>232</v>
      </c>
    </row>
    <row r="3" spans="1:18" s="60" customFormat="1" x14ac:dyDescent="0.3">
      <c r="A3" s="60" t="s">
        <v>213</v>
      </c>
    </row>
    <row r="4" spans="1:18" x14ac:dyDescent="0.3">
      <c r="A4" s="11" t="s">
        <v>252</v>
      </c>
    </row>
    <row r="5" spans="1:18" x14ac:dyDescent="0.3">
      <c r="A5" t="s">
        <v>104</v>
      </c>
      <c r="B5" t="s">
        <v>73</v>
      </c>
      <c r="C5" t="s">
        <v>111</v>
      </c>
      <c r="D5">
        <v>1990</v>
      </c>
      <c r="E5">
        <v>2005</v>
      </c>
      <c r="F5">
        <v>2010</v>
      </c>
      <c r="G5">
        <v>2015</v>
      </c>
      <c r="H5">
        <v>2020</v>
      </c>
      <c r="I5">
        <v>2025</v>
      </c>
      <c r="J5">
        <v>2030</v>
      </c>
      <c r="K5">
        <v>2035</v>
      </c>
      <c r="L5">
        <v>2040</v>
      </c>
      <c r="M5">
        <v>2045</v>
      </c>
      <c r="N5">
        <v>2050</v>
      </c>
      <c r="O5">
        <v>2065</v>
      </c>
      <c r="P5">
        <v>2080</v>
      </c>
      <c r="Q5">
        <v>2095</v>
      </c>
      <c r="R5" t="s">
        <v>105</v>
      </c>
    </row>
    <row r="6" spans="1:18" x14ac:dyDescent="0.3">
      <c r="A6" t="s">
        <v>477</v>
      </c>
      <c r="B6" t="s">
        <v>64</v>
      </c>
      <c r="C6" t="s">
        <v>253</v>
      </c>
      <c r="D6">
        <v>1.28655E-2</v>
      </c>
      <c r="E6">
        <v>2.8144099999999998E-2</v>
      </c>
      <c r="F6">
        <v>3.47417E-2</v>
      </c>
      <c r="G6">
        <v>3.3014300000000003E-2</v>
      </c>
      <c r="H6">
        <v>3.3837600000000002E-2</v>
      </c>
      <c r="I6">
        <v>3.5735000000000003E-2</v>
      </c>
      <c r="J6">
        <v>3.6603799999999999E-2</v>
      </c>
      <c r="K6">
        <v>3.6183800000000002E-2</v>
      </c>
      <c r="L6">
        <v>3.5042999999999998E-2</v>
      </c>
      <c r="M6">
        <v>3.3423399999999999E-2</v>
      </c>
      <c r="N6">
        <v>3.1551999999999997E-2</v>
      </c>
      <c r="O6">
        <v>0</v>
      </c>
      <c r="P6">
        <v>0</v>
      </c>
      <c r="Q6">
        <v>0</v>
      </c>
      <c r="R6" t="s">
        <v>243</v>
      </c>
    </row>
    <row r="7" spans="1:18" x14ac:dyDescent="0.3">
      <c r="A7" t="s">
        <v>477</v>
      </c>
      <c r="B7" t="s">
        <v>64</v>
      </c>
      <c r="C7" t="s">
        <v>254</v>
      </c>
      <c r="D7">
        <v>0.50566419999999901</v>
      </c>
      <c r="E7">
        <v>0.35169129999999998</v>
      </c>
      <c r="F7">
        <v>0.37276309999999901</v>
      </c>
      <c r="G7">
        <v>0.29047509999999999</v>
      </c>
      <c r="H7">
        <v>0.32434406999999998</v>
      </c>
      <c r="I7">
        <v>0.37674830970000001</v>
      </c>
      <c r="J7">
        <v>0.410531855</v>
      </c>
      <c r="K7">
        <v>0.42595910999999997</v>
      </c>
      <c r="L7">
        <v>0.42826857000000002</v>
      </c>
      <c r="M7">
        <v>0.42191625999999999</v>
      </c>
      <c r="N7">
        <v>0.41175053</v>
      </c>
      <c r="O7">
        <v>0</v>
      </c>
      <c r="P7">
        <v>0</v>
      </c>
      <c r="Q7">
        <v>0</v>
      </c>
      <c r="R7" t="s">
        <v>243</v>
      </c>
    </row>
    <row r="8" spans="1:18" x14ac:dyDescent="0.3">
      <c r="A8" t="s">
        <v>477</v>
      </c>
      <c r="B8" t="s">
        <v>64</v>
      </c>
      <c r="C8" t="s">
        <v>255</v>
      </c>
      <c r="D8">
        <v>0.35097329999999999</v>
      </c>
      <c r="E8">
        <v>0.49508869999999999</v>
      </c>
      <c r="F8">
        <v>0.56422489999999903</v>
      </c>
      <c r="G8">
        <v>0.50421039999999995</v>
      </c>
      <c r="H8">
        <v>0.60145588000000005</v>
      </c>
      <c r="I8">
        <v>0.74555590799999905</v>
      </c>
      <c r="J8">
        <v>0.87087112999999905</v>
      </c>
      <c r="K8">
        <v>0.95928379999999902</v>
      </c>
      <c r="L8">
        <v>1.0114948100000001</v>
      </c>
      <c r="M8">
        <v>1.04119557</v>
      </c>
      <c r="N8">
        <v>1.0537297299999999</v>
      </c>
      <c r="O8">
        <v>0</v>
      </c>
      <c r="P8">
        <v>0</v>
      </c>
      <c r="Q8">
        <v>0</v>
      </c>
      <c r="R8" t="s">
        <v>243</v>
      </c>
    </row>
    <row r="9" spans="1:18" x14ac:dyDescent="0.3">
      <c r="A9" t="s">
        <v>477</v>
      </c>
      <c r="B9" t="s">
        <v>64</v>
      </c>
      <c r="C9" s="10" t="s">
        <v>247</v>
      </c>
      <c r="D9" s="10">
        <v>2.3347E-2</v>
      </c>
      <c r="E9" s="10">
        <v>3.4522299999999999E-2</v>
      </c>
      <c r="F9" s="10">
        <v>3.6645700000000003E-2</v>
      </c>
      <c r="G9" s="10">
        <v>3.4773699999999998E-2</v>
      </c>
      <c r="H9" s="10">
        <v>3.3743299999999997E-2</v>
      </c>
      <c r="I9" s="10">
        <v>3.22343E-2</v>
      </c>
      <c r="J9" s="10">
        <v>3.0712300000000001E-2</v>
      </c>
      <c r="K9" s="10">
        <v>2.8798000000000001E-2</v>
      </c>
      <c r="L9" s="10">
        <v>2.6874700000000001E-2</v>
      </c>
      <c r="M9" s="10">
        <v>2.4960300000000001E-2</v>
      </c>
      <c r="N9" s="10">
        <v>2.30888E-2</v>
      </c>
      <c r="O9">
        <v>0</v>
      </c>
      <c r="P9">
        <v>0</v>
      </c>
      <c r="Q9">
        <v>0</v>
      </c>
      <c r="R9" t="s">
        <v>243</v>
      </c>
    </row>
    <row r="10" spans="1:18" x14ac:dyDescent="0.3">
      <c r="A10" t="s">
        <v>477</v>
      </c>
      <c r="B10" t="s">
        <v>64</v>
      </c>
      <c r="C10" s="10" t="s">
        <v>246</v>
      </c>
      <c r="D10" s="10">
        <v>1.4430647999999999</v>
      </c>
      <c r="E10" s="10">
        <v>1.3583537999999999</v>
      </c>
      <c r="F10" s="10">
        <v>1.4899500000000001</v>
      </c>
      <c r="G10" s="10">
        <v>1.28516369999999</v>
      </c>
      <c r="H10" s="10">
        <v>1.2425788</v>
      </c>
      <c r="I10" s="10">
        <v>1.1943648571999901</v>
      </c>
      <c r="J10" s="10">
        <v>1.1259025549999999</v>
      </c>
      <c r="K10" s="10">
        <v>1.0523790399999999</v>
      </c>
      <c r="L10" s="10">
        <v>0.98689283000000005</v>
      </c>
      <c r="M10" s="10">
        <v>0.92137529999999901</v>
      </c>
      <c r="N10" s="10">
        <v>0.86599029999999999</v>
      </c>
      <c r="O10">
        <v>0</v>
      </c>
      <c r="P10">
        <v>0</v>
      </c>
      <c r="Q10">
        <v>0</v>
      </c>
      <c r="R10" t="s">
        <v>243</v>
      </c>
    </row>
    <row r="11" spans="1:18" x14ac:dyDescent="0.3">
      <c r="A11" t="s">
        <v>477</v>
      </c>
      <c r="B11" t="s">
        <v>64</v>
      </c>
      <c r="C11" s="10" t="s">
        <v>240</v>
      </c>
      <c r="D11" s="10">
        <v>0.66194529999999996</v>
      </c>
      <c r="E11" s="10">
        <v>0.85384159999999998</v>
      </c>
      <c r="F11" s="10">
        <v>0.85462450000000001</v>
      </c>
      <c r="G11" s="10">
        <v>0.75583330000000004</v>
      </c>
      <c r="H11" s="10">
        <v>0.81979429999999998</v>
      </c>
      <c r="I11" s="10">
        <v>0.87188046299999999</v>
      </c>
      <c r="J11" s="10">
        <v>0.90678406999999905</v>
      </c>
      <c r="K11" s="10">
        <v>0.92592653000000003</v>
      </c>
      <c r="L11" s="10">
        <v>0.92487832999999997</v>
      </c>
      <c r="M11" s="10">
        <v>0.91955032999999997</v>
      </c>
      <c r="N11" s="10">
        <v>0.90691953999999997</v>
      </c>
      <c r="O11">
        <v>0</v>
      </c>
      <c r="P11">
        <v>0</v>
      </c>
      <c r="Q11">
        <v>0</v>
      </c>
      <c r="R11" t="s">
        <v>243</v>
      </c>
    </row>
    <row r="12" spans="1:18" x14ac:dyDescent="0.3">
      <c r="A12" t="s">
        <v>477</v>
      </c>
      <c r="B12" t="s">
        <v>65</v>
      </c>
      <c r="C12" t="s">
        <v>253</v>
      </c>
      <c r="D12">
        <v>0.13128699999999999</v>
      </c>
      <c r="E12">
        <v>0.22519</v>
      </c>
      <c r="F12">
        <v>0.265399</v>
      </c>
      <c r="G12">
        <v>0.25883299999999998</v>
      </c>
      <c r="H12">
        <v>0.24704699999999999</v>
      </c>
      <c r="I12">
        <v>0.24334600000000001</v>
      </c>
      <c r="J12">
        <v>0.233677</v>
      </c>
      <c r="K12">
        <v>0.22501199999999999</v>
      </c>
      <c r="L12">
        <v>0.21627299999999999</v>
      </c>
      <c r="M12">
        <v>0.20783499999999999</v>
      </c>
      <c r="N12">
        <v>0.19977700000000001</v>
      </c>
      <c r="O12">
        <v>0</v>
      </c>
      <c r="P12">
        <v>0</v>
      </c>
      <c r="Q12">
        <v>0</v>
      </c>
      <c r="R12" t="s">
        <v>243</v>
      </c>
    </row>
    <row r="13" spans="1:18" x14ac:dyDescent="0.3">
      <c r="A13" t="s">
        <v>477</v>
      </c>
      <c r="B13" t="s">
        <v>65</v>
      </c>
      <c r="C13" t="s">
        <v>254</v>
      </c>
      <c r="D13">
        <v>1.2757528</v>
      </c>
      <c r="E13">
        <v>1.3530161999999999</v>
      </c>
      <c r="F13">
        <v>1.4330033</v>
      </c>
      <c r="G13">
        <v>1.3676116</v>
      </c>
      <c r="H13">
        <v>1.3932804000000001</v>
      </c>
      <c r="I13">
        <v>1.4941428809999999</v>
      </c>
      <c r="J13">
        <v>1.5221190600000001</v>
      </c>
      <c r="K13">
        <v>1.54143344999999</v>
      </c>
      <c r="L13">
        <v>1.54591784</v>
      </c>
      <c r="M13">
        <v>1.5520806999999901</v>
      </c>
      <c r="N13">
        <v>1.5501578</v>
      </c>
      <c r="O13">
        <v>0</v>
      </c>
      <c r="P13">
        <v>0</v>
      </c>
      <c r="Q13">
        <v>0</v>
      </c>
      <c r="R13" t="s">
        <v>243</v>
      </c>
    </row>
    <row r="14" spans="1:18" x14ac:dyDescent="0.3">
      <c r="A14" t="s">
        <v>477</v>
      </c>
      <c r="B14" t="s">
        <v>65</v>
      </c>
      <c r="C14" t="s">
        <v>255</v>
      </c>
      <c r="D14">
        <v>1.8576828999999999</v>
      </c>
      <c r="E14">
        <v>2.6331272999999999</v>
      </c>
      <c r="F14">
        <v>2.8892967999999999</v>
      </c>
      <c r="G14">
        <v>2.7499994000000001</v>
      </c>
      <c r="H14">
        <v>2.8113721899999899</v>
      </c>
      <c r="I14">
        <v>3.1420530750000002</v>
      </c>
      <c r="J14">
        <v>3.3283005800000001</v>
      </c>
      <c r="K14">
        <v>3.51960505</v>
      </c>
      <c r="L14">
        <v>3.69275277999999</v>
      </c>
      <c r="M14">
        <v>3.8845561399999999</v>
      </c>
      <c r="N14">
        <v>4.0504184799999896</v>
      </c>
      <c r="O14">
        <v>0</v>
      </c>
      <c r="P14">
        <v>0</v>
      </c>
      <c r="Q14">
        <v>0</v>
      </c>
      <c r="R14" t="s">
        <v>243</v>
      </c>
    </row>
    <row r="15" spans="1:18" x14ac:dyDescent="0.3">
      <c r="A15" t="s">
        <v>477</v>
      </c>
      <c r="B15" t="s">
        <v>65</v>
      </c>
      <c r="C15" s="10" t="s">
        <v>247</v>
      </c>
      <c r="D15" s="10">
        <v>0.19601199999999999</v>
      </c>
      <c r="E15" s="10">
        <v>0.25457999999999997</v>
      </c>
      <c r="F15" s="10">
        <v>0.277314</v>
      </c>
      <c r="G15" s="10">
        <v>0.26459700000000003</v>
      </c>
      <c r="H15" s="10">
        <v>0.24918100000000001</v>
      </c>
      <c r="I15" s="10">
        <v>0.23259299999999999</v>
      </c>
      <c r="J15" s="10">
        <v>0.21654699999999999</v>
      </c>
      <c r="K15" s="10">
        <v>0.20234199999999999</v>
      </c>
      <c r="L15" s="10">
        <v>0.18868299999999999</v>
      </c>
      <c r="M15" s="10">
        <v>0.175952</v>
      </c>
      <c r="N15" s="10">
        <v>0.16426299999999999</v>
      </c>
      <c r="O15">
        <v>0</v>
      </c>
      <c r="P15">
        <v>0</v>
      </c>
      <c r="Q15">
        <v>0</v>
      </c>
      <c r="R15" t="s">
        <v>243</v>
      </c>
    </row>
    <row r="16" spans="1:18" x14ac:dyDescent="0.3">
      <c r="A16" t="s">
        <v>477</v>
      </c>
      <c r="B16" t="s">
        <v>65</v>
      </c>
      <c r="C16" s="10" t="s">
        <v>246</v>
      </c>
      <c r="D16" s="10">
        <v>3.7684449999999998</v>
      </c>
      <c r="E16" s="10">
        <v>4.6556439999999997</v>
      </c>
      <c r="F16" s="10">
        <v>4.7375729999999896</v>
      </c>
      <c r="G16" s="10">
        <v>4.0213000000000001</v>
      </c>
      <c r="H16" s="10">
        <v>3.9414799999999999</v>
      </c>
      <c r="I16" s="10">
        <v>3.8649822739999999</v>
      </c>
      <c r="J16" s="10">
        <v>3.71017829</v>
      </c>
      <c r="K16" s="10">
        <v>3.5109786999999999</v>
      </c>
      <c r="L16" s="10">
        <v>3.2970716000000002</v>
      </c>
      <c r="M16" s="10">
        <v>3.0918709</v>
      </c>
      <c r="N16" s="10">
        <v>2.9117397</v>
      </c>
      <c r="O16">
        <v>0</v>
      </c>
      <c r="P16">
        <v>0</v>
      </c>
      <c r="Q16">
        <v>0</v>
      </c>
      <c r="R16" t="s">
        <v>243</v>
      </c>
    </row>
    <row r="17" spans="1:18" x14ac:dyDescent="0.3">
      <c r="A17" t="s">
        <v>477</v>
      </c>
      <c r="B17" t="s">
        <v>65</v>
      </c>
      <c r="C17" s="10" t="s">
        <v>240</v>
      </c>
      <c r="D17" s="10">
        <v>3.2875740000000002</v>
      </c>
      <c r="E17" s="10">
        <v>3.4951631000000001</v>
      </c>
      <c r="F17" s="10">
        <v>3.6125660000000002</v>
      </c>
      <c r="G17" s="10">
        <v>3.1723465000000002</v>
      </c>
      <c r="H17" s="10">
        <v>3.2678093000000001</v>
      </c>
      <c r="I17" s="10">
        <v>3.3294736789999901</v>
      </c>
      <c r="J17" s="10">
        <v>3.31071771</v>
      </c>
      <c r="K17" s="10">
        <v>3.2982494999999998</v>
      </c>
      <c r="L17" s="10">
        <v>3.25993649999999</v>
      </c>
      <c r="M17" s="10">
        <v>3.2179237999999999</v>
      </c>
      <c r="N17" s="10">
        <v>3.1699079000000001</v>
      </c>
      <c r="O17">
        <v>0</v>
      </c>
      <c r="P17">
        <v>0</v>
      </c>
      <c r="Q17">
        <v>0</v>
      </c>
      <c r="R17" t="s">
        <v>243</v>
      </c>
    </row>
    <row r="19" spans="1:18" x14ac:dyDescent="0.3">
      <c r="A19" s="11" t="s">
        <v>233</v>
      </c>
    </row>
    <row r="20" spans="1:18" x14ac:dyDescent="0.3">
      <c r="A20" t="s">
        <v>64</v>
      </c>
      <c r="C20" t="s">
        <v>257</v>
      </c>
    </row>
    <row r="21" spans="1:18" x14ac:dyDescent="0.3">
      <c r="A21" t="s">
        <v>246</v>
      </c>
      <c r="B21">
        <v>0.29591469999999997</v>
      </c>
    </row>
    <row r="22" spans="1:18" x14ac:dyDescent="0.3">
      <c r="A22" t="s">
        <v>247</v>
      </c>
      <c r="B22">
        <v>3.9446500000000002E-2</v>
      </c>
    </row>
    <row r="23" spans="1:18" x14ac:dyDescent="0.3">
      <c r="A23" t="s">
        <v>240</v>
      </c>
      <c r="B23">
        <v>0.2900355</v>
      </c>
    </row>
    <row r="24" spans="1:18" x14ac:dyDescent="0.3">
      <c r="A24" t="s">
        <v>65</v>
      </c>
    </row>
    <row r="25" spans="1:18" x14ac:dyDescent="0.3">
      <c r="A25" t="s">
        <v>246</v>
      </c>
      <c r="B25">
        <v>0.28172459999999999</v>
      </c>
    </row>
    <row r="26" spans="1:18" x14ac:dyDescent="0.3">
      <c r="A26" t="s">
        <v>247</v>
      </c>
      <c r="B26">
        <v>7.3928599999999997E-2</v>
      </c>
    </row>
    <row r="27" spans="1:18" x14ac:dyDescent="0.3">
      <c r="A27" t="s">
        <v>240</v>
      </c>
      <c r="B27">
        <v>0.2900355</v>
      </c>
    </row>
    <row r="29" spans="1:18" x14ac:dyDescent="0.3">
      <c r="A29" s="11" t="s">
        <v>235</v>
      </c>
    </row>
    <row r="30" spans="1:18" x14ac:dyDescent="0.3">
      <c r="A30" t="s">
        <v>145</v>
      </c>
      <c r="B30" t="s">
        <v>236</v>
      </c>
      <c r="C30">
        <v>1975</v>
      </c>
      <c r="D30">
        <v>1990</v>
      </c>
      <c r="E30">
        <v>2005</v>
      </c>
      <c r="F30">
        <v>2010</v>
      </c>
      <c r="G30">
        <v>2015</v>
      </c>
      <c r="H30">
        <v>2020</v>
      </c>
      <c r="I30">
        <v>2025</v>
      </c>
      <c r="J30">
        <v>2030</v>
      </c>
      <c r="K30">
        <v>2035</v>
      </c>
      <c r="L30">
        <v>2040</v>
      </c>
      <c r="M30">
        <v>2045</v>
      </c>
      <c r="N30">
        <v>2050</v>
      </c>
      <c r="O30" t="s">
        <v>109</v>
      </c>
    </row>
    <row r="31" spans="1:18" x14ac:dyDescent="0.3">
      <c r="A31">
        <v>12</v>
      </c>
      <c r="B31" t="s">
        <v>237</v>
      </c>
      <c r="C31">
        <v>0.50572350731687399</v>
      </c>
      <c r="D31">
        <v>0.36431882706638902</v>
      </c>
      <c r="E31">
        <v>0.47802929033094999</v>
      </c>
      <c r="F31">
        <v>0.46602479728125601</v>
      </c>
      <c r="G31">
        <v>0.45544869183367198</v>
      </c>
      <c r="H31">
        <v>0.44891800242304097</v>
      </c>
      <c r="I31">
        <v>0.44665683688896601</v>
      </c>
      <c r="J31">
        <v>0.44165456785339202</v>
      </c>
      <c r="K31">
        <v>0.440307206365251</v>
      </c>
      <c r="L31">
        <v>0.435981235359165</v>
      </c>
      <c r="M31">
        <v>0.43105903547965102</v>
      </c>
      <c r="N31">
        <v>0.42774325450841</v>
      </c>
      <c r="O31" t="s">
        <v>244</v>
      </c>
    </row>
    <row r="32" spans="1:18" x14ac:dyDescent="0.3">
      <c r="A32">
        <v>12</v>
      </c>
      <c r="B32" t="s">
        <v>238</v>
      </c>
      <c r="C32">
        <v>0.35490921710322898</v>
      </c>
      <c r="D32">
        <v>0.39425074371882901</v>
      </c>
      <c r="E32">
        <v>0.29538040066745902</v>
      </c>
      <c r="F32">
        <v>0.28911839322791799</v>
      </c>
      <c r="G32">
        <v>0.27909559390536198</v>
      </c>
      <c r="H32">
        <v>0.27618016798685302</v>
      </c>
      <c r="I32">
        <v>0.28314583669320098</v>
      </c>
      <c r="J32">
        <v>0.289862912995695</v>
      </c>
      <c r="K32">
        <v>0.290977149300717</v>
      </c>
      <c r="L32">
        <v>0.29350770898532103</v>
      </c>
      <c r="M32">
        <v>0.295697402635273</v>
      </c>
      <c r="N32">
        <v>0.29691926763617099</v>
      </c>
      <c r="O32" t="s">
        <v>244</v>
      </c>
    </row>
    <row r="33" spans="1:15" x14ac:dyDescent="0.3">
      <c r="A33">
        <v>12</v>
      </c>
      <c r="B33" t="s">
        <v>239</v>
      </c>
      <c r="C33">
        <v>0.11540553387808899</v>
      </c>
      <c r="D33">
        <v>0.19855944728591099</v>
      </c>
      <c r="E33">
        <v>0.18665513372380399</v>
      </c>
      <c r="F33">
        <v>0.20189886800873499</v>
      </c>
      <c r="G33">
        <v>0.21905301753828599</v>
      </c>
      <c r="H33">
        <v>0.22882188575257201</v>
      </c>
      <c r="I33">
        <v>0.22565971231416801</v>
      </c>
      <c r="J33">
        <v>0.224503924506746</v>
      </c>
      <c r="K33">
        <v>0.225389663965196</v>
      </c>
      <c r="L33">
        <v>0.22745534803182799</v>
      </c>
      <c r="M33">
        <v>0.23016997081139401</v>
      </c>
      <c r="N33">
        <v>0.23238847001081001</v>
      </c>
      <c r="O33" t="s">
        <v>244</v>
      </c>
    </row>
    <row r="34" spans="1:15" x14ac:dyDescent="0.3">
      <c r="A34">
        <v>12</v>
      </c>
      <c r="B34" t="s">
        <v>240</v>
      </c>
      <c r="C34">
        <v>2.3961741701807499E-2</v>
      </c>
      <c r="D34">
        <v>4.28709819288716E-2</v>
      </c>
      <c r="E34">
        <v>3.9935175277786499E-2</v>
      </c>
      <c r="F34">
        <v>4.2957941482090901E-2</v>
      </c>
      <c r="G34">
        <v>4.6402696722679902E-2</v>
      </c>
      <c r="H34">
        <v>4.6079943837533902E-2</v>
      </c>
      <c r="I34">
        <v>4.4537614103664497E-2</v>
      </c>
      <c r="J34">
        <v>4.3978594644167299E-2</v>
      </c>
      <c r="K34">
        <v>4.3325980368836801E-2</v>
      </c>
      <c r="L34">
        <v>4.3055707623686101E-2</v>
      </c>
      <c r="M34">
        <v>4.3073591073682298E-2</v>
      </c>
      <c r="N34">
        <v>4.2949007844608499E-2</v>
      </c>
      <c r="O34" t="s">
        <v>244</v>
      </c>
    </row>
    <row r="35" spans="1:15" x14ac:dyDescent="0.3">
      <c r="A35">
        <v>13</v>
      </c>
      <c r="B35" t="s">
        <v>237</v>
      </c>
      <c r="C35">
        <v>0.29051308419750599</v>
      </c>
      <c r="D35">
        <v>0.30766187022918301</v>
      </c>
      <c r="E35">
        <v>0.29403403307267301</v>
      </c>
      <c r="F35">
        <v>0.30653077199877499</v>
      </c>
      <c r="G35">
        <v>0.30400159848469099</v>
      </c>
      <c r="H35">
        <v>0.29829918754954898</v>
      </c>
      <c r="I35">
        <v>0.30687094189723602</v>
      </c>
      <c r="J35">
        <v>0.31791181354359099</v>
      </c>
      <c r="K35">
        <v>0.32277275759119201</v>
      </c>
      <c r="L35">
        <v>0.32138687624652701</v>
      </c>
      <c r="M35">
        <v>0.31642115217657502</v>
      </c>
      <c r="N35">
        <v>0.31165039589566901</v>
      </c>
      <c r="O35" t="s">
        <v>244</v>
      </c>
    </row>
    <row r="36" spans="1:15" x14ac:dyDescent="0.3">
      <c r="A36">
        <v>13</v>
      </c>
      <c r="B36" t="s">
        <v>238</v>
      </c>
      <c r="C36">
        <v>0.41264920267503202</v>
      </c>
      <c r="D36">
        <v>0.32924951641167</v>
      </c>
      <c r="E36">
        <v>0.335148606809066</v>
      </c>
      <c r="F36">
        <v>0.32952110264266199</v>
      </c>
      <c r="G36">
        <v>0.31994252761488601</v>
      </c>
      <c r="H36">
        <v>0.30748866504335698</v>
      </c>
      <c r="I36">
        <v>0.30552183287107498</v>
      </c>
      <c r="J36">
        <v>0.30302335858507301</v>
      </c>
      <c r="K36">
        <v>0.301661959856103</v>
      </c>
      <c r="L36">
        <v>0.30362234801565802</v>
      </c>
      <c r="M36">
        <v>0.30686198815056998</v>
      </c>
      <c r="N36">
        <v>0.31027160578582802</v>
      </c>
      <c r="O36" t="s">
        <v>244</v>
      </c>
    </row>
    <row r="37" spans="1:15" x14ac:dyDescent="0.3">
      <c r="A37">
        <v>13</v>
      </c>
      <c r="B37" t="s">
        <v>239</v>
      </c>
      <c r="C37">
        <v>0.24305706585846601</v>
      </c>
      <c r="D37">
        <v>0.308206460370193</v>
      </c>
      <c r="E37">
        <v>0.31982179325452298</v>
      </c>
      <c r="F37">
        <v>0.31468509899025998</v>
      </c>
      <c r="G37">
        <v>0.32560778363312298</v>
      </c>
      <c r="H37">
        <v>0.34241698537631798</v>
      </c>
      <c r="I37">
        <v>0.33677599789177298</v>
      </c>
      <c r="J37">
        <v>0.32924337235045897</v>
      </c>
      <c r="K37">
        <v>0.32669971212562898</v>
      </c>
      <c r="L37">
        <v>0.32666869461134102</v>
      </c>
      <c r="M37">
        <v>0.32855902454082803</v>
      </c>
      <c r="N37">
        <v>0.330122382044305</v>
      </c>
      <c r="O37" t="s">
        <v>244</v>
      </c>
    </row>
    <row r="38" spans="1:15" x14ac:dyDescent="0.3">
      <c r="A38">
        <v>13</v>
      </c>
      <c r="B38" t="s">
        <v>240</v>
      </c>
      <c r="C38">
        <v>5.3780647268996798E-2</v>
      </c>
      <c r="D38">
        <v>5.4882152988953797E-2</v>
      </c>
      <c r="E38">
        <v>5.0995566863737699E-2</v>
      </c>
      <c r="F38">
        <v>4.92630263683035E-2</v>
      </c>
      <c r="G38">
        <v>5.0448090267300599E-2</v>
      </c>
      <c r="H38">
        <v>5.1795162030775603E-2</v>
      </c>
      <c r="I38">
        <v>5.0831227339915498E-2</v>
      </c>
      <c r="J38">
        <v>4.9821455520876898E-2</v>
      </c>
      <c r="K38">
        <v>4.88655704270754E-2</v>
      </c>
      <c r="L38">
        <v>4.8322081126474098E-2</v>
      </c>
      <c r="M38">
        <v>4.8157835132027003E-2</v>
      </c>
      <c r="N38">
        <v>4.7955616274198302E-2</v>
      </c>
      <c r="O38" t="s">
        <v>244</v>
      </c>
    </row>
    <row r="40" spans="1:15" s="60" customFormat="1" x14ac:dyDescent="0.3">
      <c r="A40" s="60" t="s">
        <v>234</v>
      </c>
    </row>
    <row r="41" spans="1:15" x14ac:dyDescent="0.3">
      <c r="A41" t="s">
        <v>145</v>
      </c>
      <c r="B41" t="s">
        <v>236</v>
      </c>
      <c r="C41">
        <v>2015</v>
      </c>
      <c r="D41">
        <v>2020</v>
      </c>
      <c r="E41">
        <v>2050</v>
      </c>
      <c r="F41" t="s">
        <v>109</v>
      </c>
      <c r="G41" t="s">
        <v>433</v>
      </c>
      <c r="H41" t="s">
        <v>145</v>
      </c>
      <c r="I41" t="s">
        <v>236</v>
      </c>
      <c r="J41">
        <v>2015</v>
      </c>
      <c r="K41">
        <v>2020</v>
      </c>
      <c r="L41">
        <v>2050</v>
      </c>
      <c r="M41" t="s">
        <v>109</v>
      </c>
    </row>
    <row r="42" spans="1:15" x14ac:dyDescent="0.3">
      <c r="A42">
        <v>12</v>
      </c>
      <c r="B42" t="s">
        <v>241</v>
      </c>
      <c r="C42">
        <v>6.2052718212000004E-3</v>
      </c>
      <c r="D42">
        <v>8.4751824024E-3</v>
      </c>
      <c r="E42">
        <v>3.64371584076E-2</v>
      </c>
      <c r="F42" t="s">
        <v>243</v>
      </c>
      <c r="H42">
        <f t="shared" ref="H42:L51" si="0">A42</f>
        <v>12</v>
      </c>
      <c r="I42" t="str">
        <f t="shared" si="0"/>
        <v>Cooling</v>
      </c>
      <c r="J42">
        <f t="shared" si="0"/>
        <v>6.2052718212000004E-3</v>
      </c>
      <c r="K42">
        <f t="shared" si="0"/>
        <v>8.4751824024E-3</v>
      </c>
      <c r="L42">
        <f t="shared" si="0"/>
        <v>3.64371584076E-2</v>
      </c>
    </row>
    <row r="43" spans="1:15" x14ac:dyDescent="0.3">
      <c r="A43">
        <v>12</v>
      </c>
      <c r="B43" t="s">
        <v>227</v>
      </c>
      <c r="C43">
        <v>0.2318747128236</v>
      </c>
      <c r="D43">
        <v>0.21010097580119999</v>
      </c>
      <c r="E43">
        <v>0.1235983576752</v>
      </c>
      <c r="F43" t="s">
        <v>243</v>
      </c>
      <c r="H43">
        <f t="shared" si="0"/>
        <v>12</v>
      </c>
      <c r="I43" t="str">
        <f t="shared" si="0"/>
        <v>Domestic cooking</v>
      </c>
      <c r="J43">
        <f t="shared" si="0"/>
        <v>0.2318747128236</v>
      </c>
      <c r="K43">
        <f t="shared" si="0"/>
        <v>0.21010097580119999</v>
      </c>
      <c r="L43">
        <f t="shared" si="0"/>
        <v>0.1235983576752</v>
      </c>
      <c r="M43" t="s">
        <v>243</v>
      </c>
    </row>
    <row r="44" spans="1:15" x14ac:dyDescent="0.3">
      <c r="A44">
        <v>12</v>
      </c>
      <c r="B44" t="s">
        <v>225</v>
      </c>
      <c r="C44">
        <v>0.37209134996999998</v>
      </c>
      <c r="D44">
        <v>0.37390519993319998</v>
      </c>
      <c r="E44">
        <v>0.21960916614359999</v>
      </c>
      <c r="F44" t="s">
        <v>243</v>
      </c>
      <c r="H44">
        <f t="shared" si="0"/>
        <v>12</v>
      </c>
      <c r="I44" t="str">
        <f t="shared" si="0"/>
        <v>Domestic hot water</v>
      </c>
      <c r="J44">
        <f t="shared" si="0"/>
        <v>0.37209134996999998</v>
      </c>
      <c r="K44">
        <f t="shared" si="0"/>
        <v>0.37390519993319998</v>
      </c>
      <c r="L44">
        <f t="shared" si="0"/>
        <v>0.21960916614359999</v>
      </c>
      <c r="M44" t="s">
        <v>243</v>
      </c>
    </row>
    <row r="45" spans="1:15" x14ac:dyDescent="0.3">
      <c r="A45">
        <v>12</v>
      </c>
      <c r="B45" t="s">
        <v>242</v>
      </c>
      <c r="C45">
        <v>1.7259104819664</v>
      </c>
      <c r="D45">
        <v>1.6405320405924</v>
      </c>
      <c r="E45">
        <v>0.96575660243999994</v>
      </c>
      <c r="F45" t="s">
        <v>243</v>
      </c>
      <c r="H45">
        <f t="shared" si="0"/>
        <v>12</v>
      </c>
      <c r="I45" t="str">
        <f t="shared" si="0"/>
        <v>Space heating</v>
      </c>
      <c r="J45">
        <f t="shared" si="0"/>
        <v>1.7259104819664</v>
      </c>
      <c r="K45">
        <f t="shared" si="0"/>
        <v>1.6405320405924</v>
      </c>
      <c r="L45">
        <f t="shared" si="0"/>
        <v>0.96575660243999994</v>
      </c>
    </row>
    <row r="46" spans="1:15" x14ac:dyDescent="0.3">
      <c r="A46">
        <v>12</v>
      </c>
      <c r="B46" t="s">
        <v>226</v>
      </c>
      <c r="C46">
        <v>0.27704073824640002</v>
      </c>
      <c r="D46">
        <v>0.27875981430719998</v>
      </c>
      <c r="E46">
        <v>0.23252578199999999</v>
      </c>
      <c r="F46" t="s">
        <v>243</v>
      </c>
      <c r="H46">
        <f t="shared" si="0"/>
        <v>12</v>
      </c>
      <c r="I46" t="str">
        <f t="shared" si="0"/>
        <v>Specific electricity</v>
      </c>
      <c r="J46">
        <f t="shared" si="0"/>
        <v>0.27704073824640002</v>
      </c>
      <c r="K46">
        <f t="shared" si="0"/>
        <v>0.27875981430719998</v>
      </c>
      <c r="L46">
        <f t="shared" si="0"/>
        <v>0.23252578199999999</v>
      </c>
      <c r="M46" t="s">
        <v>243</v>
      </c>
    </row>
    <row r="47" spans="1:15" x14ac:dyDescent="0.3">
      <c r="A47">
        <v>13</v>
      </c>
      <c r="B47" t="s">
        <v>241</v>
      </c>
      <c r="C47">
        <v>3.2743661194800003E-2</v>
      </c>
      <c r="D47">
        <v>4.6447822821600003E-2</v>
      </c>
      <c r="E47">
        <v>0.1293262472592</v>
      </c>
      <c r="F47" t="s">
        <v>243</v>
      </c>
      <c r="H47">
        <v>12</v>
      </c>
      <c r="I47" s="11" t="s">
        <v>434</v>
      </c>
      <c r="J47">
        <f>J43*G31+J44*G32+J46*G33</f>
        <v>0.27014270062565038</v>
      </c>
      <c r="K47">
        <f t="shared" ref="K47" si="1">K43*H31+K44*H32+K46*H33</f>
        <v>0.26136965767432574</v>
      </c>
      <c r="L47">
        <f>L43*N31+L44*N32+L46*N33</f>
        <v>0.17211086725847963</v>
      </c>
      <c r="M47" t="s">
        <v>243</v>
      </c>
    </row>
    <row r="48" spans="1:15" x14ac:dyDescent="0.3">
      <c r="A48">
        <v>13</v>
      </c>
      <c r="B48" t="s">
        <v>227</v>
      </c>
      <c r="C48">
        <v>0.37119785560559998</v>
      </c>
      <c r="D48">
        <v>0.37504599899039998</v>
      </c>
      <c r="E48">
        <v>0.27654058752119998</v>
      </c>
      <c r="F48" t="s">
        <v>243</v>
      </c>
      <c r="H48">
        <f t="shared" si="0"/>
        <v>13</v>
      </c>
      <c r="I48" t="str">
        <f t="shared" si="0"/>
        <v>Domestic cooking</v>
      </c>
      <c r="J48">
        <f t="shared" si="0"/>
        <v>0.37119785560559998</v>
      </c>
      <c r="K48">
        <f t="shared" si="0"/>
        <v>0.37504599899039998</v>
      </c>
      <c r="L48">
        <f t="shared" si="0"/>
        <v>0.27654058752119998</v>
      </c>
      <c r="M48" t="s">
        <v>243</v>
      </c>
    </row>
    <row r="49" spans="1:14" x14ac:dyDescent="0.3">
      <c r="A49">
        <v>13</v>
      </c>
      <c r="B49" t="s">
        <v>225</v>
      </c>
      <c r="C49">
        <v>1.0772451753192001</v>
      </c>
      <c r="D49">
        <v>1.1333730184955999</v>
      </c>
      <c r="E49">
        <v>0.58252178012400002</v>
      </c>
      <c r="F49" t="s">
        <v>243</v>
      </c>
      <c r="H49">
        <f t="shared" si="0"/>
        <v>13</v>
      </c>
      <c r="I49" t="str">
        <f t="shared" si="0"/>
        <v>Domestic hot water</v>
      </c>
      <c r="J49">
        <f t="shared" si="0"/>
        <v>1.0772451753192001</v>
      </c>
      <c r="K49">
        <f t="shared" si="0"/>
        <v>1.1333730184955999</v>
      </c>
      <c r="L49">
        <f t="shared" si="0"/>
        <v>0.58252178012400002</v>
      </c>
      <c r="M49" t="s">
        <v>243</v>
      </c>
    </row>
    <row r="50" spans="1:14" x14ac:dyDescent="0.3">
      <c r="A50">
        <v>13</v>
      </c>
      <c r="B50" t="s">
        <v>242</v>
      </c>
      <c r="C50">
        <v>5.3682037690679998</v>
      </c>
      <c r="D50">
        <v>5.3668955745</v>
      </c>
      <c r="E50">
        <v>2.2847417223228002</v>
      </c>
      <c r="F50" t="s">
        <v>243</v>
      </c>
      <c r="H50">
        <f t="shared" si="0"/>
        <v>13</v>
      </c>
      <c r="I50" t="str">
        <f t="shared" si="0"/>
        <v>Space heating</v>
      </c>
      <c r="J50">
        <f t="shared" si="0"/>
        <v>5.3682037690679998</v>
      </c>
      <c r="K50">
        <f t="shared" si="0"/>
        <v>5.3668955745</v>
      </c>
      <c r="L50">
        <f t="shared" si="0"/>
        <v>2.2847417223228002</v>
      </c>
    </row>
    <row r="51" spans="1:14" x14ac:dyDescent="0.3">
      <c r="A51">
        <v>13</v>
      </c>
      <c r="B51" t="s">
        <v>226</v>
      </c>
      <c r="C51">
        <v>1.2332673609875999</v>
      </c>
      <c r="D51">
        <v>1.206334786914</v>
      </c>
      <c r="E51">
        <v>0.75956958462599999</v>
      </c>
      <c r="F51" t="s">
        <v>243</v>
      </c>
      <c r="H51">
        <f t="shared" si="0"/>
        <v>13</v>
      </c>
      <c r="I51" t="str">
        <f t="shared" si="0"/>
        <v>Specific electricity</v>
      </c>
      <c r="J51">
        <f>C51</f>
        <v>1.2332673609875999</v>
      </c>
      <c r="K51">
        <f t="shared" si="0"/>
        <v>1.206334786914</v>
      </c>
      <c r="L51">
        <f t="shared" si="0"/>
        <v>0.75956958462599999</v>
      </c>
      <c r="M51" t="s">
        <v>243</v>
      </c>
    </row>
    <row r="52" spans="1:14" x14ac:dyDescent="0.3">
      <c r="H52">
        <v>13</v>
      </c>
      <c r="I52" s="11" t="s">
        <v>434</v>
      </c>
      <c r="J52">
        <f>J48*G36+J49*G37+J51*G38</f>
        <v>0.53173737728365889</v>
      </c>
      <c r="K52">
        <f t="shared" ref="K52" si="2">K48*H36+K49*H37+K51*H38</f>
        <v>0.5658908716111033</v>
      </c>
      <c r="L52">
        <f>L48*N36+L49*N37+L51*N38</f>
        <v>0.31453179733625947</v>
      </c>
      <c r="M52" t="s">
        <v>243</v>
      </c>
    </row>
    <row r="53" spans="1:14" s="60" customFormat="1" x14ac:dyDescent="0.3">
      <c r="A53" s="60" t="s">
        <v>245</v>
      </c>
    </row>
    <row r="54" spans="1:14" ht="29.4" customHeight="1" x14ac:dyDescent="0.3">
      <c r="A54" s="12" t="s">
        <v>256</v>
      </c>
      <c r="B54">
        <v>2015</v>
      </c>
      <c r="C54">
        <v>2020</v>
      </c>
      <c r="D54">
        <v>2050</v>
      </c>
      <c r="E54" s="64" t="s">
        <v>189</v>
      </c>
      <c r="F54" s="64"/>
      <c r="G54" s="58" t="s">
        <v>181</v>
      </c>
      <c r="H54" s="62"/>
      <c r="J54" s="11" t="s">
        <v>432</v>
      </c>
    </row>
    <row r="55" spans="1:14" x14ac:dyDescent="0.3">
      <c r="A55" s="56" t="s">
        <v>64</v>
      </c>
      <c r="E55" s="42" t="s">
        <v>151</v>
      </c>
      <c r="F55" s="42" t="s">
        <v>478</v>
      </c>
      <c r="G55" s="42" t="s">
        <v>182</v>
      </c>
      <c r="H55" s="43"/>
      <c r="J55" t="s">
        <v>64</v>
      </c>
      <c r="K55" t="s">
        <v>435</v>
      </c>
      <c r="L55" t="s">
        <v>436</v>
      </c>
      <c r="M55" t="s">
        <v>437</v>
      </c>
    </row>
    <row r="56" spans="1:14" x14ac:dyDescent="0.3">
      <c r="A56" t="s">
        <v>246</v>
      </c>
      <c r="B56">
        <f>G10</f>
        <v>1.28516369999999</v>
      </c>
      <c r="C56">
        <f>H10</f>
        <v>1.2425788</v>
      </c>
      <c r="D56">
        <f>N10</f>
        <v>0.86599029999999999</v>
      </c>
      <c r="E56">
        <f>(D56-B56)/B56</f>
        <v>-0.32616342960822292</v>
      </c>
      <c r="F56">
        <f>(E45-C45)/C45*0.5</f>
        <v>-0.22021822321292289</v>
      </c>
      <c r="G56">
        <f>(F56-E56)/E56</f>
        <v>-0.32482245640646479</v>
      </c>
      <c r="J56" t="s">
        <v>246</v>
      </c>
      <c r="K56">
        <v>0.29591469999999997</v>
      </c>
      <c r="L56">
        <f>K56-K56*G56</f>
        <v>0.39203443974078206</v>
      </c>
      <c r="M56">
        <f>K56</f>
        <v>0.29591469999999997</v>
      </c>
      <c r="N56" t="s">
        <v>447</v>
      </c>
    </row>
    <row r="57" spans="1:14" x14ac:dyDescent="0.3">
      <c r="A57" t="s">
        <v>247</v>
      </c>
      <c r="B57">
        <f>G9</f>
        <v>3.4773699999999998E-2</v>
      </c>
      <c r="C57">
        <f>H9</f>
        <v>3.3743299999999997E-2</v>
      </c>
      <c r="D57">
        <f>N9</f>
        <v>2.30888E-2</v>
      </c>
      <c r="E57">
        <f t="shared" ref="E57:E61" si="3">(D57-B57)/B57</f>
        <v>-0.33602693989998184</v>
      </c>
      <c r="F57">
        <f>(E42-C42)/C42*0.5</f>
        <v>2.4359840678626092</v>
      </c>
      <c r="G57">
        <f t="shared" ref="G57:G62" si="4">(F57-E57)/E57</f>
        <v>-8.24937134084451</v>
      </c>
      <c r="J57" t="s">
        <v>247</v>
      </c>
      <c r="K57">
        <v>3.9446500000000002E-2</v>
      </c>
      <c r="L57">
        <f>K57-K57*G57</f>
        <v>0.36485532659662295</v>
      </c>
      <c r="M57">
        <f>K57</f>
        <v>3.9446500000000002E-2</v>
      </c>
      <c r="N57" t="s">
        <v>448</v>
      </c>
    </row>
    <row r="58" spans="1:14" x14ac:dyDescent="0.3">
      <c r="A58" t="s">
        <v>248</v>
      </c>
      <c r="B58">
        <f>G11*G31</f>
        <v>0.34424328772932739</v>
      </c>
      <c r="C58">
        <f t="shared" ref="C58" si="5">H11*H31</f>
        <v>0.36802041955379516</v>
      </c>
      <c r="D58">
        <f>N11*N31</f>
        <v>0.38792871561687009</v>
      </c>
      <c r="E58">
        <f t="shared" si="3"/>
        <v>0.12690277325579058</v>
      </c>
      <c r="F58">
        <f>(E43-C43)/C43*0.5</f>
        <v>-0.2334803002662301</v>
      </c>
      <c r="G58">
        <f t="shared" si="4"/>
        <v>-2.8398360750999303</v>
      </c>
      <c r="J58" t="s">
        <v>240</v>
      </c>
      <c r="K58">
        <v>0.2900355</v>
      </c>
      <c r="L58">
        <f>K58+K58*F62</f>
        <v>0.23741014358519794</v>
      </c>
      <c r="M58">
        <v>0.24159</v>
      </c>
      <c r="N58">
        <f>(M58-K58)/K58</f>
        <v>-0.16703300113261998</v>
      </c>
    </row>
    <row r="59" spans="1:14" x14ac:dyDescent="0.3">
      <c r="A59" t="s">
        <v>249</v>
      </c>
      <c r="B59">
        <f>G11*G32</f>
        <v>0.21094974375694964</v>
      </c>
      <c r="C59">
        <f t="shared" ref="C59" si="6">H11*H32</f>
        <v>0.22641092748866457</v>
      </c>
      <c r="D59">
        <f>N11*N32</f>
        <v>0.26928188562173305</v>
      </c>
      <c r="E59">
        <f t="shared" si="3"/>
        <v>0.27652151088646054</v>
      </c>
      <c r="F59">
        <f>(E44-C44)/C44*0.5</f>
        <v>-0.20489885593778778</v>
      </c>
      <c r="G59">
        <f t="shared" si="4"/>
        <v>-1.7409870403243928</v>
      </c>
      <c r="J59" t="s">
        <v>65</v>
      </c>
    </row>
    <row r="60" spans="1:14" x14ac:dyDescent="0.3">
      <c r="A60" t="s">
        <v>250</v>
      </c>
      <c r="B60">
        <f>G11*G33</f>
        <v>0.16556756512092058</v>
      </c>
      <c r="C60">
        <f t="shared" ref="C60" si="7">H11*H33</f>
        <v>0.18758687765520973</v>
      </c>
      <c r="D60">
        <f>N11*N33</f>
        <v>0.2107576443235076</v>
      </c>
      <c r="E60">
        <f t="shared" si="3"/>
        <v>0.27294041057850255</v>
      </c>
      <c r="F60">
        <f>(E46-C46)/C46*0.5</f>
        <v>-8.0340091006414427E-2</v>
      </c>
      <c r="G60">
        <f t="shared" si="4"/>
        <v>-1.2943502973272885</v>
      </c>
      <c r="J60" t="s">
        <v>246</v>
      </c>
      <c r="K60">
        <v>0.28172459999999999</v>
      </c>
      <c r="L60">
        <f>K60+K60*F65</f>
        <v>0.20081419224499691</v>
      </c>
      <c r="M60">
        <f>K60</f>
        <v>0.28172459999999999</v>
      </c>
    </row>
    <row r="61" spans="1:14" x14ac:dyDescent="0.3">
      <c r="A61" t="s">
        <v>251</v>
      </c>
      <c r="B61">
        <f>G11*G34</f>
        <v>3.5072703392802336E-2</v>
      </c>
      <c r="C61">
        <f t="shared" ref="C61" si="8">H11*H34</f>
        <v>3.7776075302330417E-2</v>
      </c>
      <c r="D61">
        <f>N11*N34</f>
        <v>3.895129443788873E-2</v>
      </c>
      <c r="E61">
        <f t="shared" si="3"/>
        <v>0.11058717093026718</v>
      </c>
      <c r="F61">
        <f>0*0.5</f>
        <v>0</v>
      </c>
      <c r="G61">
        <f t="shared" si="4"/>
        <v>-1</v>
      </c>
      <c r="J61" t="s">
        <v>247</v>
      </c>
      <c r="K61">
        <v>7.3928599999999997E-2</v>
      </c>
      <c r="L61">
        <f>K61-K61*G66</f>
        <v>0.12299910845675421</v>
      </c>
      <c r="M61">
        <f>K61</f>
        <v>7.3928599999999997E-2</v>
      </c>
    </row>
    <row r="62" spans="1:14" x14ac:dyDescent="0.3">
      <c r="B62">
        <f t="shared" ref="B62:C62" si="9">SUM(B58:B61)</f>
        <v>0.75583329999999982</v>
      </c>
      <c r="C62">
        <f t="shared" si="9"/>
        <v>0.81979429999999986</v>
      </c>
      <c r="D62">
        <f>SUM(D58:D61)</f>
        <v>0.90691953999999952</v>
      </c>
      <c r="E62">
        <f>(D62-B62)/B62</f>
        <v>0.19989360087733596</v>
      </c>
      <c r="F62">
        <f>(L47-J47)/J47*0.5</f>
        <v>-0.18144453494417778</v>
      </c>
      <c r="G62">
        <f t="shared" si="4"/>
        <v>-1.9077055701023697</v>
      </c>
      <c r="J62" t="s">
        <v>240</v>
      </c>
      <c r="K62">
        <v>0.2900355</v>
      </c>
      <c r="L62">
        <f>K62+K62*F71</f>
        <v>0.23079824146398062</v>
      </c>
      <c r="M62">
        <v>0.24159</v>
      </c>
      <c r="N62">
        <f>(M62-K62)/K62</f>
        <v>-0.16703300113261998</v>
      </c>
    </row>
    <row r="64" spans="1:14" x14ac:dyDescent="0.3">
      <c r="A64" s="56" t="s">
        <v>65</v>
      </c>
      <c r="E64" s="42" t="s">
        <v>151</v>
      </c>
      <c r="F64" s="42" t="s">
        <v>152</v>
      </c>
      <c r="G64" s="42" t="s">
        <v>182</v>
      </c>
    </row>
    <row r="65" spans="1:12" x14ac:dyDescent="0.3">
      <c r="A65" t="s">
        <v>246</v>
      </c>
      <c r="B65">
        <f>G16</f>
        <v>4.0213000000000001</v>
      </c>
      <c r="C65">
        <f t="shared" ref="C65" si="10">H16</f>
        <v>3.9414799999999999</v>
      </c>
      <c r="D65">
        <f>N16</f>
        <v>2.9117397</v>
      </c>
      <c r="E65">
        <f>(D65-B65)/B65</f>
        <v>-0.27592079675726755</v>
      </c>
      <c r="F65">
        <f>(E50-C50)/C50*0.5</f>
        <v>-0.28719681474391334</v>
      </c>
      <c r="G65">
        <f>(F65-E65)/E65</f>
        <v>4.0866865126391712E-2</v>
      </c>
      <c r="J65" t="s">
        <v>449</v>
      </c>
    </row>
    <row r="66" spans="1:12" x14ac:dyDescent="0.3">
      <c r="A66" t="s">
        <v>247</v>
      </c>
      <c r="B66">
        <f>G15</f>
        <v>0.26459700000000003</v>
      </c>
      <c r="C66">
        <f t="shared" ref="C66" si="11">H15</f>
        <v>0.24918100000000001</v>
      </c>
      <c r="D66">
        <f>N15</f>
        <v>0.16426299999999999</v>
      </c>
      <c r="E66">
        <f t="shared" ref="E66:E70" si="12">(D66-B66)/B66</f>
        <v>-0.37919553131743755</v>
      </c>
      <c r="F66">
        <f>(E48-C48)/C48*0.5</f>
        <v>-0.12750244465982843</v>
      </c>
      <c r="G66">
        <f t="shared" ref="G66:G71" si="13">(F66-E66)/E66</f>
        <v>-0.66375541342260247</v>
      </c>
      <c r="J66" t="s">
        <v>450</v>
      </c>
      <c r="K66" t="s">
        <v>64</v>
      </c>
      <c r="L66">
        <v>0.23</v>
      </c>
    </row>
    <row r="67" spans="1:12" x14ac:dyDescent="0.3">
      <c r="A67" t="s">
        <v>248</v>
      </c>
      <c r="B67">
        <f>G17*G35</f>
        <v>0.96439840694731482</v>
      </c>
      <c r="C67">
        <f t="shared" ref="C67" si="14">H17*H35</f>
        <v>0.97478485925686043</v>
      </c>
      <c r="D67">
        <f>N17*N35</f>
        <v>0.98790305198780881</v>
      </c>
      <c r="E67">
        <f t="shared" si="12"/>
        <v>2.4372339140309309E-2</v>
      </c>
      <c r="F67">
        <f>(E48-C48)/C48*0.5</f>
        <v>-0.12750244465982843</v>
      </c>
      <c r="G67">
        <f t="shared" si="13"/>
        <v>-6.2314406067390014</v>
      </c>
      <c r="J67" t="s">
        <v>450</v>
      </c>
      <c r="K67" t="s">
        <v>65</v>
      </c>
      <c r="L67">
        <v>0.25</v>
      </c>
    </row>
    <row r="68" spans="1:12" x14ac:dyDescent="0.3">
      <c r="A68" t="s">
        <v>249</v>
      </c>
      <c r="B68">
        <f>G17*G36</f>
        <v>1.014968557680237</v>
      </c>
      <c r="C68">
        <f t="shared" ref="C68" si="15">H17*H36</f>
        <v>1.0048143192732668</v>
      </c>
      <c r="D68">
        <f>N17*N36</f>
        <v>0.98353241432618199</v>
      </c>
      <c r="E68">
        <f t="shared" si="12"/>
        <v>-3.0972529263274824E-2</v>
      </c>
      <c r="F68">
        <f>(E49-C49)/C49*0.5</f>
        <v>-0.22962432625822987</v>
      </c>
      <c r="G68">
        <f t="shared" si="13"/>
        <v>6.4138060959233059</v>
      </c>
      <c r="J68" t="s">
        <v>451</v>
      </c>
      <c r="K68" t="s">
        <v>64</v>
      </c>
      <c r="L68">
        <v>0.21</v>
      </c>
    </row>
    <row r="69" spans="1:12" x14ac:dyDescent="0.3">
      <c r="A69" t="s">
        <v>250</v>
      </c>
      <c r="B69">
        <f>G17*G37</f>
        <v>1.0329407127812951</v>
      </c>
      <c r="C69">
        <f t="shared" ref="C69" si="16">H17*H37</f>
        <v>1.1189534092906959</v>
      </c>
      <c r="D69">
        <f>N17*N37</f>
        <v>1.0464575468090607</v>
      </c>
      <c r="E69">
        <f t="shared" si="12"/>
        <v>1.3085779135735862E-2</v>
      </c>
      <c r="F69">
        <f>(E51-C51)/C51*0.5</f>
        <v>-0.1920499120248601</v>
      </c>
      <c r="G69">
        <f t="shared" si="13"/>
        <v>-15.676230588394416</v>
      </c>
      <c r="J69" t="s">
        <v>451</v>
      </c>
      <c r="K69" t="s">
        <v>65</v>
      </c>
      <c r="L69">
        <v>0.24159</v>
      </c>
    </row>
    <row r="70" spans="1:12" x14ac:dyDescent="0.3">
      <c r="A70" t="s">
        <v>251</v>
      </c>
      <c r="B70">
        <f>G17*G38</f>
        <v>0.16003882259115512</v>
      </c>
      <c r="C70">
        <f t="shared" ref="C70" si="17">H17*H38</f>
        <v>0.1692567121791754</v>
      </c>
      <c r="D70">
        <f>N17*N38</f>
        <v>0.15201488687694978</v>
      </c>
      <c r="E70">
        <f t="shared" si="12"/>
        <v>-5.0137432807186889E-2</v>
      </c>
      <c r="F70">
        <f>0*0.5</f>
        <v>0</v>
      </c>
      <c r="G70">
        <f t="shared" si="13"/>
        <v>-1</v>
      </c>
    </row>
    <row r="71" spans="1:12" x14ac:dyDescent="0.3">
      <c r="B71">
        <f t="shared" ref="B71" si="18">SUM(B67:B70)</f>
        <v>3.1723465000000024</v>
      </c>
      <c r="C71">
        <f t="shared" ref="C71" si="19">SUM(C67:C70)</f>
        <v>3.2678092999999984</v>
      </c>
      <c r="D71">
        <f>SUM(D67:D70)</f>
        <v>3.1699079000000014</v>
      </c>
      <c r="E71">
        <f>(D71-B71)/B71</f>
        <v>-7.6870543618137385E-4</v>
      </c>
      <c r="F71">
        <f>(L52-J52)/J52*0.5</f>
        <v>-0.20424140677958175</v>
      </c>
      <c r="G71">
        <f t="shared" si="13"/>
        <v>264.69528087920474</v>
      </c>
    </row>
  </sheetData>
  <sortState xmlns:xlrd2="http://schemas.microsoft.com/office/spreadsheetml/2017/richdata2" ref="A42:E51">
    <sortCondition ref="A42:A51"/>
    <sortCondition ref="B42:B51"/>
  </sortState>
  <mergeCells count="1">
    <mergeCell ref="E54:F5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9E9C-88E2-44C3-9BB2-1CA62033B5BF}">
  <sheetPr>
    <tabColor theme="9" tint="0.79998168889431442"/>
  </sheetPr>
  <dimension ref="A1:C7"/>
  <sheetViews>
    <sheetView workbookViewId="0">
      <selection activeCell="F15" sqref="F15"/>
    </sheetView>
  </sheetViews>
  <sheetFormatPr defaultRowHeight="14.4" x14ac:dyDescent="0.3"/>
  <sheetData>
    <row r="1" spans="1:3" x14ac:dyDescent="0.3">
      <c r="A1" t="s">
        <v>73</v>
      </c>
      <c r="B1" t="s">
        <v>111</v>
      </c>
      <c r="C1" t="s">
        <v>233</v>
      </c>
    </row>
    <row r="2" spans="1:3" x14ac:dyDescent="0.3">
      <c r="A2" t="s">
        <v>64</v>
      </c>
      <c r="B2" t="str" cm="1">
        <f t="array" ref="B2:B4">'[1]BLD-EnConsumption-computation'!J56:J58</f>
        <v>resid heating</v>
      </c>
      <c r="C2" cm="1">
        <f t="array" ref="C2:C4">'[1]BLD-EnConsumption-computation'!M56:M58</f>
        <v>0.29591469999999997</v>
      </c>
    </row>
    <row r="3" spans="1:3" x14ac:dyDescent="0.3">
      <c r="A3" t="s">
        <v>64</v>
      </c>
      <c r="B3" t="str">
        <v>resid cooling</v>
      </c>
      <c r="C3">
        <v>3.9446500000000002E-2</v>
      </c>
    </row>
    <row r="4" spans="1:3" x14ac:dyDescent="0.3">
      <c r="A4" t="s">
        <v>64</v>
      </c>
      <c r="B4" t="str">
        <v>resid others</v>
      </c>
      <c r="C4">
        <v>0.24159</v>
      </c>
    </row>
    <row r="5" spans="1:3" x14ac:dyDescent="0.3">
      <c r="A5" t="s">
        <v>65</v>
      </c>
      <c r="B5" t="str" cm="1">
        <f t="array" ref="B5:B7">'[1]BLD-EnConsumption-computation'!J60:J62</f>
        <v>resid heating</v>
      </c>
      <c r="C5" cm="1">
        <f t="array" ref="C5:C7">'[1]BLD-EnConsumption-computation'!M60:M62</f>
        <v>0.28172459999999999</v>
      </c>
    </row>
    <row r="6" spans="1:3" x14ac:dyDescent="0.3">
      <c r="A6" t="s">
        <v>65</v>
      </c>
      <c r="B6" t="str">
        <v>resid cooling</v>
      </c>
      <c r="C6">
        <v>7.3928599999999997E-2</v>
      </c>
    </row>
    <row r="7" spans="1:3" x14ac:dyDescent="0.3">
      <c r="A7" t="s">
        <v>65</v>
      </c>
      <c r="B7" t="str">
        <v>resid others</v>
      </c>
      <c r="C7">
        <v>0.24159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5901-A80A-43F1-B6ED-EB52FDCBE20C}">
  <dimension ref="A1:N21"/>
  <sheetViews>
    <sheetView workbookViewId="0">
      <selection activeCell="I24" sqref="I24"/>
    </sheetView>
  </sheetViews>
  <sheetFormatPr defaultRowHeight="14.4" x14ac:dyDescent="0.3"/>
  <sheetData>
    <row r="1" spans="1:14" x14ac:dyDescent="0.3">
      <c r="A1" t="s">
        <v>452</v>
      </c>
    </row>
    <row r="2" spans="1:14" x14ac:dyDescent="0.3">
      <c r="A2" t="s">
        <v>453</v>
      </c>
    </row>
    <row r="4" spans="1:14" x14ac:dyDescent="0.3">
      <c r="C4">
        <v>2015</v>
      </c>
      <c r="D4">
        <v>2020</v>
      </c>
      <c r="E4">
        <v>2025</v>
      </c>
      <c r="F4">
        <v>2030</v>
      </c>
      <c r="G4">
        <v>2035</v>
      </c>
      <c r="H4">
        <v>2040</v>
      </c>
      <c r="I4">
        <v>2045</v>
      </c>
      <c r="J4">
        <v>2050</v>
      </c>
    </row>
    <row r="5" spans="1:14" x14ac:dyDescent="0.3">
      <c r="B5" t="s">
        <v>454</v>
      </c>
      <c r="C5">
        <v>1.1240000000000001</v>
      </c>
      <c r="D5">
        <v>1.0820000000000001</v>
      </c>
      <c r="E5">
        <v>1.048</v>
      </c>
      <c r="F5">
        <v>1.0149999999999999</v>
      </c>
      <c r="G5">
        <v>0.98199999999999998</v>
      </c>
      <c r="H5">
        <v>0.95099999999999996</v>
      </c>
      <c r="I5">
        <v>0.92</v>
      </c>
      <c r="J5">
        <v>0.89100000000000001</v>
      </c>
      <c r="L5" t="s">
        <v>455</v>
      </c>
      <c r="M5">
        <v>-8.3499999999999998E-3</v>
      </c>
      <c r="N5">
        <v>0.99165000000000003</v>
      </c>
    </row>
    <row r="6" spans="1:14" x14ac:dyDescent="0.3">
      <c r="B6" t="s">
        <v>456</v>
      </c>
      <c r="C6">
        <v>0.99099999999999999</v>
      </c>
      <c r="D6">
        <v>0.96699999999999997</v>
      </c>
      <c r="E6">
        <v>0.94399999999999995</v>
      </c>
      <c r="F6">
        <v>0.92200000000000004</v>
      </c>
      <c r="G6">
        <v>0.9</v>
      </c>
      <c r="H6">
        <v>0.879</v>
      </c>
      <c r="I6">
        <v>0.85899999999999999</v>
      </c>
      <c r="J6">
        <v>0.83899999999999997</v>
      </c>
      <c r="L6" t="s">
        <v>457</v>
      </c>
      <c r="M6">
        <v>-1.67E-2</v>
      </c>
      <c r="N6">
        <v>0.98329999999999995</v>
      </c>
    </row>
    <row r="8" spans="1:14" x14ac:dyDescent="0.3">
      <c r="D8">
        <v>-4.2000000000000037E-2</v>
      </c>
      <c r="E8">
        <v>-3.400000000000003E-2</v>
      </c>
      <c r="F8">
        <v>-3.300000000000014E-2</v>
      </c>
      <c r="G8">
        <v>-3.2999999999999918E-2</v>
      </c>
      <c r="H8">
        <v>-3.1000000000000028E-2</v>
      </c>
      <c r="I8">
        <v>-3.0999999999999917E-2</v>
      </c>
      <c r="J8">
        <v>-2.9000000000000026E-2</v>
      </c>
    </row>
    <row r="9" spans="1:14" x14ac:dyDescent="0.3">
      <c r="D9">
        <v>-2.4000000000000021E-2</v>
      </c>
      <c r="E9">
        <v>-2.300000000000002E-2</v>
      </c>
      <c r="F9">
        <v>-2.1999999999999909E-2</v>
      </c>
      <c r="G9">
        <v>-2.200000000000002E-2</v>
      </c>
      <c r="H9">
        <v>-2.1000000000000019E-2</v>
      </c>
      <c r="I9">
        <v>-2.0000000000000018E-2</v>
      </c>
      <c r="J9">
        <v>-2.0000000000000018E-2</v>
      </c>
    </row>
    <row r="11" spans="1:14" x14ac:dyDescent="0.3">
      <c r="A11" t="s">
        <v>64</v>
      </c>
      <c r="B11" t="s">
        <v>458</v>
      </c>
      <c r="C11" t="s">
        <v>459</v>
      </c>
      <c r="D11">
        <v>1.07365</v>
      </c>
      <c r="E11">
        <v>1.0312999999999999</v>
      </c>
      <c r="F11">
        <v>0.98994999999999977</v>
      </c>
      <c r="G11">
        <v>0.94859999999999989</v>
      </c>
      <c r="H11">
        <v>0.90924999999999989</v>
      </c>
      <c r="I11">
        <v>0.86990000000000001</v>
      </c>
      <c r="J11">
        <v>0.83255000000000001</v>
      </c>
    </row>
    <row r="12" spans="1:14" x14ac:dyDescent="0.3">
      <c r="B12" t="s">
        <v>458</v>
      </c>
      <c r="C12" t="s">
        <v>460</v>
      </c>
      <c r="D12">
        <v>1.0653000000000001</v>
      </c>
      <c r="E12">
        <v>1.0146000000000002</v>
      </c>
      <c r="F12">
        <v>0.96489999999999998</v>
      </c>
      <c r="G12">
        <v>0.91520000000000001</v>
      </c>
      <c r="H12">
        <v>0.86749999999999994</v>
      </c>
      <c r="I12">
        <v>0.81979999999999997</v>
      </c>
      <c r="J12">
        <v>0.7740999999999999</v>
      </c>
    </row>
    <row r="14" spans="1:14" x14ac:dyDescent="0.3">
      <c r="A14" t="s">
        <v>65</v>
      </c>
      <c r="B14" t="s">
        <v>458</v>
      </c>
      <c r="C14" t="s">
        <v>459</v>
      </c>
      <c r="D14">
        <v>0.95865</v>
      </c>
      <c r="E14">
        <v>0.92730000000000001</v>
      </c>
      <c r="F14">
        <v>0.89695000000000014</v>
      </c>
      <c r="G14">
        <v>0.86660000000000015</v>
      </c>
      <c r="H14">
        <v>0.83725000000000016</v>
      </c>
      <c r="I14">
        <v>0.80890000000000017</v>
      </c>
      <c r="J14">
        <v>0.78055000000000019</v>
      </c>
    </row>
    <row r="15" spans="1:14" x14ac:dyDescent="0.3">
      <c r="B15" t="s">
        <v>458</v>
      </c>
      <c r="C15" t="s">
        <v>460</v>
      </c>
      <c r="D15">
        <v>0.95029999999999992</v>
      </c>
      <c r="E15">
        <v>0.91059999999999985</v>
      </c>
      <c r="F15">
        <v>0.8718999999999999</v>
      </c>
      <c r="G15">
        <v>0.83319999999999983</v>
      </c>
      <c r="H15">
        <v>0.79549999999999976</v>
      </c>
      <c r="I15">
        <v>0.7587999999999997</v>
      </c>
      <c r="J15">
        <v>0.72209999999999963</v>
      </c>
    </row>
    <row r="17" spans="1:10" x14ac:dyDescent="0.3">
      <c r="A17" t="s">
        <v>64</v>
      </c>
      <c r="B17" t="s">
        <v>461</v>
      </c>
      <c r="C17" t="s">
        <v>459</v>
      </c>
      <c r="D17">
        <v>1.07365</v>
      </c>
      <c r="E17" s="63">
        <v>1.014</v>
      </c>
      <c r="F17" s="63">
        <v>0.94799999999999995</v>
      </c>
      <c r="G17" s="63">
        <v>0.94799999999999995</v>
      </c>
      <c r="H17">
        <v>0.90924999999999989</v>
      </c>
      <c r="I17">
        <v>0.86990000000000001</v>
      </c>
      <c r="J17">
        <v>0.83255000000000001</v>
      </c>
    </row>
    <row r="18" spans="1:10" x14ac:dyDescent="0.3">
      <c r="B18" t="s">
        <v>461</v>
      </c>
      <c r="C18" t="s">
        <v>460</v>
      </c>
      <c r="D18">
        <v>1.0653000000000001</v>
      </c>
      <c r="E18" s="63">
        <v>1.014</v>
      </c>
      <c r="F18" s="63">
        <v>0.94799999999999995</v>
      </c>
      <c r="G18">
        <v>0.91520000000000001</v>
      </c>
      <c r="H18">
        <v>0.86749999999999994</v>
      </c>
      <c r="I18">
        <v>0.81979999999999997</v>
      </c>
      <c r="J18">
        <v>0.7740999999999999</v>
      </c>
    </row>
    <row r="20" spans="1:10" x14ac:dyDescent="0.3">
      <c r="A20" t="s">
        <v>65</v>
      </c>
      <c r="B20" t="s">
        <v>461</v>
      </c>
      <c r="C20" t="s">
        <v>459</v>
      </c>
      <c r="D20">
        <v>0.95865</v>
      </c>
      <c r="E20" s="63">
        <v>0.92100000000000004</v>
      </c>
      <c r="F20" s="63">
        <v>0.877</v>
      </c>
      <c r="G20">
        <v>0.86660000000000015</v>
      </c>
      <c r="H20">
        <v>0.83725000000000016</v>
      </c>
      <c r="I20">
        <v>0.80890000000000017</v>
      </c>
      <c r="J20">
        <v>0.78055000000000019</v>
      </c>
    </row>
    <row r="21" spans="1:10" x14ac:dyDescent="0.3">
      <c r="B21" t="s">
        <v>461</v>
      </c>
      <c r="C21" t="s">
        <v>460</v>
      </c>
      <c r="D21">
        <v>0.95029999999999992</v>
      </c>
      <c r="E21">
        <v>0.91059999999999985</v>
      </c>
      <c r="F21">
        <v>0.8718999999999999</v>
      </c>
      <c r="G21">
        <v>0.83319999999999983</v>
      </c>
      <c r="H21">
        <v>0.79549999999999976</v>
      </c>
      <c r="I21">
        <v>0.7587999999999997</v>
      </c>
      <c r="J21">
        <v>0.72209999999999963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DCCF-0B82-499D-9371-40DBF2F68390}">
  <dimension ref="A1:I106"/>
  <sheetViews>
    <sheetView workbookViewId="0">
      <selection activeCell="G66" sqref="G66"/>
    </sheetView>
  </sheetViews>
  <sheetFormatPr defaultRowHeight="14.4" x14ac:dyDescent="0.3"/>
  <cols>
    <col min="1" max="1" width="10.77734375" customWidth="1"/>
    <col min="2" max="2" width="15.33203125" customWidth="1"/>
    <col min="3" max="3" width="15.44140625" customWidth="1"/>
    <col min="4" max="4" width="10.6640625" customWidth="1"/>
    <col min="5" max="5" width="16.21875" customWidth="1"/>
    <col min="7" max="7" width="12.33203125" customWidth="1"/>
    <col min="9" max="9" width="13.33203125" customWidth="1"/>
  </cols>
  <sheetData>
    <row r="1" spans="1:7" x14ac:dyDescent="0.3">
      <c r="A1" t="s">
        <v>232</v>
      </c>
    </row>
    <row r="3" spans="1:7" s="60" customFormat="1" x14ac:dyDescent="0.3">
      <c r="A3" s="60" t="s">
        <v>213</v>
      </c>
    </row>
    <row r="4" spans="1:7" x14ac:dyDescent="0.3">
      <c r="A4" s="11" t="s">
        <v>462</v>
      </c>
    </row>
    <row r="5" spans="1:7" x14ac:dyDescent="0.3">
      <c r="A5" t="s">
        <v>73</v>
      </c>
      <c r="B5" t="s">
        <v>463</v>
      </c>
      <c r="C5" t="s">
        <v>205</v>
      </c>
      <c r="D5" t="s">
        <v>464</v>
      </c>
      <c r="E5" t="s">
        <v>465</v>
      </c>
      <c r="F5" t="s">
        <v>71</v>
      </c>
      <c r="G5" t="s">
        <v>466</v>
      </c>
    </row>
    <row r="6" spans="1:7" hidden="1" x14ac:dyDescent="0.3">
      <c r="A6" t="s">
        <v>64</v>
      </c>
      <c r="B6" t="s">
        <v>211</v>
      </c>
      <c r="C6" t="s">
        <v>211</v>
      </c>
      <c r="D6" t="s">
        <v>212</v>
      </c>
      <c r="E6" t="s">
        <v>246</v>
      </c>
      <c r="F6">
        <v>1975</v>
      </c>
      <c r="G6">
        <v>6415</v>
      </c>
    </row>
    <row r="7" spans="1:7" hidden="1" x14ac:dyDescent="0.3">
      <c r="A7" t="s">
        <v>64</v>
      </c>
      <c r="B7" t="s">
        <v>211</v>
      </c>
      <c r="C7" t="s">
        <v>211</v>
      </c>
      <c r="D7" t="s">
        <v>212</v>
      </c>
      <c r="E7" t="s">
        <v>246</v>
      </c>
      <c r="F7">
        <v>1990</v>
      </c>
      <c r="G7">
        <v>6300</v>
      </c>
    </row>
    <row r="8" spans="1:7" hidden="1" x14ac:dyDescent="0.3">
      <c r="A8" t="s">
        <v>64</v>
      </c>
      <c r="B8" t="s">
        <v>211</v>
      </c>
      <c r="C8" t="s">
        <v>211</v>
      </c>
      <c r="D8" t="s">
        <v>212</v>
      </c>
      <c r="E8" t="s">
        <v>246</v>
      </c>
      <c r="F8">
        <v>2005</v>
      </c>
      <c r="G8">
        <v>6290</v>
      </c>
    </row>
    <row r="9" spans="1:7" hidden="1" x14ac:dyDescent="0.3">
      <c r="A9" t="s">
        <v>64</v>
      </c>
      <c r="B9" t="s">
        <v>211</v>
      </c>
      <c r="C9" t="s">
        <v>211</v>
      </c>
      <c r="D9" t="s">
        <v>212</v>
      </c>
      <c r="E9" t="s">
        <v>246</v>
      </c>
      <c r="F9">
        <v>2010</v>
      </c>
      <c r="G9">
        <v>6287</v>
      </c>
    </row>
    <row r="10" spans="1:7" hidden="1" x14ac:dyDescent="0.3">
      <c r="A10" t="s">
        <v>64</v>
      </c>
      <c r="B10" t="s">
        <v>211</v>
      </c>
      <c r="C10" t="s">
        <v>211</v>
      </c>
      <c r="D10" t="s">
        <v>212</v>
      </c>
      <c r="E10" t="s">
        <v>246</v>
      </c>
      <c r="F10">
        <v>2015</v>
      </c>
      <c r="G10">
        <v>6284</v>
      </c>
    </row>
    <row r="11" spans="1:7" hidden="1" x14ac:dyDescent="0.3">
      <c r="A11" t="s">
        <v>64</v>
      </c>
      <c r="B11" t="s">
        <v>211</v>
      </c>
      <c r="C11" t="s">
        <v>211</v>
      </c>
      <c r="D11" t="s">
        <v>212</v>
      </c>
      <c r="E11" t="s">
        <v>246</v>
      </c>
      <c r="F11">
        <v>2020</v>
      </c>
      <c r="G11">
        <v>6284</v>
      </c>
    </row>
    <row r="12" spans="1:7" hidden="1" x14ac:dyDescent="0.3">
      <c r="A12" t="s">
        <v>64</v>
      </c>
      <c r="B12" t="s">
        <v>211</v>
      </c>
      <c r="C12" t="s">
        <v>211</v>
      </c>
      <c r="D12" t="s">
        <v>212</v>
      </c>
      <c r="E12" t="s">
        <v>246</v>
      </c>
      <c r="F12">
        <v>2025</v>
      </c>
      <c r="G12">
        <v>6291</v>
      </c>
    </row>
    <row r="13" spans="1:7" hidden="1" x14ac:dyDescent="0.3">
      <c r="A13" t="s">
        <v>64</v>
      </c>
      <c r="B13" t="s">
        <v>211</v>
      </c>
      <c r="C13" t="s">
        <v>211</v>
      </c>
      <c r="D13" t="s">
        <v>212</v>
      </c>
      <c r="E13" t="s">
        <v>246</v>
      </c>
      <c r="F13">
        <v>2030</v>
      </c>
      <c r="G13">
        <v>6288</v>
      </c>
    </row>
    <row r="14" spans="1:7" hidden="1" x14ac:dyDescent="0.3">
      <c r="A14" t="s">
        <v>64</v>
      </c>
      <c r="B14" t="s">
        <v>211</v>
      </c>
      <c r="C14" t="s">
        <v>211</v>
      </c>
      <c r="D14" t="s">
        <v>212</v>
      </c>
      <c r="E14" t="s">
        <v>246</v>
      </c>
      <c r="F14">
        <v>2035</v>
      </c>
      <c r="G14">
        <v>6286</v>
      </c>
    </row>
    <row r="15" spans="1:7" hidden="1" x14ac:dyDescent="0.3">
      <c r="A15" t="s">
        <v>64</v>
      </c>
      <c r="B15" t="s">
        <v>211</v>
      </c>
      <c r="C15" t="s">
        <v>211</v>
      </c>
      <c r="D15" t="s">
        <v>212</v>
      </c>
      <c r="E15" t="s">
        <v>246</v>
      </c>
      <c r="F15">
        <v>2040</v>
      </c>
      <c r="G15">
        <v>6285</v>
      </c>
    </row>
    <row r="16" spans="1:7" hidden="1" x14ac:dyDescent="0.3">
      <c r="A16" t="s">
        <v>64</v>
      </c>
      <c r="B16" t="s">
        <v>211</v>
      </c>
      <c r="C16" t="s">
        <v>211</v>
      </c>
      <c r="D16" t="s">
        <v>212</v>
      </c>
      <c r="E16" t="s">
        <v>246</v>
      </c>
      <c r="F16">
        <v>2045</v>
      </c>
      <c r="G16">
        <v>6284</v>
      </c>
    </row>
    <row r="17" spans="1:7" hidden="1" x14ac:dyDescent="0.3">
      <c r="A17" t="s">
        <v>64</v>
      </c>
      <c r="B17" t="s">
        <v>211</v>
      </c>
      <c r="C17" t="s">
        <v>211</v>
      </c>
      <c r="D17" t="s">
        <v>212</v>
      </c>
      <c r="E17" t="s">
        <v>246</v>
      </c>
      <c r="F17">
        <v>2050</v>
      </c>
      <c r="G17">
        <v>6284</v>
      </c>
    </row>
    <row r="18" spans="1:7" hidden="1" x14ac:dyDescent="0.3">
      <c r="A18" t="s">
        <v>64</v>
      </c>
      <c r="B18" t="s">
        <v>211</v>
      </c>
      <c r="C18" t="s">
        <v>211</v>
      </c>
      <c r="D18" t="s">
        <v>212</v>
      </c>
      <c r="E18" t="s">
        <v>246</v>
      </c>
      <c r="F18">
        <v>2055</v>
      </c>
      <c r="G18">
        <v>6284</v>
      </c>
    </row>
    <row r="19" spans="1:7" hidden="1" x14ac:dyDescent="0.3">
      <c r="A19" t="s">
        <v>64</v>
      </c>
      <c r="B19" t="s">
        <v>211</v>
      </c>
      <c r="C19" t="s">
        <v>211</v>
      </c>
      <c r="D19" t="s">
        <v>212</v>
      </c>
      <c r="E19" t="s">
        <v>246</v>
      </c>
      <c r="F19">
        <v>2060</v>
      </c>
      <c r="G19">
        <v>6283</v>
      </c>
    </row>
    <row r="20" spans="1:7" hidden="1" x14ac:dyDescent="0.3">
      <c r="A20" t="s">
        <v>64</v>
      </c>
      <c r="B20" t="s">
        <v>211</v>
      </c>
      <c r="C20" t="s">
        <v>211</v>
      </c>
      <c r="D20" t="s">
        <v>212</v>
      </c>
      <c r="E20" t="s">
        <v>246</v>
      </c>
      <c r="F20">
        <v>2065</v>
      </c>
      <c r="G20">
        <v>6283</v>
      </c>
    </row>
    <row r="21" spans="1:7" hidden="1" x14ac:dyDescent="0.3">
      <c r="A21" t="s">
        <v>64</v>
      </c>
      <c r="B21" t="s">
        <v>211</v>
      </c>
      <c r="C21" t="s">
        <v>211</v>
      </c>
      <c r="D21" t="s">
        <v>212</v>
      </c>
      <c r="E21" t="s">
        <v>246</v>
      </c>
      <c r="F21">
        <v>2070</v>
      </c>
      <c r="G21">
        <v>6284</v>
      </c>
    </row>
    <row r="22" spans="1:7" hidden="1" x14ac:dyDescent="0.3">
      <c r="A22" t="s">
        <v>64</v>
      </c>
      <c r="B22" t="s">
        <v>211</v>
      </c>
      <c r="C22" t="s">
        <v>211</v>
      </c>
      <c r="D22" t="s">
        <v>212</v>
      </c>
      <c r="E22" t="s">
        <v>246</v>
      </c>
      <c r="F22">
        <v>2075</v>
      </c>
      <c r="G22">
        <v>6284</v>
      </c>
    </row>
    <row r="23" spans="1:7" hidden="1" x14ac:dyDescent="0.3">
      <c r="A23" t="s">
        <v>64</v>
      </c>
      <c r="B23" t="s">
        <v>211</v>
      </c>
      <c r="C23" t="s">
        <v>211</v>
      </c>
      <c r="D23" t="s">
        <v>212</v>
      </c>
      <c r="E23" t="s">
        <v>246</v>
      </c>
      <c r="F23">
        <v>2080</v>
      </c>
      <c r="G23">
        <v>6284</v>
      </c>
    </row>
    <row r="24" spans="1:7" hidden="1" x14ac:dyDescent="0.3">
      <c r="A24" t="s">
        <v>64</v>
      </c>
      <c r="B24" t="s">
        <v>211</v>
      </c>
      <c r="C24" t="s">
        <v>211</v>
      </c>
      <c r="D24" t="s">
        <v>212</v>
      </c>
      <c r="E24" t="s">
        <v>246</v>
      </c>
      <c r="F24">
        <v>2085</v>
      </c>
      <c r="G24">
        <v>6285</v>
      </c>
    </row>
    <row r="25" spans="1:7" hidden="1" x14ac:dyDescent="0.3">
      <c r="A25" t="s">
        <v>64</v>
      </c>
      <c r="B25" t="s">
        <v>211</v>
      </c>
      <c r="C25" t="s">
        <v>211</v>
      </c>
      <c r="D25" t="s">
        <v>212</v>
      </c>
      <c r="E25" t="s">
        <v>246</v>
      </c>
      <c r="F25">
        <v>2090</v>
      </c>
      <c r="G25">
        <v>6287</v>
      </c>
    </row>
    <row r="26" spans="1:7" hidden="1" x14ac:dyDescent="0.3">
      <c r="A26" t="s">
        <v>64</v>
      </c>
      <c r="B26" t="s">
        <v>211</v>
      </c>
      <c r="C26" t="s">
        <v>211</v>
      </c>
      <c r="D26" t="s">
        <v>212</v>
      </c>
      <c r="E26" t="s">
        <v>246</v>
      </c>
      <c r="F26">
        <v>2095</v>
      </c>
      <c r="G26">
        <v>6288</v>
      </c>
    </row>
    <row r="27" spans="1:7" hidden="1" x14ac:dyDescent="0.3">
      <c r="A27" t="s">
        <v>64</v>
      </c>
      <c r="B27" t="s">
        <v>211</v>
      </c>
      <c r="C27" t="s">
        <v>211</v>
      </c>
      <c r="D27" t="s">
        <v>212</v>
      </c>
      <c r="E27" t="s">
        <v>246</v>
      </c>
      <c r="F27">
        <v>2100</v>
      </c>
      <c r="G27">
        <v>6291</v>
      </c>
    </row>
    <row r="28" spans="1:7" hidden="1" x14ac:dyDescent="0.3">
      <c r="A28" t="s">
        <v>65</v>
      </c>
      <c r="B28" t="s">
        <v>211</v>
      </c>
      <c r="C28" t="s">
        <v>211</v>
      </c>
      <c r="D28" t="s">
        <v>212</v>
      </c>
      <c r="E28" t="s">
        <v>246</v>
      </c>
      <c r="F28">
        <v>1975</v>
      </c>
      <c r="G28">
        <v>4907</v>
      </c>
    </row>
    <row r="29" spans="1:7" hidden="1" x14ac:dyDescent="0.3">
      <c r="A29" t="s">
        <v>65</v>
      </c>
      <c r="B29" t="s">
        <v>211</v>
      </c>
      <c r="C29" t="s">
        <v>211</v>
      </c>
      <c r="D29" t="s">
        <v>212</v>
      </c>
      <c r="E29" t="s">
        <v>246</v>
      </c>
      <c r="F29">
        <v>1990</v>
      </c>
      <c r="G29">
        <v>4801</v>
      </c>
    </row>
    <row r="30" spans="1:7" hidden="1" x14ac:dyDescent="0.3">
      <c r="A30" t="s">
        <v>65</v>
      </c>
      <c r="B30" t="s">
        <v>211</v>
      </c>
      <c r="C30" t="s">
        <v>211</v>
      </c>
      <c r="D30" t="s">
        <v>212</v>
      </c>
      <c r="E30" t="s">
        <v>246</v>
      </c>
      <c r="F30">
        <v>2005</v>
      </c>
      <c r="G30">
        <v>4783</v>
      </c>
    </row>
    <row r="31" spans="1:7" hidden="1" x14ac:dyDescent="0.3">
      <c r="A31" t="s">
        <v>65</v>
      </c>
      <c r="B31" t="s">
        <v>211</v>
      </c>
      <c r="C31" t="s">
        <v>211</v>
      </c>
      <c r="D31" t="s">
        <v>212</v>
      </c>
      <c r="E31" t="s">
        <v>246</v>
      </c>
      <c r="F31">
        <v>2010</v>
      </c>
      <c r="G31">
        <v>4772</v>
      </c>
    </row>
    <row r="32" spans="1:7" hidden="1" x14ac:dyDescent="0.3">
      <c r="A32" t="s">
        <v>65</v>
      </c>
      <c r="B32" t="s">
        <v>211</v>
      </c>
      <c r="C32" t="s">
        <v>211</v>
      </c>
      <c r="D32" t="s">
        <v>212</v>
      </c>
      <c r="E32" t="s">
        <v>246</v>
      </c>
      <c r="F32">
        <v>2015</v>
      </c>
      <c r="G32">
        <v>4780</v>
      </c>
    </row>
    <row r="33" spans="1:7" hidden="1" x14ac:dyDescent="0.3">
      <c r="A33" t="s">
        <v>65</v>
      </c>
      <c r="B33" t="s">
        <v>211</v>
      </c>
      <c r="C33" t="s">
        <v>211</v>
      </c>
      <c r="D33" t="s">
        <v>212</v>
      </c>
      <c r="E33" t="s">
        <v>246</v>
      </c>
      <c r="F33">
        <v>2020</v>
      </c>
      <c r="G33">
        <v>4787</v>
      </c>
    </row>
    <row r="34" spans="1:7" hidden="1" x14ac:dyDescent="0.3">
      <c r="A34" t="s">
        <v>65</v>
      </c>
      <c r="B34" t="s">
        <v>211</v>
      </c>
      <c r="C34" t="s">
        <v>211</v>
      </c>
      <c r="D34" t="s">
        <v>212</v>
      </c>
      <c r="E34" t="s">
        <v>246</v>
      </c>
      <c r="F34">
        <v>2025</v>
      </c>
      <c r="G34">
        <v>4790</v>
      </c>
    </row>
    <row r="35" spans="1:7" hidden="1" x14ac:dyDescent="0.3">
      <c r="A35" t="s">
        <v>65</v>
      </c>
      <c r="B35" t="s">
        <v>211</v>
      </c>
      <c r="C35" t="s">
        <v>211</v>
      </c>
      <c r="D35" t="s">
        <v>212</v>
      </c>
      <c r="E35" t="s">
        <v>246</v>
      </c>
      <c r="F35">
        <v>2030</v>
      </c>
      <c r="G35">
        <v>4790</v>
      </c>
    </row>
    <row r="36" spans="1:7" hidden="1" x14ac:dyDescent="0.3">
      <c r="A36" t="s">
        <v>65</v>
      </c>
      <c r="B36" t="s">
        <v>211</v>
      </c>
      <c r="C36" t="s">
        <v>211</v>
      </c>
      <c r="D36" t="s">
        <v>212</v>
      </c>
      <c r="E36" t="s">
        <v>246</v>
      </c>
      <c r="F36">
        <v>2035</v>
      </c>
      <c r="G36">
        <v>4790</v>
      </c>
    </row>
    <row r="37" spans="1:7" hidden="1" x14ac:dyDescent="0.3">
      <c r="A37" t="s">
        <v>65</v>
      </c>
      <c r="B37" t="s">
        <v>211</v>
      </c>
      <c r="C37" t="s">
        <v>211</v>
      </c>
      <c r="D37" t="s">
        <v>212</v>
      </c>
      <c r="E37" t="s">
        <v>246</v>
      </c>
      <c r="F37">
        <v>2040</v>
      </c>
      <c r="G37">
        <v>4789</v>
      </c>
    </row>
    <row r="38" spans="1:7" hidden="1" x14ac:dyDescent="0.3">
      <c r="A38" t="s">
        <v>65</v>
      </c>
      <c r="B38" t="s">
        <v>211</v>
      </c>
      <c r="C38" t="s">
        <v>211</v>
      </c>
      <c r="D38" t="s">
        <v>212</v>
      </c>
      <c r="E38" t="s">
        <v>246</v>
      </c>
      <c r="F38">
        <v>2045</v>
      </c>
      <c r="G38">
        <v>4788</v>
      </c>
    </row>
    <row r="39" spans="1:7" hidden="1" x14ac:dyDescent="0.3">
      <c r="A39" t="s">
        <v>65</v>
      </c>
      <c r="B39" t="s">
        <v>211</v>
      </c>
      <c r="C39" t="s">
        <v>211</v>
      </c>
      <c r="D39" t="s">
        <v>212</v>
      </c>
      <c r="E39" t="s">
        <v>246</v>
      </c>
      <c r="F39">
        <v>2050</v>
      </c>
      <c r="G39">
        <v>4787</v>
      </c>
    </row>
    <row r="40" spans="1:7" hidden="1" x14ac:dyDescent="0.3">
      <c r="A40" t="s">
        <v>65</v>
      </c>
      <c r="B40" t="s">
        <v>211</v>
      </c>
      <c r="C40" t="s">
        <v>211</v>
      </c>
      <c r="D40" t="s">
        <v>212</v>
      </c>
      <c r="E40" t="s">
        <v>246</v>
      </c>
      <c r="F40">
        <v>2055</v>
      </c>
      <c r="G40">
        <v>4787</v>
      </c>
    </row>
    <row r="41" spans="1:7" hidden="1" x14ac:dyDescent="0.3">
      <c r="A41" t="s">
        <v>65</v>
      </c>
      <c r="B41" t="s">
        <v>211</v>
      </c>
      <c r="C41" t="s">
        <v>211</v>
      </c>
      <c r="D41" t="s">
        <v>212</v>
      </c>
      <c r="E41" t="s">
        <v>246</v>
      </c>
      <c r="F41">
        <v>2060</v>
      </c>
      <c r="G41">
        <v>4788</v>
      </c>
    </row>
    <row r="42" spans="1:7" hidden="1" x14ac:dyDescent="0.3">
      <c r="A42" t="s">
        <v>65</v>
      </c>
      <c r="B42" t="s">
        <v>211</v>
      </c>
      <c r="C42" t="s">
        <v>211</v>
      </c>
      <c r="D42" t="s">
        <v>212</v>
      </c>
      <c r="E42" t="s">
        <v>246</v>
      </c>
      <c r="F42">
        <v>2065</v>
      </c>
      <c r="G42">
        <v>4790</v>
      </c>
    </row>
    <row r="43" spans="1:7" hidden="1" x14ac:dyDescent="0.3">
      <c r="A43" t="s">
        <v>65</v>
      </c>
      <c r="B43" t="s">
        <v>211</v>
      </c>
      <c r="C43" t="s">
        <v>211</v>
      </c>
      <c r="D43" t="s">
        <v>212</v>
      </c>
      <c r="E43" t="s">
        <v>246</v>
      </c>
      <c r="F43">
        <v>2070</v>
      </c>
      <c r="G43">
        <v>4792</v>
      </c>
    </row>
    <row r="44" spans="1:7" hidden="1" x14ac:dyDescent="0.3">
      <c r="A44" t="s">
        <v>65</v>
      </c>
      <c r="B44" t="s">
        <v>211</v>
      </c>
      <c r="C44" t="s">
        <v>211</v>
      </c>
      <c r="D44" t="s">
        <v>212</v>
      </c>
      <c r="E44" t="s">
        <v>246</v>
      </c>
      <c r="F44">
        <v>2075</v>
      </c>
      <c r="G44">
        <v>4795</v>
      </c>
    </row>
    <row r="45" spans="1:7" hidden="1" x14ac:dyDescent="0.3">
      <c r="A45" t="s">
        <v>65</v>
      </c>
      <c r="B45" t="s">
        <v>211</v>
      </c>
      <c r="C45" t="s">
        <v>211</v>
      </c>
      <c r="D45" t="s">
        <v>212</v>
      </c>
      <c r="E45" t="s">
        <v>246</v>
      </c>
      <c r="F45">
        <v>2080</v>
      </c>
      <c r="G45">
        <v>4796</v>
      </c>
    </row>
    <row r="46" spans="1:7" hidden="1" x14ac:dyDescent="0.3">
      <c r="A46" t="s">
        <v>65</v>
      </c>
      <c r="B46" t="s">
        <v>211</v>
      </c>
      <c r="C46" t="s">
        <v>211</v>
      </c>
      <c r="D46" t="s">
        <v>212</v>
      </c>
      <c r="E46" t="s">
        <v>246</v>
      </c>
      <c r="F46">
        <v>2085</v>
      </c>
      <c r="G46">
        <v>4795</v>
      </c>
    </row>
    <row r="47" spans="1:7" hidden="1" x14ac:dyDescent="0.3">
      <c r="A47" t="s">
        <v>65</v>
      </c>
      <c r="B47" t="s">
        <v>211</v>
      </c>
      <c r="C47" t="s">
        <v>211</v>
      </c>
      <c r="D47" t="s">
        <v>212</v>
      </c>
      <c r="E47" t="s">
        <v>246</v>
      </c>
      <c r="F47">
        <v>2090</v>
      </c>
      <c r="G47">
        <v>4794</v>
      </c>
    </row>
    <row r="48" spans="1:7" hidden="1" x14ac:dyDescent="0.3">
      <c r="A48" t="s">
        <v>65</v>
      </c>
      <c r="B48" t="s">
        <v>211</v>
      </c>
      <c r="C48" t="s">
        <v>211</v>
      </c>
      <c r="D48" t="s">
        <v>212</v>
      </c>
      <c r="E48" t="s">
        <v>246</v>
      </c>
      <c r="F48">
        <v>2095</v>
      </c>
      <c r="G48">
        <v>4793</v>
      </c>
    </row>
    <row r="49" spans="1:8" hidden="1" x14ac:dyDescent="0.3">
      <c r="A49" t="s">
        <v>65</v>
      </c>
      <c r="B49" t="s">
        <v>211</v>
      </c>
      <c r="C49" t="s">
        <v>211</v>
      </c>
      <c r="D49" t="s">
        <v>212</v>
      </c>
      <c r="E49" t="s">
        <v>246</v>
      </c>
      <c r="F49">
        <v>2100</v>
      </c>
      <c r="G49">
        <v>4794</v>
      </c>
    </row>
    <row r="52" spans="1:8" s="60" customFormat="1" x14ac:dyDescent="0.3">
      <c r="A52" s="60" t="s">
        <v>467</v>
      </c>
    </row>
    <row r="53" spans="1:8" x14ac:dyDescent="0.3">
      <c r="A53" s="11" t="s">
        <v>468</v>
      </c>
    </row>
    <row r="54" spans="1:8" x14ac:dyDescent="0.3">
      <c r="A54" t="s">
        <v>469</v>
      </c>
    </row>
    <row r="55" spans="1:8" x14ac:dyDescent="0.3">
      <c r="A55" t="s">
        <v>64</v>
      </c>
      <c r="B55" t="s">
        <v>470</v>
      </c>
      <c r="C55">
        <f>(4920-4625)/4625</f>
        <v>6.3783783783783785E-2</v>
      </c>
    </row>
    <row r="56" spans="1:8" x14ac:dyDescent="0.3">
      <c r="A56" t="s">
        <v>64</v>
      </c>
      <c r="B56" t="s">
        <v>471</v>
      </c>
      <c r="C56">
        <f>C55*2</f>
        <v>0.12756756756756757</v>
      </c>
    </row>
    <row r="57" spans="1:8" x14ac:dyDescent="0.3">
      <c r="A57" t="s">
        <v>65</v>
      </c>
      <c r="B57" t="s">
        <v>470</v>
      </c>
      <c r="C57">
        <f>(6311-5930)/5930</f>
        <v>6.4249578414839803E-2</v>
      </c>
    </row>
    <row r="58" spans="1:8" x14ac:dyDescent="0.3">
      <c r="A58" t="s">
        <v>65</v>
      </c>
      <c r="B58" t="s">
        <v>471</v>
      </c>
      <c r="C58">
        <f>C57*2</f>
        <v>0.12849915682967961</v>
      </c>
    </row>
    <row r="61" spans="1:8" s="60" customFormat="1" x14ac:dyDescent="0.3">
      <c r="A61" s="60" t="s">
        <v>472</v>
      </c>
    </row>
    <row r="62" spans="1:8" x14ac:dyDescent="0.3">
      <c r="A62" t="str">
        <f>A5</f>
        <v>region</v>
      </c>
      <c r="B62" t="str">
        <f t="shared" ref="B62:F62" si="0">B5</f>
        <v>gcam.consumer</v>
      </c>
      <c r="C62" t="str">
        <f t="shared" si="0"/>
        <v>nodeInput</v>
      </c>
      <c r="D62" t="str">
        <f t="shared" si="0"/>
        <v>building.node.input</v>
      </c>
      <c r="E62" t="str">
        <f t="shared" si="0"/>
        <v>thermal.building.service.input</v>
      </c>
      <c r="F62" t="str">
        <f t="shared" si="0"/>
        <v>year</v>
      </c>
      <c r="G62" t="s">
        <v>473</v>
      </c>
      <c r="H62" t="s">
        <v>474</v>
      </c>
    </row>
    <row r="63" spans="1:8" x14ac:dyDescent="0.3">
      <c r="A63" t="str">
        <f t="shared" ref="A63:G78" si="1">A6</f>
        <v>EU-12</v>
      </c>
      <c r="B63" t="str">
        <f t="shared" si="1"/>
        <v>resid</v>
      </c>
      <c r="C63" t="str">
        <f t="shared" si="1"/>
        <v>resid</v>
      </c>
      <c r="D63" t="str">
        <f t="shared" si="1"/>
        <v>resid_building</v>
      </c>
      <c r="E63" t="str">
        <f t="shared" si="1"/>
        <v>resid heating</v>
      </c>
      <c r="F63">
        <f t="shared" si="1"/>
        <v>1975</v>
      </c>
      <c r="G63">
        <f t="shared" si="1"/>
        <v>6415</v>
      </c>
      <c r="H63">
        <f>G6</f>
        <v>6415</v>
      </c>
    </row>
    <row r="64" spans="1:8" x14ac:dyDescent="0.3">
      <c r="A64" t="str">
        <f t="shared" si="1"/>
        <v>EU-12</v>
      </c>
      <c r="B64" t="str">
        <f t="shared" si="1"/>
        <v>resid</v>
      </c>
      <c r="C64" t="str">
        <f t="shared" si="1"/>
        <v>resid</v>
      </c>
      <c r="D64" t="str">
        <f t="shared" si="1"/>
        <v>resid_building</v>
      </c>
      <c r="E64" t="str">
        <f t="shared" si="1"/>
        <v>resid heating</v>
      </c>
      <c r="F64">
        <f t="shared" si="1"/>
        <v>1990</v>
      </c>
      <c r="G64">
        <f t="shared" si="1"/>
        <v>6300</v>
      </c>
      <c r="H64">
        <f t="shared" ref="H64:H90" si="2">G7</f>
        <v>6300</v>
      </c>
    </row>
    <row r="65" spans="1:9" x14ac:dyDescent="0.3">
      <c r="A65" t="str">
        <f t="shared" si="1"/>
        <v>EU-12</v>
      </c>
      <c r="B65" t="str">
        <f t="shared" si="1"/>
        <v>resid</v>
      </c>
      <c r="C65" t="str">
        <f t="shared" si="1"/>
        <v>resid</v>
      </c>
      <c r="D65" t="str">
        <f t="shared" si="1"/>
        <v>resid_building</v>
      </c>
      <c r="E65" t="str">
        <f t="shared" si="1"/>
        <v>resid heating</v>
      </c>
      <c r="F65">
        <f t="shared" si="1"/>
        <v>2005</v>
      </c>
      <c r="G65">
        <f t="shared" si="1"/>
        <v>6290</v>
      </c>
      <c r="H65">
        <f t="shared" si="2"/>
        <v>6290</v>
      </c>
    </row>
    <row r="66" spans="1:9" x14ac:dyDescent="0.3">
      <c r="A66" t="str">
        <f t="shared" si="1"/>
        <v>EU-12</v>
      </c>
      <c r="B66" t="str">
        <f t="shared" si="1"/>
        <v>resid</v>
      </c>
      <c r="C66" t="str">
        <f t="shared" si="1"/>
        <v>resid</v>
      </c>
      <c r="D66" t="str">
        <f t="shared" si="1"/>
        <v>resid_building</v>
      </c>
      <c r="E66" t="str">
        <f t="shared" si="1"/>
        <v>resid heating</v>
      </c>
      <c r="F66">
        <f t="shared" si="1"/>
        <v>2010</v>
      </c>
      <c r="G66">
        <f t="shared" si="1"/>
        <v>6287</v>
      </c>
      <c r="H66">
        <f t="shared" si="2"/>
        <v>6287</v>
      </c>
    </row>
    <row r="67" spans="1:9" x14ac:dyDescent="0.3">
      <c r="A67" t="str">
        <f t="shared" si="1"/>
        <v>EU-12</v>
      </c>
      <c r="B67" t="str">
        <f t="shared" si="1"/>
        <v>resid</v>
      </c>
      <c r="C67" t="str">
        <f t="shared" si="1"/>
        <v>resid</v>
      </c>
      <c r="D67" t="str">
        <f t="shared" si="1"/>
        <v>resid_building</v>
      </c>
      <c r="E67" t="str">
        <f t="shared" si="1"/>
        <v>resid heating</v>
      </c>
      <c r="F67">
        <f t="shared" si="1"/>
        <v>2015</v>
      </c>
      <c r="G67">
        <f t="shared" si="1"/>
        <v>6284</v>
      </c>
      <c r="H67">
        <f t="shared" si="2"/>
        <v>6284</v>
      </c>
    </row>
    <row r="68" spans="1:9" x14ac:dyDescent="0.3">
      <c r="A68" t="str">
        <f t="shared" si="1"/>
        <v>EU-12</v>
      </c>
      <c r="B68" t="str">
        <f t="shared" si="1"/>
        <v>resid</v>
      </c>
      <c r="C68" t="str">
        <f t="shared" si="1"/>
        <v>resid</v>
      </c>
      <c r="D68" t="str">
        <f t="shared" si="1"/>
        <v>resid_building</v>
      </c>
      <c r="E68" t="str">
        <f t="shared" si="1"/>
        <v>resid heating</v>
      </c>
      <c r="F68">
        <f t="shared" si="1"/>
        <v>2020</v>
      </c>
      <c r="G68">
        <f t="shared" si="1"/>
        <v>6284</v>
      </c>
      <c r="H68">
        <f t="shared" si="2"/>
        <v>6284</v>
      </c>
    </row>
    <row r="69" spans="1:9" x14ac:dyDescent="0.3">
      <c r="A69" t="str">
        <f t="shared" si="1"/>
        <v>EU-12</v>
      </c>
      <c r="B69" t="str">
        <f t="shared" si="1"/>
        <v>resid</v>
      </c>
      <c r="C69" t="str">
        <f t="shared" si="1"/>
        <v>resid</v>
      </c>
      <c r="D69" t="str">
        <f t="shared" si="1"/>
        <v>resid_building</v>
      </c>
      <c r="E69" t="str">
        <f t="shared" si="1"/>
        <v>resid heating</v>
      </c>
      <c r="F69">
        <f t="shared" si="1"/>
        <v>2025</v>
      </c>
      <c r="G69">
        <f>$G$68+$G$68*($G$74-$G$68)/$G$68*I69/$I$74</f>
        <v>6217.1971171171172</v>
      </c>
      <c r="H69">
        <f>$H$68+$H$68*($H$74-$H$68)/$H$68*I69/$I$74</f>
        <v>6150.3942342342343</v>
      </c>
      <c r="I69">
        <v>1</v>
      </c>
    </row>
    <row r="70" spans="1:9" x14ac:dyDescent="0.3">
      <c r="A70" t="str">
        <f t="shared" si="1"/>
        <v>EU-12</v>
      </c>
      <c r="B70" t="str">
        <f t="shared" si="1"/>
        <v>resid</v>
      </c>
      <c r="C70" t="str">
        <f t="shared" si="1"/>
        <v>resid</v>
      </c>
      <c r="D70" t="str">
        <f t="shared" si="1"/>
        <v>resid_building</v>
      </c>
      <c r="E70" t="str">
        <f t="shared" si="1"/>
        <v>resid heating</v>
      </c>
      <c r="F70">
        <f t="shared" si="1"/>
        <v>2030</v>
      </c>
      <c r="G70">
        <f t="shared" ref="G70:G73" si="3">$G$68+$G$68*($G$74-$G$68)/$G$68*I70/$I$74</f>
        <v>6150.3942342342343</v>
      </c>
      <c r="H70">
        <f t="shared" ref="H70:H73" si="4">$H$68+$H$68*($H$74-$H$68)/$H$68*I70/$I$74</f>
        <v>6016.7884684684686</v>
      </c>
      <c r="I70">
        <v>2</v>
      </c>
    </row>
    <row r="71" spans="1:9" x14ac:dyDescent="0.3">
      <c r="A71" t="str">
        <f t="shared" si="1"/>
        <v>EU-12</v>
      </c>
      <c r="B71" t="str">
        <f t="shared" si="1"/>
        <v>resid</v>
      </c>
      <c r="C71" t="str">
        <f t="shared" si="1"/>
        <v>resid</v>
      </c>
      <c r="D71" t="str">
        <f t="shared" si="1"/>
        <v>resid_building</v>
      </c>
      <c r="E71" t="str">
        <f t="shared" si="1"/>
        <v>resid heating</v>
      </c>
      <c r="F71">
        <f t="shared" si="1"/>
        <v>2035</v>
      </c>
      <c r="G71">
        <f t="shared" si="3"/>
        <v>6083.5913513513515</v>
      </c>
      <c r="H71">
        <f t="shared" si="4"/>
        <v>5883.182702702703</v>
      </c>
      <c r="I71">
        <v>3</v>
      </c>
    </row>
    <row r="72" spans="1:9" x14ac:dyDescent="0.3">
      <c r="A72" t="str">
        <f t="shared" si="1"/>
        <v>EU-12</v>
      </c>
      <c r="B72" t="str">
        <f t="shared" si="1"/>
        <v>resid</v>
      </c>
      <c r="C72" t="str">
        <f t="shared" si="1"/>
        <v>resid</v>
      </c>
      <c r="D72" t="str">
        <f t="shared" si="1"/>
        <v>resid_building</v>
      </c>
      <c r="E72" t="str">
        <f t="shared" si="1"/>
        <v>resid heating</v>
      </c>
      <c r="F72">
        <f t="shared" si="1"/>
        <v>2040</v>
      </c>
      <c r="G72">
        <f t="shared" si="3"/>
        <v>6016.7884684684686</v>
      </c>
      <c r="H72">
        <f t="shared" si="4"/>
        <v>5749.5769369369364</v>
      </c>
      <c r="I72">
        <v>4</v>
      </c>
    </row>
    <row r="73" spans="1:9" x14ac:dyDescent="0.3">
      <c r="A73" t="str">
        <f t="shared" si="1"/>
        <v>EU-12</v>
      </c>
      <c r="B73" t="str">
        <f t="shared" si="1"/>
        <v>resid</v>
      </c>
      <c r="C73" t="str">
        <f t="shared" si="1"/>
        <v>resid</v>
      </c>
      <c r="D73" t="str">
        <f t="shared" si="1"/>
        <v>resid_building</v>
      </c>
      <c r="E73" t="str">
        <f t="shared" si="1"/>
        <v>resid heating</v>
      </c>
      <c r="F73">
        <f t="shared" si="1"/>
        <v>2045</v>
      </c>
      <c r="G73">
        <f t="shared" si="3"/>
        <v>5949.9855855855858</v>
      </c>
      <c r="H73">
        <f t="shared" si="4"/>
        <v>5615.9711711711707</v>
      </c>
      <c r="I73">
        <v>5</v>
      </c>
    </row>
    <row r="74" spans="1:9" x14ac:dyDescent="0.3">
      <c r="A74" t="str">
        <f t="shared" si="1"/>
        <v>EU-12</v>
      </c>
      <c r="B74" t="str">
        <f t="shared" si="1"/>
        <v>resid</v>
      </c>
      <c r="C74" t="str">
        <f t="shared" si="1"/>
        <v>resid</v>
      </c>
      <c r="D74" t="str">
        <f t="shared" si="1"/>
        <v>resid_building</v>
      </c>
      <c r="E74" t="str">
        <f t="shared" si="1"/>
        <v>resid heating</v>
      </c>
      <c r="F74">
        <f t="shared" si="1"/>
        <v>2050</v>
      </c>
      <c r="G74">
        <f>G17-G17*C55</f>
        <v>5883.182702702703</v>
      </c>
      <c r="H74">
        <f>G17-G17*C56</f>
        <v>5482.365405405405</v>
      </c>
      <c r="I74">
        <v>6</v>
      </c>
    </row>
    <row r="75" spans="1:9" x14ac:dyDescent="0.3">
      <c r="A75" t="str">
        <f t="shared" si="1"/>
        <v>EU-12</v>
      </c>
      <c r="B75" t="str">
        <f t="shared" si="1"/>
        <v>resid</v>
      </c>
      <c r="C75" t="str">
        <f t="shared" si="1"/>
        <v>resid</v>
      </c>
      <c r="D75" t="str">
        <f t="shared" si="1"/>
        <v>resid_building</v>
      </c>
      <c r="E75" t="str">
        <f t="shared" si="1"/>
        <v>resid heating</v>
      </c>
      <c r="F75">
        <f t="shared" si="1"/>
        <v>2055</v>
      </c>
      <c r="G75">
        <f>G74</f>
        <v>5883.182702702703</v>
      </c>
      <c r="H75">
        <f>H74</f>
        <v>5482.365405405405</v>
      </c>
    </row>
    <row r="76" spans="1:9" x14ac:dyDescent="0.3">
      <c r="A76" t="str">
        <f t="shared" si="1"/>
        <v>EU-12</v>
      </c>
      <c r="B76" t="str">
        <f t="shared" si="1"/>
        <v>resid</v>
      </c>
      <c r="C76" t="str">
        <f t="shared" si="1"/>
        <v>resid</v>
      </c>
      <c r="D76" t="str">
        <f t="shared" si="1"/>
        <v>resid_building</v>
      </c>
      <c r="E76" t="str">
        <f t="shared" si="1"/>
        <v>resid heating</v>
      </c>
      <c r="F76">
        <f t="shared" si="1"/>
        <v>2060</v>
      </c>
      <c r="G76">
        <f t="shared" ref="G76:H84" si="5">G75</f>
        <v>5883.182702702703</v>
      </c>
      <c r="H76">
        <f t="shared" si="5"/>
        <v>5482.365405405405</v>
      </c>
    </row>
    <row r="77" spans="1:9" x14ac:dyDescent="0.3">
      <c r="A77" t="str">
        <f t="shared" si="1"/>
        <v>EU-12</v>
      </c>
      <c r="B77" t="str">
        <f t="shared" si="1"/>
        <v>resid</v>
      </c>
      <c r="C77" t="str">
        <f t="shared" si="1"/>
        <v>resid</v>
      </c>
      <c r="D77" t="str">
        <f t="shared" si="1"/>
        <v>resid_building</v>
      </c>
      <c r="E77" t="str">
        <f t="shared" si="1"/>
        <v>resid heating</v>
      </c>
      <c r="F77">
        <f t="shared" si="1"/>
        <v>2065</v>
      </c>
      <c r="G77">
        <f t="shared" si="5"/>
        <v>5883.182702702703</v>
      </c>
      <c r="H77">
        <f t="shared" si="5"/>
        <v>5482.365405405405</v>
      </c>
    </row>
    <row r="78" spans="1:9" x14ac:dyDescent="0.3">
      <c r="A78" t="str">
        <f t="shared" si="1"/>
        <v>EU-12</v>
      </c>
      <c r="B78" t="str">
        <f t="shared" si="1"/>
        <v>resid</v>
      </c>
      <c r="C78" t="str">
        <f t="shared" si="1"/>
        <v>resid</v>
      </c>
      <c r="D78" t="str">
        <f t="shared" si="1"/>
        <v>resid_building</v>
      </c>
      <c r="E78" t="str">
        <f t="shared" si="1"/>
        <v>resid heating</v>
      </c>
      <c r="F78">
        <f t="shared" si="1"/>
        <v>2070</v>
      </c>
      <c r="G78">
        <f t="shared" si="5"/>
        <v>5883.182702702703</v>
      </c>
      <c r="H78">
        <f t="shared" si="5"/>
        <v>5482.365405405405</v>
      </c>
    </row>
    <row r="79" spans="1:9" x14ac:dyDescent="0.3">
      <c r="A79" t="str">
        <f t="shared" ref="A79:G94" si="6">A22</f>
        <v>EU-12</v>
      </c>
      <c r="B79" t="str">
        <f t="shared" si="6"/>
        <v>resid</v>
      </c>
      <c r="C79" t="str">
        <f t="shared" si="6"/>
        <v>resid</v>
      </c>
      <c r="D79" t="str">
        <f t="shared" si="6"/>
        <v>resid_building</v>
      </c>
      <c r="E79" t="str">
        <f t="shared" si="6"/>
        <v>resid heating</v>
      </c>
      <c r="F79">
        <f t="shared" si="6"/>
        <v>2075</v>
      </c>
      <c r="G79">
        <f t="shared" si="5"/>
        <v>5883.182702702703</v>
      </c>
      <c r="H79">
        <f t="shared" si="5"/>
        <v>5482.365405405405</v>
      </c>
    </row>
    <row r="80" spans="1:9" x14ac:dyDescent="0.3">
      <c r="A80" t="str">
        <f t="shared" si="6"/>
        <v>EU-12</v>
      </c>
      <c r="B80" t="str">
        <f t="shared" si="6"/>
        <v>resid</v>
      </c>
      <c r="C80" t="str">
        <f t="shared" si="6"/>
        <v>resid</v>
      </c>
      <c r="D80" t="str">
        <f t="shared" si="6"/>
        <v>resid_building</v>
      </c>
      <c r="E80" t="str">
        <f t="shared" si="6"/>
        <v>resid heating</v>
      </c>
      <c r="F80">
        <f t="shared" si="6"/>
        <v>2080</v>
      </c>
      <c r="G80">
        <f t="shared" si="5"/>
        <v>5883.182702702703</v>
      </c>
      <c r="H80">
        <f t="shared" si="5"/>
        <v>5482.365405405405</v>
      </c>
    </row>
    <row r="81" spans="1:9" x14ac:dyDescent="0.3">
      <c r="A81" t="str">
        <f t="shared" si="6"/>
        <v>EU-12</v>
      </c>
      <c r="B81" t="str">
        <f t="shared" si="6"/>
        <v>resid</v>
      </c>
      <c r="C81" t="str">
        <f t="shared" si="6"/>
        <v>resid</v>
      </c>
      <c r="D81" t="str">
        <f t="shared" si="6"/>
        <v>resid_building</v>
      </c>
      <c r="E81" t="str">
        <f t="shared" si="6"/>
        <v>resid heating</v>
      </c>
      <c r="F81">
        <f t="shared" si="6"/>
        <v>2085</v>
      </c>
      <c r="G81">
        <f t="shared" si="5"/>
        <v>5883.182702702703</v>
      </c>
      <c r="H81">
        <f t="shared" si="5"/>
        <v>5482.365405405405</v>
      </c>
    </row>
    <row r="82" spans="1:9" x14ac:dyDescent="0.3">
      <c r="A82" t="str">
        <f t="shared" si="6"/>
        <v>EU-12</v>
      </c>
      <c r="B82" t="str">
        <f t="shared" si="6"/>
        <v>resid</v>
      </c>
      <c r="C82" t="str">
        <f t="shared" si="6"/>
        <v>resid</v>
      </c>
      <c r="D82" t="str">
        <f t="shared" si="6"/>
        <v>resid_building</v>
      </c>
      <c r="E82" t="str">
        <f t="shared" si="6"/>
        <v>resid heating</v>
      </c>
      <c r="F82">
        <f t="shared" si="6"/>
        <v>2090</v>
      </c>
      <c r="G82">
        <f t="shared" si="5"/>
        <v>5883.182702702703</v>
      </c>
      <c r="H82">
        <f t="shared" si="5"/>
        <v>5482.365405405405</v>
      </c>
    </row>
    <row r="83" spans="1:9" x14ac:dyDescent="0.3">
      <c r="A83" t="str">
        <f t="shared" si="6"/>
        <v>EU-12</v>
      </c>
      <c r="B83" t="str">
        <f t="shared" si="6"/>
        <v>resid</v>
      </c>
      <c r="C83" t="str">
        <f t="shared" si="6"/>
        <v>resid</v>
      </c>
      <c r="D83" t="str">
        <f t="shared" si="6"/>
        <v>resid_building</v>
      </c>
      <c r="E83" t="str">
        <f t="shared" si="6"/>
        <v>resid heating</v>
      </c>
      <c r="F83">
        <f t="shared" si="6"/>
        <v>2095</v>
      </c>
      <c r="G83">
        <f t="shared" si="5"/>
        <v>5883.182702702703</v>
      </c>
      <c r="H83">
        <f t="shared" si="5"/>
        <v>5482.365405405405</v>
      </c>
    </row>
    <row r="84" spans="1:9" x14ac:dyDescent="0.3">
      <c r="A84" t="str">
        <f t="shared" si="6"/>
        <v>EU-12</v>
      </c>
      <c r="B84" t="str">
        <f t="shared" si="6"/>
        <v>resid</v>
      </c>
      <c r="C84" t="str">
        <f t="shared" si="6"/>
        <v>resid</v>
      </c>
      <c r="D84" t="str">
        <f t="shared" si="6"/>
        <v>resid_building</v>
      </c>
      <c r="E84" t="str">
        <f t="shared" si="6"/>
        <v>resid heating</v>
      </c>
      <c r="F84">
        <f t="shared" si="6"/>
        <v>2100</v>
      </c>
      <c r="G84">
        <f t="shared" si="5"/>
        <v>5883.182702702703</v>
      </c>
      <c r="H84">
        <f t="shared" si="5"/>
        <v>5482.365405405405</v>
      </c>
    </row>
    <row r="85" spans="1:9" x14ac:dyDescent="0.3">
      <c r="A85" t="str">
        <f t="shared" si="6"/>
        <v>EU-15</v>
      </c>
      <c r="B85" t="str">
        <f t="shared" si="6"/>
        <v>resid</v>
      </c>
      <c r="C85" t="str">
        <f t="shared" si="6"/>
        <v>resid</v>
      </c>
      <c r="D85" t="str">
        <f t="shared" si="6"/>
        <v>resid_building</v>
      </c>
      <c r="E85" t="str">
        <f t="shared" si="6"/>
        <v>resid heating</v>
      </c>
      <c r="F85">
        <f t="shared" si="6"/>
        <v>1975</v>
      </c>
      <c r="G85">
        <f t="shared" si="6"/>
        <v>4907</v>
      </c>
      <c r="H85">
        <f t="shared" si="2"/>
        <v>4907</v>
      </c>
    </row>
    <row r="86" spans="1:9" x14ac:dyDescent="0.3">
      <c r="A86" t="str">
        <f t="shared" si="6"/>
        <v>EU-15</v>
      </c>
      <c r="B86" t="str">
        <f t="shared" si="6"/>
        <v>resid</v>
      </c>
      <c r="C86" t="str">
        <f t="shared" si="6"/>
        <v>resid</v>
      </c>
      <c r="D86" t="str">
        <f t="shared" si="6"/>
        <v>resid_building</v>
      </c>
      <c r="E86" t="str">
        <f t="shared" si="6"/>
        <v>resid heating</v>
      </c>
      <c r="F86">
        <f t="shared" si="6"/>
        <v>1990</v>
      </c>
      <c r="G86">
        <f t="shared" si="6"/>
        <v>4801</v>
      </c>
      <c r="H86">
        <f t="shared" si="2"/>
        <v>4801</v>
      </c>
    </row>
    <row r="87" spans="1:9" x14ac:dyDescent="0.3">
      <c r="A87" t="str">
        <f t="shared" si="6"/>
        <v>EU-15</v>
      </c>
      <c r="B87" t="str">
        <f t="shared" si="6"/>
        <v>resid</v>
      </c>
      <c r="C87" t="str">
        <f t="shared" si="6"/>
        <v>resid</v>
      </c>
      <c r="D87" t="str">
        <f t="shared" si="6"/>
        <v>resid_building</v>
      </c>
      <c r="E87" t="str">
        <f t="shared" si="6"/>
        <v>resid heating</v>
      </c>
      <c r="F87">
        <f t="shared" si="6"/>
        <v>2005</v>
      </c>
      <c r="G87">
        <f t="shared" si="6"/>
        <v>4783</v>
      </c>
      <c r="H87">
        <f t="shared" si="2"/>
        <v>4783</v>
      </c>
    </row>
    <row r="88" spans="1:9" x14ac:dyDescent="0.3">
      <c r="A88" t="str">
        <f t="shared" si="6"/>
        <v>EU-15</v>
      </c>
      <c r="B88" t="str">
        <f t="shared" si="6"/>
        <v>resid</v>
      </c>
      <c r="C88" t="str">
        <f t="shared" si="6"/>
        <v>resid</v>
      </c>
      <c r="D88" t="str">
        <f t="shared" si="6"/>
        <v>resid_building</v>
      </c>
      <c r="E88" t="str">
        <f t="shared" si="6"/>
        <v>resid heating</v>
      </c>
      <c r="F88">
        <f t="shared" si="6"/>
        <v>2010</v>
      </c>
      <c r="G88">
        <f t="shared" si="6"/>
        <v>4772</v>
      </c>
      <c r="H88">
        <f t="shared" si="2"/>
        <v>4772</v>
      </c>
    </row>
    <row r="89" spans="1:9" x14ac:dyDescent="0.3">
      <c r="A89" t="str">
        <f t="shared" si="6"/>
        <v>EU-15</v>
      </c>
      <c r="B89" t="str">
        <f t="shared" si="6"/>
        <v>resid</v>
      </c>
      <c r="C89" t="str">
        <f t="shared" si="6"/>
        <v>resid</v>
      </c>
      <c r="D89" t="str">
        <f t="shared" si="6"/>
        <v>resid_building</v>
      </c>
      <c r="E89" t="str">
        <f t="shared" si="6"/>
        <v>resid heating</v>
      </c>
      <c r="F89">
        <f t="shared" si="6"/>
        <v>2015</v>
      </c>
      <c r="G89">
        <f t="shared" si="6"/>
        <v>4780</v>
      </c>
      <c r="H89">
        <f t="shared" si="2"/>
        <v>4780</v>
      </c>
    </row>
    <row r="90" spans="1:9" x14ac:dyDescent="0.3">
      <c r="A90" t="str">
        <f t="shared" si="6"/>
        <v>EU-15</v>
      </c>
      <c r="B90" t="str">
        <f t="shared" si="6"/>
        <v>resid</v>
      </c>
      <c r="C90" t="str">
        <f t="shared" si="6"/>
        <v>resid</v>
      </c>
      <c r="D90" t="str">
        <f t="shared" si="6"/>
        <v>resid_building</v>
      </c>
      <c r="E90" t="str">
        <f t="shared" si="6"/>
        <v>resid heating</v>
      </c>
      <c r="F90">
        <f t="shared" si="6"/>
        <v>2020</v>
      </c>
      <c r="G90">
        <f t="shared" si="6"/>
        <v>4787</v>
      </c>
      <c r="H90">
        <f t="shared" si="2"/>
        <v>4787</v>
      </c>
    </row>
    <row r="91" spans="1:9" x14ac:dyDescent="0.3">
      <c r="A91" t="str">
        <f t="shared" si="6"/>
        <v>EU-15</v>
      </c>
      <c r="B91" t="str">
        <f t="shared" si="6"/>
        <v>resid</v>
      </c>
      <c r="C91" t="str">
        <f t="shared" si="6"/>
        <v>resid</v>
      </c>
      <c r="D91" t="str">
        <f t="shared" si="6"/>
        <v>resid_building</v>
      </c>
      <c r="E91" t="str">
        <f t="shared" si="6"/>
        <v>resid heating</v>
      </c>
      <c r="F91">
        <f t="shared" si="6"/>
        <v>2025</v>
      </c>
      <c r="G91">
        <f>$G$90+$G$90*(G96-$G$90)/$G$90*I91/$I$74</f>
        <v>4735.7395446880273</v>
      </c>
      <c r="H91">
        <f>$H$90+$H$90*(H96-$H$90)/$H$90*I91/$I$74</f>
        <v>4684.4790893760537</v>
      </c>
      <c r="I91">
        <v>1</v>
      </c>
    </row>
    <row r="92" spans="1:9" x14ac:dyDescent="0.3">
      <c r="A92" t="str">
        <f t="shared" si="6"/>
        <v>EU-15</v>
      </c>
      <c r="B92" t="str">
        <f t="shared" si="6"/>
        <v>resid</v>
      </c>
      <c r="C92" t="str">
        <f t="shared" si="6"/>
        <v>resid</v>
      </c>
      <c r="D92" t="str">
        <f t="shared" si="6"/>
        <v>resid_building</v>
      </c>
      <c r="E92" t="str">
        <f t="shared" si="6"/>
        <v>resid heating</v>
      </c>
      <c r="F92">
        <f t="shared" si="6"/>
        <v>2030</v>
      </c>
      <c r="G92">
        <f t="shared" ref="G92:G95" si="7">$G$90+$G$90*(G97-$G$90)/$G$90*I92/$I$74</f>
        <v>4684.4790893760537</v>
      </c>
      <c r="H92">
        <f t="shared" ref="H92:H95" si="8">$H$90+$H$90*(H97-$H$90)/$H$90*I92/$I$74</f>
        <v>4581.9581787521083</v>
      </c>
      <c r="I92">
        <v>2</v>
      </c>
    </row>
    <row r="93" spans="1:9" x14ac:dyDescent="0.3">
      <c r="A93" t="str">
        <f t="shared" si="6"/>
        <v>EU-15</v>
      </c>
      <c r="B93" t="str">
        <f t="shared" si="6"/>
        <v>resid</v>
      </c>
      <c r="C93" t="str">
        <f t="shared" si="6"/>
        <v>resid</v>
      </c>
      <c r="D93" t="str">
        <f t="shared" si="6"/>
        <v>resid_building</v>
      </c>
      <c r="E93" t="str">
        <f t="shared" si="6"/>
        <v>resid heating</v>
      </c>
      <c r="F93">
        <f t="shared" si="6"/>
        <v>2035</v>
      </c>
      <c r="G93">
        <f t="shared" si="7"/>
        <v>4633.218634064081</v>
      </c>
      <c r="H93">
        <f t="shared" si="8"/>
        <v>4479.437268128162</v>
      </c>
      <c r="I93">
        <v>3</v>
      </c>
    </row>
    <row r="94" spans="1:9" x14ac:dyDescent="0.3">
      <c r="A94" t="str">
        <f t="shared" si="6"/>
        <v>EU-15</v>
      </c>
      <c r="B94" t="str">
        <f t="shared" si="6"/>
        <v>resid</v>
      </c>
      <c r="C94" t="str">
        <f t="shared" si="6"/>
        <v>resid</v>
      </c>
      <c r="D94" t="str">
        <f t="shared" si="6"/>
        <v>resid_building</v>
      </c>
      <c r="E94" t="str">
        <f t="shared" si="6"/>
        <v>resid heating</v>
      </c>
      <c r="F94">
        <f t="shared" si="6"/>
        <v>2040</v>
      </c>
      <c r="G94">
        <f t="shared" si="7"/>
        <v>4581.9581787521083</v>
      </c>
      <c r="H94">
        <f t="shared" si="8"/>
        <v>4376.9163575042157</v>
      </c>
      <c r="I94">
        <v>4</v>
      </c>
    </row>
    <row r="95" spans="1:9" x14ac:dyDescent="0.3">
      <c r="A95" t="str">
        <f t="shared" ref="A95:F106" si="9">A38</f>
        <v>EU-15</v>
      </c>
      <c r="B95" t="str">
        <f t="shared" si="9"/>
        <v>resid</v>
      </c>
      <c r="C95" t="str">
        <f t="shared" si="9"/>
        <v>resid</v>
      </c>
      <c r="D95" t="str">
        <f t="shared" si="9"/>
        <v>resid_building</v>
      </c>
      <c r="E95" t="str">
        <f t="shared" si="9"/>
        <v>resid heating</v>
      </c>
      <c r="F95">
        <f t="shared" si="9"/>
        <v>2045</v>
      </c>
      <c r="G95">
        <f t="shared" si="7"/>
        <v>4530.6977234401347</v>
      </c>
      <c r="H95">
        <f t="shared" si="8"/>
        <v>4274.3954468802704</v>
      </c>
      <c r="I95">
        <v>5</v>
      </c>
    </row>
    <row r="96" spans="1:9" x14ac:dyDescent="0.3">
      <c r="A96" t="str">
        <f t="shared" si="9"/>
        <v>EU-15</v>
      </c>
      <c r="B96" t="str">
        <f t="shared" si="9"/>
        <v>resid</v>
      </c>
      <c r="C96" t="str">
        <f t="shared" si="9"/>
        <v>resid</v>
      </c>
      <c r="D96" t="str">
        <f t="shared" si="9"/>
        <v>resid_building</v>
      </c>
      <c r="E96" t="str">
        <f t="shared" si="9"/>
        <v>resid heating</v>
      </c>
      <c r="F96">
        <f t="shared" si="9"/>
        <v>2050</v>
      </c>
      <c r="G96">
        <f>G39-G39*C57</f>
        <v>4479.437268128162</v>
      </c>
      <c r="H96">
        <f>G39-G39*C58</f>
        <v>4171.8745362563241</v>
      </c>
      <c r="I96">
        <v>6</v>
      </c>
    </row>
    <row r="97" spans="1:8" x14ac:dyDescent="0.3">
      <c r="A97" t="str">
        <f t="shared" si="9"/>
        <v>EU-15</v>
      </c>
      <c r="B97" t="str">
        <f t="shared" si="9"/>
        <v>resid</v>
      </c>
      <c r="C97" t="str">
        <f t="shared" si="9"/>
        <v>resid</v>
      </c>
      <c r="D97" t="str">
        <f t="shared" si="9"/>
        <v>resid_building</v>
      </c>
      <c r="E97" t="str">
        <f t="shared" si="9"/>
        <v>resid heating</v>
      </c>
      <c r="F97">
        <f t="shared" si="9"/>
        <v>2055</v>
      </c>
      <c r="G97">
        <f>G96</f>
        <v>4479.437268128162</v>
      </c>
      <c r="H97">
        <f>H96</f>
        <v>4171.8745362563241</v>
      </c>
    </row>
    <row r="98" spans="1:8" x14ac:dyDescent="0.3">
      <c r="A98" t="str">
        <f t="shared" si="9"/>
        <v>EU-15</v>
      </c>
      <c r="B98" t="str">
        <f t="shared" si="9"/>
        <v>resid</v>
      </c>
      <c r="C98" t="str">
        <f t="shared" si="9"/>
        <v>resid</v>
      </c>
      <c r="D98" t="str">
        <f t="shared" si="9"/>
        <v>resid_building</v>
      </c>
      <c r="E98" t="str">
        <f t="shared" si="9"/>
        <v>resid heating</v>
      </c>
      <c r="F98">
        <f t="shared" si="9"/>
        <v>2060</v>
      </c>
      <c r="G98">
        <f t="shared" ref="G98:H106" si="10">G97</f>
        <v>4479.437268128162</v>
      </c>
      <c r="H98">
        <f t="shared" si="10"/>
        <v>4171.8745362563241</v>
      </c>
    </row>
    <row r="99" spans="1:8" x14ac:dyDescent="0.3">
      <c r="A99" t="str">
        <f t="shared" si="9"/>
        <v>EU-15</v>
      </c>
      <c r="B99" t="str">
        <f t="shared" si="9"/>
        <v>resid</v>
      </c>
      <c r="C99" t="str">
        <f t="shared" si="9"/>
        <v>resid</v>
      </c>
      <c r="D99" t="str">
        <f t="shared" si="9"/>
        <v>resid_building</v>
      </c>
      <c r="E99" t="str">
        <f t="shared" si="9"/>
        <v>resid heating</v>
      </c>
      <c r="F99">
        <f t="shared" si="9"/>
        <v>2065</v>
      </c>
      <c r="G99">
        <f t="shared" si="10"/>
        <v>4479.437268128162</v>
      </c>
      <c r="H99">
        <f t="shared" si="10"/>
        <v>4171.8745362563241</v>
      </c>
    </row>
    <row r="100" spans="1:8" x14ac:dyDescent="0.3">
      <c r="A100" t="str">
        <f t="shared" si="9"/>
        <v>EU-15</v>
      </c>
      <c r="B100" t="str">
        <f t="shared" si="9"/>
        <v>resid</v>
      </c>
      <c r="C100" t="str">
        <f t="shared" si="9"/>
        <v>resid</v>
      </c>
      <c r="D100" t="str">
        <f t="shared" si="9"/>
        <v>resid_building</v>
      </c>
      <c r="E100" t="str">
        <f t="shared" si="9"/>
        <v>resid heating</v>
      </c>
      <c r="F100">
        <f t="shared" si="9"/>
        <v>2070</v>
      </c>
      <c r="G100">
        <f t="shared" si="10"/>
        <v>4479.437268128162</v>
      </c>
      <c r="H100">
        <f t="shared" si="10"/>
        <v>4171.8745362563241</v>
      </c>
    </row>
    <row r="101" spans="1:8" x14ac:dyDescent="0.3">
      <c r="A101" t="str">
        <f t="shared" si="9"/>
        <v>EU-15</v>
      </c>
      <c r="B101" t="str">
        <f t="shared" si="9"/>
        <v>resid</v>
      </c>
      <c r="C101" t="str">
        <f t="shared" si="9"/>
        <v>resid</v>
      </c>
      <c r="D101" t="str">
        <f t="shared" si="9"/>
        <v>resid_building</v>
      </c>
      <c r="E101" t="str">
        <f t="shared" si="9"/>
        <v>resid heating</v>
      </c>
      <c r="F101">
        <f t="shared" si="9"/>
        <v>2075</v>
      </c>
      <c r="G101">
        <f t="shared" si="10"/>
        <v>4479.437268128162</v>
      </c>
      <c r="H101">
        <f t="shared" si="10"/>
        <v>4171.8745362563241</v>
      </c>
    </row>
    <row r="102" spans="1:8" x14ac:dyDescent="0.3">
      <c r="A102" t="str">
        <f t="shared" si="9"/>
        <v>EU-15</v>
      </c>
      <c r="B102" t="str">
        <f t="shared" si="9"/>
        <v>resid</v>
      </c>
      <c r="C102" t="str">
        <f t="shared" si="9"/>
        <v>resid</v>
      </c>
      <c r="D102" t="str">
        <f t="shared" si="9"/>
        <v>resid_building</v>
      </c>
      <c r="E102" t="str">
        <f t="shared" si="9"/>
        <v>resid heating</v>
      </c>
      <c r="F102">
        <f t="shared" si="9"/>
        <v>2080</v>
      </c>
      <c r="G102">
        <f t="shared" si="10"/>
        <v>4479.437268128162</v>
      </c>
      <c r="H102">
        <f t="shared" si="10"/>
        <v>4171.8745362563241</v>
      </c>
    </row>
    <row r="103" spans="1:8" x14ac:dyDescent="0.3">
      <c r="A103" t="str">
        <f t="shared" si="9"/>
        <v>EU-15</v>
      </c>
      <c r="B103" t="str">
        <f t="shared" si="9"/>
        <v>resid</v>
      </c>
      <c r="C103" t="str">
        <f t="shared" si="9"/>
        <v>resid</v>
      </c>
      <c r="D103" t="str">
        <f t="shared" si="9"/>
        <v>resid_building</v>
      </c>
      <c r="E103" t="str">
        <f t="shared" si="9"/>
        <v>resid heating</v>
      </c>
      <c r="F103">
        <f t="shared" si="9"/>
        <v>2085</v>
      </c>
      <c r="G103">
        <f t="shared" si="10"/>
        <v>4479.437268128162</v>
      </c>
      <c r="H103">
        <f t="shared" si="10"/>
        <v>4171.8745362563241</v>
      </c>
    </row>
    <row r="104" spans="1:8" x14ac:dyDescent="0.3">
      <c r="A104" t="str">
        <f t="shared" si="9"/>
        <v>EU-15</v>
      </c>
      <c r="B104" t="str">
        <f t="shared" si="9"/>
        <v>resid</v>
      </c>
      <c r="C104" t="str">
        <f t="shared" si="9"/>
        <v>resid</v>
      </c>
      <c r="D104" t="str">
        <f t="shared" si="9"/>
        <v>resid_building</v>
      </c>
      <c r="E104" t="str">
        <f t="shared" si="9"/>
        <v>resid heating</v>
      </c>
      <c r="F104">
        <f t="shared" si="9"/>
        <v>2090</v>
      </c>
      <c r="G104">
        <f t="shared" si="10"/>
        <v>4479.437268128162</v>
      </c>
      <c r="H104">
        <f t="shared" si="10"/>
        <v>4171.8745362563241</v>
      </c>
    </row>
    <row r="105" spans="1:8" x14ac:dyDescent="0.3">
      <c r="A105" t="str">
        <f t="shared" si="9"/>
        <v>EU-15</v>
      </c>
      <c r="B105" t="str">
        <f t="shared" si="9"/>
        <v>resid</v>
      </c>
      <c r="C105" t="str">
        <f t="shared" si="9"/>
        <v>resid</v>
      </c>
      <c r="D105" t="str">
        <f t="shared" si="9"/>
        <v>resid_building</v>
      </c>
      <c r="E105" t="str">
        <f t="shared" si="9"/>
        <v>resid heating</v>
      </c>
      <c r="F105">
        <f t="shared" si="9"/>
        <v>2095</v>
      </c>
      <c r="G105">
        <f t="shared" si="10"/>
        <v>4479.437268128162</v>
      </c>
      <c r="H105">
        <f t="shared" si="10"/>
        <v>4171.8745362563241</v>
      </c>
    </row>
    <row r="106" spans="1:8" x14ac:dyDescent="0.3">
      <c r="A106" t="str">
        <f t="shared" si="9"/>
        <v>EU-15</v>
      </c>
      <c r="B106" t="str">
        <f t="shared" si="9"/>
        <v>resid</v>
      </c>
      <c r="C106" t="str">
        <f t="shared" si="9"/>
        <v>resid</v>
      </c>
      <c r="D106" t="str">
        <f t="shared" si="9"/>
        <v>resid_building</v>
      </c>
      <c r="E106" t="str">
        <f t="shared" si="9"/>
        <v>resid heating</v>
      </c>
      <c r="F106">
        <f t="shared" si="9"/>
        <v>2100</v>
      </c>
      <c r="G106">
        <f t="shared" si="10"/>
        <v>4479.437268128162</v>
      </c>
      <c r="H106">
        <f t="shared" si="10"/>
        <v>4171.8745362563241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2719-856B-4002-B762-A2069E357132}">
  <sheetPr>
    <tabColor theme="9" tint="0.79998168889431442"/>
  </sheetPr>
  <dimension ref="A1:H45"/>
  <sheetViews>
    <sheetView workbookViewId="0">
      <selection activeCell="N34" sqref="N34"/>
    </sheetView>
  </sheetViews>
  <sheetFormatPr defaultRowHeight="14.4" x14ac:dyDescent="0.3"/>
  <sheetData>
    <row r="1" spans="1:8" x14ac:dyDescent="0.3">
      <c r="A1" t="str" cm="1">
        <f t="array" ref="A1:H45">'BLD-HDD-computation'!A62:H106</f>
        <v>region</v>
      </c>
      <c r="B1" t="str">
        <v>gcam.consumer</v>
      </c>
      <c r="C1" t="str">
        <v>nodeInput</v>
      </c>
      <c r="D1" t="str">
        <v>building.node.input</v>
      </c>
      <c r="E1" t="str">
        <v>thermal.building.service.input</v>
      </c>
      <c r="F1" t="str">
        <v>year</v>
      </c>
      <c r="G1" t="str">
        <v>degree.days-L</v>
      </c>
      <c r="H1" t="str">
        <v>degree.days-H</v>
      </c>
    </row>
    <row r="2" spans="1:8" x14ac:dyDescent="0.3">
      <c r="A2" t="str">
        <v>EU-12</v>
      </c>
      <c r="B2" t="str">
        <v>resid</v>
      </c>
      <c r="C2" t="str">
        <v>resid</v>
      </c>
      <c r="D2" t="str">
        <v>resid_building</v>
      </c>
      <c r="E2" t="str">
        <v>resid heating</v>
      </c>
      <c r="F2">
        <v>1975</v>
      </c>
      <c r="G2">
        <v>6415</v>
      </c>
      <c r="H2">
        <v>6415</v>
      </c>
    </row>
    <row r="3" spans="1:8" x14ac:dyDescent="0.3">
      <c r="A3" t="str">
        <v>EU-12</v>
      </c>
      <c r="B3" t="str">
        <v>resid</v>
      </c>
      <c r="C3" t="str">
        <v>resid</v>
      </c>
      <c r="D3" t="str">
        <v>resid_building</v>
      </c>
      <c r="E3" t="str">
        <v>resid heating</v>
      </c>
      <c r="F3">
        <v>1990</v>
      </c>
      <c r="G3">
        <v>6300</v>
      </c>
      <c r="H3">
        <v>6300</v>
      </c>
    </row>
    <row r="4" spans="1:8" x14ac:dyDescent="0.3">
      <c r="A4" t="str">
        <v>EU-12</v>
      </c>
      <c r="B4" t="str">
        <v>resid</v>
      </c>
      <c r="C4" t="str">
        <v>resid</v>
      </c>
      <c r="D4" t="str">
        <v>resid_building</v>
      </c>
      <c r="E4" t="str">
        <v>resid heating</v>
      </c>
      <c r="F4">
        <v>2005</v>
      </c>
      <c r="G4">
        <v>6290</v>
      </c>
      <c r="H4">
        <v>6290</v>
      </c>
    </row>
    <row r="5" spans="1:8" x14ac:dyDescent="0.3">
      <c r="A5" t="str">
        <v>EU-12</v>
      </c>
      <c r="B5" t="str">
        <v>resid</v>
      </c>
      <c r="C5" t="str">
        <v>resid</v>
      </c>
      <c r="D5" t="str">
        <v>resid_building</v>
      </c>
      <c r="E5" t="str">
        <v>resid heating</v>
      </c>
      <c r="F5">
        <v>2010</v>
      </c>
      <c r="G5">
        <v>6287</v>
      </c>
      <c r="H5">
        <v>6287</v>
      </c>
    </row>
    <row r="6" spans="1:8" x14ac:dyDescent="0.3">
      <c r="A6" t="str">
        <v>EU-12</v>
      </c>
      <c r="B6" t="str">
        <v>resid</v>
      </c>
      <c r="C6" t="str">
        <v>resid</v>
      </c>
      <c r="D6" t="str">
        <v>resid_building</v>
      </c>
      <c r="E6" t="str">
        <v>resid heating</v>
      </c>
      <c r="F6">
        <v>2015</v>
      </c>
      <c r="G6">
        <v>6284</v>
      </c>
      <c r="H6">
        <v>6284</v>
      </c>
    </row>
    <row r="7" spans="1:8" x14ac:dyDescent="0.3">
      <c r="A7" t="str">
        <v>EU-12</v>
      </c>
      <c r="B7" t="str">
        <v>resid</v>
      </c>
      <c r="C7" t="str">
        <v>resid</v>
      </c>
      <c r="D7" t="str">
        <v>resid_building</v>
      </c>
      <c r="E7" t="str">
        <v>resid heating</v>
      </c>
      <c r="F7">
        <v>2020</v>
      </c>
      <c r="G7">
        <v>6284</v>
      </c>
      <c r="H7">
        <v>6284</v>
      </c>
    </row>
    <row r="8" spans="1:8" x14ac:dyDescent="0.3">
      <c r="A8" t="str">
        <v>EU-12</v>
      </c>
      <c r="B8" t="str">
        <v>resid</v>
      </c>
      <c r="C8" t="str">
        <v>resid</v>
      </c>
      <c r="D8" t="str">
        <v>resid_building</v>
      </c>
      <c r="E8" t="str">
        <v>resid heating</v>
      </c>
      <c r="F8">
        <v>2025</v>
      </c>
      <c r="G8">
        <v>6217.1971171171172</v>
      </c>
      <c r="H8">
        <v>6150.3942342342343</v>
      </c>
    </row>
    <row r="9" spans="1:8" x14ac:dyDescent="0.3">
      <c r="A9" t="str">
        <v>EU-12</v>
      </c>
      <c r="B9" t="str">
        <v>resid</v>
      </c>
      <c r="C9" t="str">
        <v>resid</v>
      </c>
      <c r="D9" t="str">
        <v>resid_building</v>
      </c>
      <c r="E9" t="str">
        <v>resid heating</v>
      </c>
      <c r="F9">
        <v>2030</v>
      </c>
      <c r="G9">
        <v>6150.3942342342343</v>
      </c>
      <c r="H9">
        <v>6016.7884684684686</v>
      </c>
    </row>
    <row r="10" spans="1:8" x14ac:dyDescent="0.3">
      <c r="A10" t="str">
        <v>EU-12</v>
      </c>
      <c r="B10" t="str">
        <v>resid</v>
      </c>
      <c r="C10" t="str">
        <v>resid</v>
      </c>
      <c r="D10" t="str">
        <v>resid_building</v>
      </c>
      <c r="E10" t="str">
        <v>resid heating</v>
      </c>
      <c r="F10">
        <v>2035</v>
      </c>
      <c r="G10">
        <v>6083.5913513513515</v>
      </c>
      <c r="H10">
        <v>5883.182702702703</v>
      </c>
    </row>
    <row r="11" spans="1:8" x14ac:dyDescent="0.3">
      <c r="A11" t="str">
        <v>EU-12</v>
      </c>
      <c r="B11" t="str">
        <v>resid</v>
      </c>
      <c r="C11" t="str">
        <v>resid</v>
      </c>
      <c r="D11" t="str">
        <v>resid_building</v>
      </c>
      <c r="E11" t="str">
        <v>resid heating</v>
      </c>
      <c r="F11">
        <v>2040</v>
      </c>
      <c r="G11">
        <v>6016.7884684684686</v>
      </c>
      <c r="H11">
        <v>5749.5769369369364</v>
      </c>
    </row>
    <row r="12" spans="1:8" x14ac:dyDescent="0.3">
      <c r="A12" t="str">
        <v>EU-12</v>
      </c>
      <c r="B12" t="str">
        <v>resid</v>
      </c>
      <c r="C12" t="str">
        <v>resid</v>
      </c>
      <c r="D12" t="str">
        <v>resid_building</v>
      </c>
      <c r="E12" t="str">
        <v>resid heating</v>
      </c>
      <c r="F12">
        <v>2045</v>
      </c>
      <c r="G12">
        <v>5949.9855855855858</v>
      </c>
      <c r="H12">
        <v>5615.9711711711707</v>
      </c>
    </row>
    <row r="13" spans="1:8" x14ac:dyDescent="0.3">
      <c r="A13" t="str">
        <v>EU-12</v>
      </c>
      <c r="B13" t="str">
        <v>resid</v>
      </c>
      <c r="C13" t="str">
        <v>resid</v>
      </c>
      <c r="D13" t="str">
        <v>resid_building</v>
      </c>
      <c r="E13" t="str">
        <v>resid heating</v>
      </c>
      <c r="F13">
        <v>2050</v>
      </c>
      <c r="G13">
        <v>5883.182702702703</v>
      </c>
      <c r="H13">
        <v>5482.365405405405</v>
      </c>
    </row>
    <row r="14" spans="1:8" x14ac:dyDescent="0.3">
      <c r="A14" t="str">
        <v>EU-12</v>
      </c>
      <c r="B14" t="str">
        <v>resid</v>
      </c>
      <c r="C14" t="str">
        <v>resid</v>
      </c>
      <c r="D14" t="str">
        <v>resid_building</v>
      </c>
      <c r="E14" t="str">
        <v>resid heating</v>
      </c>
      <c r="F14">
        <v>2055</v>
      </c>
      <c r="G14">
        <v>5883.182702702703</v>
      </c>
      <c r="H14">
        <v>5482.365405405405</v>
      </c>
    </row>
    <row r="15" spans="1:8" x14ac:dyDescent="0.3">
      <c r="A15" t="str">
        <v>EU-12</v>
      </c>
      <c r="B15" t="str">
        <v>resid</v>
      </c>
      <c r="C15" t="str">
        <v>resid</v>
      </c>
      <c r="D15" t="str">
        <v>resid_building</v>
      </c>
      <c r="E15" t="str">
        <v>resid heating</v>
      </c>
      <c r="F15">
        <v>2060</v>
      </c>
      <c r="G15">
        <v>5883.182702702703</v>
      </c>
      <c r="H15">
        <v>5482.365405405405</v>
      </c>
    </row>
    <row r="16" spans="1:8" x14ac:dyDescent="0.3">
      <c r="A16" t="str">
        <v>EU-12</v>
      </c>
      <c r="B16" t="str">
        <v>resid</v>
      </c>
      <c r="C16" t="str">
        <v>resid</v>
      </c>
      <c r="D16" t="str">
        <v>resid_building</v>
      </c>
      <c r="E16" t="str">
        <v>resid heating</v>
      </c>
      <c r="F16">
        <v>2065</v>
      </c>
      <c r="G16">
        <v>5883.182702702703</v>
      </c>
      <c r="H16">
        <v>5482.365405405405</v>
      </c>
    </row>
    <row r="17" spans="1:8" x14ac:dyDescent="0.3">
      <c r="A17" t="str">
        <v>EU-12</v>
      </c>
      <c r="B17" t="str">
        <v>resid</v>
      </c>
      <c r="C17" t="str">
        <v>resid</v>
      </c>
      <c r="D17" t="str">
        <v>resid_building</v>
      </c>
      <c r="E17" t="str">
        <v>resid heating</v>
      </c>
      <c r="F17">
        <v>2070</v>
      </c>
      <c r="G17">
        <v>5883.182702702703</v>
      </c>
      <c r="H17">
        <v>5482.365405405405</v>
      </c>
    </row>
    <row r="18" spans="1:8" x14ac:dyDescent="0.3">
      <c r="A18" t="str">
        <v>EU-12</v>
      </c>
      <c r="B18" t="str">
        <v>resid</v>
      </c>
      <c r="C18" t="str">
        <v>resid</v>
      </c>
      <c r="D18" t="str">
        <v>resid_building</v>
      </c>
      <c r="E18" t="str">
        <v>resid heating</v>
      </c>
      <c r="F18">
        <v>2075</v>
      </c>
      <c r="G18">
        <v>5883.182702702703</v>
      </c>
      <c r="H18">
        <v>5482.365405405405</v>
      </c>
    </row>
    <row r="19" spans="1:8" x14ac:dyDescent="0.3">
      <c r="A19" t="str">
        <v>EU-12</v>
      </c>
      <c r="B19" t="str">
        <v>resid</v>
      </c>
      <c r="C19" t="str">
        <v>resid</v>
      </c>
      <c r="D19" t="str">
        <v>resid_building</v>
      </c>
      <c r="E19" t="str">
        <v>resid heating</v>
      </c>
      <c r="F19">
        <v>2080</v>
      </c>
      <c r="G19">
        <v>5883.182702702703</v>
      </c>
      <c r="H19">
        <v>5482.365405405405</v>
      </c>
    </row>
    <row r="20" spans="1:8" x14ac:dyDescent="0.3">
      <c r="A20" t="str">
        <v>EU-12</v>
      </c>
      <c r="B20" t="str">
        <v>resid</v>
      </c>
      <c r="C20" t="str">
        <v>resid</v>
      </c>
      <c r="D20" t="str">
        <v>resid_building</v>
      </c>
      <c r="E20" t="str">
        <v>resid heating</v>
      </c>
      <c r="F20">
        <v>2085</v>
      </c>
      <c r="G20">
        <v>5883.182702702703</v>
      </c>
      <c r="H20">
        <v>5482.365405405405</v>
      </c>
    </row>
    <row r="21" spans="1:8" x14ac:dyDescent="0.3">
      <c r="A21" t="str">
        <v>EU-12</v>
      </c>
      <c r="B21" t="str">
        <v>resid</v>
      </c>
      <c r="C21" t="str">
        <v>resid</v>
      </c>
      <c r="D21" t="str">
        <v>resid_building</v>
      </c>
      <c r="E21" t="str">
        <v>resid heating</v>
      </c>
      <c r="F21">
        <v>2090</v>
      </c>
      <c r="G21">
        <v>5883.182702702703</v>
      </c>
      <c r="H21">
        <v>5482.365405405405</v>
      </c>
    </row>
    <row r="22" spans="1:8" x14ac:dyDescent="0.3">
      <c r="A22" t="str">
        <v>EU-12</v>
      </c>
      <c r="B22" t="str">
        <v>resid</v>
      </c>
      <c r="C22" t="str">
        <v>resid</v>
      </c>
      <c r="D22" t="str">
        <v>resid_building</v>
      </c>
      <c r="E22" t="str">
        <v>resid heating</v>
      </c>
      <c r="F22">
        <v>2095</v>
      </c>
      <c r="G22">
        <v>5883.182702702703</v>
      </c>
      <c r="H22">
        <v>5482.365405405405</v>
      </c>
    </row>
    <row r="23" spans="1:8" x14ac:dyDescent="0.3">
      <c r="A23" t="str">
        <v>EU-12</v>
      </c>
      <c r="B23" t="str">
        <v>resid</v>
      </c>
      <c r="C23" t="str">
        <v>resid</v>
      </c>
      <c r="D23" t="str">
        <v>resid_building</v>
      </c>
      <c r="E23" t="str">
        <v>resid heating</v>
      </c>
      <c r="F23">
        <v>2100</v>
      </c>
      <c r="G23">
        <v>5883.182702702703</v>
      </c>
      <c r="H23">
        <v>5482.365405405405</v>
      </c>
    </row>
    <row r="24" spans="1:8" x14ac:dyDescent="0.3">
      <c r="A24" t="str">
        <v>EU-15</v>
      </c>
      <c r="B24" t="str">
        <v>resid</v>
      </c>
      <c r="C24" t="str">
        <v>resid</v>
      </c>
      <c r="D24" t="str">
        <v>resid_building</v>
      </c>
      <c r="E24" t="str">
        <v>resid heating</v>
      </c>
      <c r="F24">
        <v>1975</v>
      </c>
      <c r="G24">
        <v>4907</v>
      </c>
      <c r="H24">
        <v>4907</v>
      </c>
    </row>
    <row r="25" spans="1:8" x14ac:dyDescent="0.3">
      <c r="A25" t="str">
        <v>EU-15</v>
      </c>
      <c r="B25" t="str">
        <v>resid</v>
      </c>
      <c r="C25" t="str">
        <v>resid</v>
      </c>
      <c r="D25" t="str">
        <v>resid_building</v>
      </c>
      <c r="E25" t="str">
        <v>resid heating</v>
      </c>
      <c r="F25">
        <v>1990</v>
      </c>
      <c r="G25">
        <v>4801</v>
      </c>
      <c r="H25">
        <v>4801</v>
      </c>
    </row>
    <row r="26" spans="1:8" x14ac:dyDescent="0.3">
      <c r="A26" t="str">
        <v>EU-15</v>
      </c>
      <c r="B26" t="str">
        <v>resid</v>
      </c>
      <c r="C26" t="str">
        <v>resid</v>
      </c>
      <c r="D26" t="str">
        <v>resid_building</v>
      </c>
      <c r="E26" t="str">
        <v>resid heating</v>
      </c>
      <c r="F26">
        <v>2005</v>
      </c>
      <c r="G26">
        <v>4783</v>
      </c>
      <c r="H26">
        <v>4783</v>
      </c>
    </row>
    <row r="27" spans="1:8" x14ac:dyDescent="0.3">
      <c r="A27" t="str">
        <v>EU-15</v>
      </c>
      <c r="B27" t="str">
        <v>resid</v>
      </c>
      <c r="C27" t="str">
        <v>resid</v>
      </c>
      <c r="D27" t="str">
        <v>resid_building</v>
      </c>
      <c r="E27" t="str">
        <v>resid heating</v>
      </c>
      <c r="F27">
        <v>2010</v>
      </c>
      <c r="G27">
        <v>4772</v>
      </c>
      <c r="H27">
        <v>4772</v>
      </c>
    </row>
    <row r="28" spans="1:8" x14ac:dyDescent="0.3">
      <c r="A28" t="str">
        <v>EU-15</v>
      </c>
      <c r="B28" t="str">
        <v>resid</v>
      </c>
      <c r="C28" t="str">
        <v>resid</v>
      </c>
      <c r="D28" t="str">
        <v>resid_building</v>
      </c>
      <c r="E28" t="str">
        <v>resid heating</v>
      </c>
      <c r="F28">
        <v>2015</v>
      </c>
      <c r="G28">
        <v>4780</v>
      </c>
      <c r="H28">
        <v>4780</v>
      </c>
    </row>
    <row r="29" spans="1:8" x14ac:dyDescent="0.3">
      <c r="A29" t="str">
        <v>EU-15</v>
      </c>
      <c r="B29" t="str">
        <v>resid</v>
      </c>
      <c r="C29" t="str">
        <v>resid</v>
      </c>
      <c r="D29" t="str">
        <v>resid_building</v>
      </c>
      <c r="E29" t="str">
        <v>resid heating</v>
      </c>
      <c r="F29">
        <v>2020</v>
      </c>
      <c r="G29">
        <v>4787</v>
      </c>
      <c r="H29">
        <v>4787</v>
      </c>
    </row>
    <row r="30" spans="1:8" x14ac:dyDescent="0.3">
      <c r="A30" t="str">
        <v>EU-15</v>
      </c>
      <c r="B30" t="str">
        <v>resid</v>
      </c>
      <c r="C30" t="str">
        <v>resid</v>
      </c>
      <c r="D30" t="str">
        <v>resid_building</v>
      </c>
      <c r="E30" t="str">
        <v>resid heating</v>
      </c>
      <c r="F30">
        <v>2025</v>
      </c>
      <c r="G30">
        <v>4735.7395446880273</v>
      </c>
      <c r="H30">
        <v>4684.4790893760537</v>
      </c>
    </row>
    <row r="31" spans="1:8" x14ac:dyDescent="0.3">
      <c r="A31" t="str">
        <v>EU-15</v>
      </c>
      <c r="B31" t="str">
        <v>resid</v>
      </c>
      <c r="C31" t="str">
        <v>resid</v>
      </c>
      <c r="D31" t="str">
        <v>resid_building</v>
      </c>
      <c r="E31" t="str">
        <v>resid heating</v>
      </c>
      <c r="F31">
        <v>2030</v>
      </c>
      <c r="G31">
        <v>4684.4790893760537</v>
      </c>
      <c r="H31">
        <v>4581.9581787521083</v>
      </c>
    </row>
    <row r="32" spans="1:8" x14ac:dyDescent="0.3">
      <c r="A32" t="str">
        <v>EU-15</v>
      </c>
      <c r="B32" t="str">
        <v>resid</v>
      </c>
      <c r="C32" t="str">
        <v>resid</v>
      </c>
      <c r="D32" t="str">
        <v>resid_building</v>
      </c>
      <c r="E32" t="str">
        <v>resid heating</v>
      </c>
      <c r="F32">
        <v>2035</v>
      </c>
      <c r="G32">
        <v>4633.218634064081</v>
      </c>
      <c r="H32">
        <v>4479.437268128162</v>
      </c>
    </row>
    <row r="33" spans="1:8" x14ac:dyDescent="0.3">
      <c r="A33" t="str">
        <v>EU-15</v>
      </c>
      <c r="B33" t="str">
        <v>resid</v>
      </c>
      <c r="C33" t="str">
        <v>resid</v>
      </c>
      <c r="D33" t="str">
        <v>resid_building</v>
      </c>
      <c r="E33" t="str">
        <v>resid heating</v>
      </c>
      <c r="F33">
        <v>2040</v>
      </c>
      <c r="G33">
        <v>4581.9581787521083</v>
      </c>
      <c r="H33">
        <v>4376.9163575042157</v>
      </c>
    </row>
    <row r="34" spans="1:8" x14ac:dyDescent="0.3">
      <c r="A34" t="str">
        <v>EU-15</v>
      </c>
      <c r="B34" t="str">
        <v>resid</v>
      </c>
      <c r="C34" t="str">
        <v>resid</v>
      </c>
      <c r="D34" t="str">
        <v>resid_building</v>
      </c>
      <c r="E34" t="str">
        <v>resid heating</v>
      </c>
      <c r="F34">
        <v>2045</v>
      </c>
      <c r="G34">
        <v>4530.6977234401347</v>
      </c>
      <c r="H34">
        <v>4274.3954468802704</v>
      </c>
    </row>
    <row r="35" spans="1:8" x14ac:dyDescent="0.3">
      <c r="A35" t="str">
        <v>EU-15</v>
      </c>
      <c r="B35" t="str">
        <v>resid</v>
      </c>
      <c r="C35" t="str">
        <v>resid</v>
      </c>
      <c r="D35" t="str">
        <v>resid_building</v>
      </c>
      <c r="E35" t="str">
        <v>resid heating</v>
      </c>
      <c r="F35">
        <v>2050</v>
      </c>
      <c r="G35">
        <v>4479.437268128162</v>
      </c>
      <c r="H35">
        <v>4171.8745362563241</v>
      </c>
    </row>
    <row r="36" spans="1:8" x14ac:dyDescent="0.3">
      <c r="A36" t="str">
        <v>EU-15</v>
      </c>
      <c r="B36" t="str">
        <v>resid</v>
      </c>
      <c r="C36" t="str">
        <v>resid</v>
      </c>
      <c r="D36" t="str">
        <v>resid_building</v>
      </c>
      <c r="E36" t="str">
        <v>resid heating</v>
      </c>
      <c r="F36">
        <v>2055</v>
      </c>
      <c r="G36">
        <v>4479.437268128162</v>
      </c>
      <c r="H36">
        <v>4171.8745362563241</v>
      </c>
    </row>
    <row r="37" spans="1:8" x14ac:dyDescent="0.3">
      <c r="A37" t="str">
        <v>EU-15</v>
      </c>
      <c r="B37" t="str">
        <v>resid</v>
      </c>
      <c r="C37" t="str">
        <v>resid</v>
      </c>
      <c r="D37" t="str">
        <v>resid_building</v>
      </c>
      <c r="E37" t="str">
        <v>resid heating</v>
      </c>
      <c r="F37">
        <v>2060</v>
      </c>
      <c r="G37">
        <v>4479.437268128162</v>
      </c>
      <c r="H37">
        <v>4171.8745362563241</v>
      </c>
    </row>
    <row r="38" spans="1:8" x14ac:dyDescent="0.3">
      <c r="A38" t="str">
        <v>EU-15</v>
      </c>
      <c r="B38" t="str">
        <v>resid</v>
      </c>
      <c r="C38" t="str">
        <v>resid</v>
      </c>
      <c r="D38" t="str">
        <v>resid_building</v>
      </c>
      <c r="E38" t="str">
        <v>resid heating</v>
      </c>
      <c r="F38">
        <v>2065</v>
      </c>
      <c r="G38">
        <v>4479.437268128162</v>
      </c>
      <c r="H38">
        <v>4171.8745362563241</v>
      </c>
    </row>
    <row r="39" spans="1:8" x14ac:dyDescent="0.3">
      <c r="A39" t="str">
        <v>EU-15</v>
      </c>
      <c r="B39" t="str">
        <v>resid</v>
      </c>
      <c r="C39" t="str">
        <v>resid</v>
      </c>
      <c r="D39" t="str">
        <v>resid_building</v>
      </c>
      <c r="E39" t="str">
        <v>resid heating</v>
      </c>
      <c r="F39">
        <v>2070</v>
      </c>
      <c r="G39">
        <v>4479.437268128162</v>
      </c>
      <c r="H39">
        <v>4171.8745362563241</v>
      </c>
    </row>
    <row r="40" spans="1:8" x14ac:dyDescent="0.3">
      <c r="A40" t="str">
        <v>EU-15</v>
      </c>
      <c r="B40" t="str">
        <v>resid</v>
      </c>
      <c r="C40" t="str">
        <v>resid</v>
      </c>
      <c r="D40" t="str">
        <v>resid_building</v>
      </c>
      <c r="E40" t="str">
        <v>resid heating</v>
      </c>
      <c r="F40">
        <v>2075</v>
      </c>
      <c r="G40">
        <v>4479.437268128162</v>
      </c>
      <c r="H40">
        <v>4171.8745362563241</v>
      </c>
    </row>
    <row r="41" spans="1:8" x14ac:dyDescent="0.3">
      <c r="A41" t="str">
        <v>EU-15</v>
      </c>
      <c r="B41" t="str">
        <v>resid</v>
      </c>
      <c r="C41" t="str">
        <v>resid</v>
      </c>
      <c r="D41" t="str">
        <v>resid_building</v>
      </c>
      <c r="E41" t="str">
        <v>resid heating</v>
      </c>
      <c r="F41">
        <v>2080</v>
      </c>
      <c r="G41">
        <v>4479.437268128162</v>
      </c>
      <c r="H41">
        <v>4171.8745362563241</v>
      </c>
    </row>
    <row r="42" spans="1:8" x14ac:dyDescent="0.3">
      <c r="A42" t="str">
        <v>EU-15</v>
      </c>
      <c r="B42" t="str">
        <v>resid</v>
      </c>
      <c r="C42" t="str">
        <v>resid</v>
      </c>
      <c r="D42" t="str">
        <v>resid_building</v>
      </c>
      <c r="E42" t="str">
        <v>resid heating</v>
      </c>
      <c r="F42">
        <v>2085</v>
      </c>
      <c r="G42">
        <v>4479.437268128162</v>
      </c>
      <c r="H42">
        <v>4171.8745362563241</v>
      </c>
    </row>
    <row r="43" spans="1:8" x14ac:dyDescent="0.3">
      <c r="A43" t="str">
        <v>EU-15</v>
      </c>
      <c r="B43" t="str">
        <v>resid</v>
      </c>
      <c r="C43" t="str">
        <v>resid</v>
      </c>
      <c r="D43" t="str">
        <v>resid_building</v>
      </c>
      <c r="E43" t="str">
        <v>resid heating</v>
      </c>
      <c r="F43">
        <v>2090</v>
      </c>
      <c r="G43">
        <v>4479.437268128162</v>
      </c>
      <c r="H43">
        <v>4171.8745362563241</v>
      </c>
    </row>
    <row r="44" spans="1:8" x14ac:dyDescent="0.3">
      <c r="A44" t="str">
        <v>EU-15</v>
      </c>
      <c r="B44" t="str">
        <v>resid</v>
      </c>
      <c r="C44" t="str">
        <v>resid</v>
      </c>
      <c r="D44" t="str">
        <v>resid_building</v>
      </c>
      <c r="E44" t="str">
        <v>resid heating</v>
      </c>
      <c r="F44">
        <v>2095</v>
      </c>
      <c r="G44">
        <v>4479.437268128162</v>
      </c>
      <c r="H44">
        <v>4171.8745362563241</v>
      </c>
    </row>
    <row r="45" spans="1:8" x14ac:dyDescent="0.3">
      <c r="A45" t="str">
        <v>EU-15</v>
      </c>
      <c r="B45" t="str">
        <v>resid</v>
      </c>
      <c r="C45" t="str">
        <v>resid</v>
      </c>
      <c r="D45" t="str">
        <v>resid_building</v>
      </c>
      <c r="E45" t="str">
        <v>resid heating</v>
      </c>
      <c r="F45">
        <v>2100</v>
      </c>
      <c r="G45">
        <v>4479.437268128162</v>
      </c>
      <c r="H45">
        <v>4171.8745362563241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E2DC-0127-45A4-98C7-66B17522F46B}">
  <dimension ref="A1:R3266"/>
  <sheetViews>
    <sheetView workbookViewId="0">
      <selection activeCell="Q38" sqref="Q38"/>
    </sheetView>
  </sheetViews>
  <sheetFormatPr defaultRowHeight="14.4" x14ac:dyDescent="0.3"/>
  <sheetData>
    <row r="1" spans="1:18" x14ac:dyDescent="0.3">
      <c r="A1" t="s">
        <v>104</v>
      </c>
      <c r="B1" t="s">
        <v>73</v>
      </c>
      <c r="C1" t="s">
        <v>111</v>
      </c>
      <c r="D1">
        <v>1990</v>
      </c>
      <c r="E1">
        <v>2005</v>
      </c>
      <c r="F1">
        <v>2010</v>
      </c>
      <c r="G1">
        <v>2015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2065</v>
      </c>
      <c r="P1">
        <v>2080</v>
      </c>
      <c r="Q1">
        <v>2095</v>
      </c>
      <c r="R1" t="s">
        <v>105</v>
      </c>
    </row>
    <row r="2" spans="1:18" x14ac:dyDescent="0.3">
      <c r="A2" t="s">
        <v>259</v>
      </c>
      <c r="B2" t="s">
        <v>260</v>
      </c>
      <c r="C2" t="s">
        <v>261</v>
      </c>
      <c r="D2" s="8">
        <v>1.9391509000000001E-4</v>
      </c>
      <c r="E2" s="8">
        <v>6.0114000000000001E-4</v>
      </c>
      <c r="F2" s="8">
        <v>7.8768499999999999E-4</v>
      </c>
      <c r="G2" s="8">
        <v>5.6045499999999996E-4</v>
      </c>
      <c r="H2" s="8">
        <v>7.2026899999999897E-4</v>
      </c>
      <c r="I2" s="8">
        <v>9.773169999999999E-4</v>
      </c>
      <c r="J2">
        <v>1.1830999999999901E-3</v>
      </c>
      <c r="K2">
        <v>1.382739E-3</v>
      </c>
      <c r="L2">
        <v>1.5138510000000001E-3</v>
      </c>
      <c r="M2">
        <v>1.5773359999999999E-3</v>
      </c>
      <c r="N2">
        <v>1.5816490000000001E-3</v>
      </c>
      <c r="O2">
        <v>0</v>
      </c>
      <c r="P2">
        <v>0</v>
      </c>
      <c r="Q2">
        <v>0</v>
      </c>
      <c r="R2" t="s">
        <v>243</v>
      </c>
    </row>
    <row r="3" spans="1:18" x14ac:dyDescent="0.3">
      <c r="A3" t="s">
        <v>259</v>
      </c>
      <c r="B3" t="s">
        <v>260</v>
      </c>
      <c r="C3" t="s">
        <v>262</v>
      </c>
      <c r="D3">
        <v>1.1676268E-2</v>
      </c>
      <c r="E3">
        <v>2.3013361000000002E-3</v>
      </c>
      <c r="F3">
        <v>1.8969172E-3</v>
      </c>
      <c r="G3">
        <v>2.3057920000000001E-3</v>
      </c>
      <c r="H3">
        <v>2.0321294899999999E-3</v>
      </c>
      <c r="I3">
        <v>2.3450221499999998E-3</v>
      </c>
      <c r="J3">
        <v>2.53864716999999E-3</v>
      </c>
      <c r="K3">
        <v>2.5719169239999998E-3</v>
      </c>
      <c r="L3">
        <v>2.4400750669999901E-3</v>
      </c>
      <c r="M3">
        <v>2.5004875309999901E-3</v>
      </c>
      <c r="N3">
        <v>2.4879817629999898E-3</v>
      </c>
      <c r="O3">
        <v>0</v>
      </c>
      <c r="P3">
        <v>0</v>
      </c>
      <c r="Q3">
        <v>0</v>
      </c>
      <c r="R3" t="s">
        <v>243</v>
      </c>
    </row>
    <row r="4" spans="1:18" x14ac:dyDescent="0.3">
      <c r="A4" t="s">
        <v>259</v>
      </c>
      <c r="B4" t="s">
        <v>260</v>
      </c>
      <c r="C4" t="s">
        <v>263</v>
      </c>
      <c r="D4">
        <v>7.9501550000000004E-3</v>
      </c>
      <c r="E4">
        <v>5.2974677E-3</v>
      </c>
      <c r="F4">
        <v>5.6611785E-3</v>
      </c>
      <c r="G4">
        <v>4.7752979999999999E-3</v>
      </c>
      <c r="H4">
        <v>5.6436395000000004E-3</v>
      </c>
      <c r="I4">
        <v>7.7744894E-3</v>
      </c>
      <c r="J4">
        <v>9.7360979000000007E-3</v>
      </c>
      <c r="K4">
        <v>1.16388858E-2</v>
      </c>
      <c r="L4">
        <v>1.31685826999999E-2</v>
      </c>
      <c r="M4">
        <v>1.42810438E-2</v>
      </c>
      <c r="N4">
        <v>1.49419511E-2</v>
      </c>
      <c r="O4">
        <v>0</v>
      </c>
      <c r="P4">
        <v>0</v>
      </c>
      <c r="Q4">
        <v>0</v>
      </c>
      <c r="R4" t="s">
        <v>243</v>
      </c>
    </row>
    <row r="5" spans="1:18" x14ac:dyDescent="0.3">
      <c r="A5" t="s">
        <v>259</v>
      </c>
      <c r="B5" t="s">
        <v>260</v>
      </c>
      <c r="C5" t="s">
        <v>264</v>
      </c>
      <c r="D5" s="8">
        <v>5.9379995E-4</v>
      </c>
      <c r="E5" s="8">
        <v>3.9990940000000002E-4</v>
      </c>
      <c r="F5" s="8">
        <v>4.2023119999999998E-4</v>
      </c>
      <c r="G5" s="8">
        <v>3.8792029999999998E-4</v>
      </c>
      <c r="H5" s="8">
        <v>3.8239629999999898E-4</v>
      </c>
      <c r="I5" s="8">
        <v>4.40079699999999E-4</v>
      </c>
      <c r="J5" s="8">
        <v>4.6338320000000001E-4</v>
      </c>
      <c r="K5" s="8">
        <v>4.7577049999999999E-4</v>
      </c>
      <c r="L5" s="8">
        <v>4.6497040000000002E-4</v>
      </c>
      <c r="M5" s="8">
        <v>4.4323809999999899E-4</v>
      </c>
      <c r="N5" s="8">
        <v>4.1953919999999998E-4</v>
      </c>
      <c r="O5">
        <v>0</v>
      </c>
      <c r="P5">
        <v>0</v>
      </c>
      <c r="Q5">
        <v>0</v>
      </c>
      <c r="R5" t="s">
        <v>243</v>
      </c>
    </row>
    <row r="6" spans="1:18" x14ac:dyDescent="0.3">
      <c r="A6" t="s">
        <v>259</v>
      </c>
      <c r="B6" t="s">
        <v>260</v>
      </c>
      <c r="C6" t="s">
        <v>265</v>
      </c>
      <c r="D6">
        <v>1.9677448999999999E-3</v>
      </c>
      <c r="E6">
        <v>1.396989E-3</v>
      </c>
      <c r="F6">
        <v>1.2553709999999999E-3</v>
      </c>
      <c r="G6">
        <v>1.3537790000000001E-3</v>
      </c>
      <c r="H6">
        <v>1.3124677999999999E-3</v>
      </c>
      <c r="I6">
        <v>1.3194986000000001E-3</v>
      </c>
      <c r="J6">
        <v>1.2598748999999999E-3</v>
      </c>
      <c r="K6">
        <v>1.216019E-3</v>
      </c>
      <c r="L6">
        <v>1.1381931999999899E-3</v>
      </c>
      <c r="M6">
        <v>1.0485225999999901E-3</v>
      </c>
      <c r="N6" s="8">
        <v>9.6840040000000004E-4</v>
      </c>
      <c r="O6">
        <v>0</v>
      </c>
      <c r="P6">
        <v>0</v>
      </c>
      <c r="Q6">
        <v>0</v>
      </c>
      <c r="R6" t="s">
        <v>243</v>
      </c>
    </row>
    <row r="7" spans="1:18" x14ac:dyDescent="0.3">
      <c r="A7" t="s">
        <v>259</v>
      </c>
      <c r="B7" t="s">
        <v>260</v>
      </c>
      <c r="C7" t="s">
        <v>266</v>
      </c>
      <c r="D7" s="8">
        <v>8.8070003999999897E-4</v>
      </c>
      <c r="E7" s="8">
        <v>6.3194300000000004E-4</v>
      </c>
      <c r="F7" s="8">
        <v>6.3204500000000002E-4</v>
      </c>
      <c r="G7" s="8">
        <v>5.8566599999999999E-4</v>
      </c>
      <c r="H7" s="8">
        <v>5.8586960000000003E-4</v>
      </c>
      <c r="I7" s="8">
        <v>6.3431139999999995E-4</v>
      </c>
      <c r="J7" s="8">
        <v>6.3544700000000003E-4</v>
      </c>
      <c r="K7" s="8">
        <v>6.3115890000000003E-4</v>
      </c>
      <c r="L7" s="8">
        <v>6.0258999999999996E-4</v>
      </c>
      <c r="M7" s="8">
        <v>5.6410990000000001E-4</v>
      </c>
      <c r="N7" s="8">
        <v>5.2707159999999895E-4</v>
      </c>
      <c r="O7">
        <v>0</v>
      </c>
      <c r="P7">
        <v>0</v>
      </c>
      <c r="Q7">
        <v>0</v>
      </c>
      <c r="R7" t="s">
        <v>243</v>
      </c>
    </row>
    <row r="8" spans="1:18" x14ac:dyDescent="0.3">
      <c r="A8" t="s">
        <v>259</v>
      </c>
      <c r="B8" t="s">
        <v>260</v>
      </c>
      <c r="C8" t="s">
        <v>267</v>
      </c>
      <c r="D8">
        <v>1.0350344100000001E-3</v>
      </c>
      <c r="E8" s="8">
        <v>7.5388499999999895E-4</v>
      </c>
      <c r="F8" s="8">
        <v>7.2809600000000002E-4</v>
      </c>
      <c r="G8" s="8">
        <v>6.8971500000000003E-4</v>
      </c>
      <c r="H8" s="8">
        <v>6.8353089999999999E-4</v>
      </c>
      <c r="I8" s="8">
        <v>7.2244370000000004E-4</v>
      </c>
      <c r="J8" s="8">
        <v>7.1287069999999904E-4</v>
      </c>
      <c r="K8" s="8">
        <v>7.0222509999999896E-4</v>
      </c>
      <c r="L8" s="8">
        <v>6.66955E-4</v>
      </c>
      <c r="M8" s="8">
        <v>6.2213399999999999E-4</v>
      </c>
      <c r="N8" s="8">
        <v>5.8003949999999905E-4</v>
      </c>
      <c r="O8">
        <v>0</v>
      </c>
      <c r="P8">
        <v>0</v>
      </c>
      <c r="Q8">
        <v>0</v>
      </c>
      <c r="R8" t="s">
        <v>243</v>
      </c>
    </row>
    <row r="9" spans="1:18" x14ac:dyDescent="0.3">
      <c r="A9" t="s">
        <v>259</v>
      </c>
      <c r="B9" t="s">
        <v>260</v>
      </c>
      <c r="C9" t="s">
        <v>268</v>
      </c>
      <c r="D9">
        <v>1.1559737799999999E-3</v>
      </c>
      <c r="E9" s="8">
        <v>8.4323799999999995E-4</v>
      </c>
      <c r="F9" s="8">
        <v>7.9559200000000002E-4</v>
      </c>
      <c r="G9" s="8">
        <v>7.6615799999999996E-4</v>
      </c>
      <c r="H9" s="8">
        <v>7.5516289999999996E-4</v>
      </c>
      <c r="I9" s="8">
        <v>7.8718389999999998E-4</v>
      </c>
      <c r="J9" s="8">
        <v>7.6961209999999996E-4</v>
      </c>
      <c r="K9" s="8">
        <v>7.5503090000000005E-4</v>
      </c>
      <c r="L9" s="8">
        <v>7.1571799999999995E-4</v>
      </c>
      <c r="M9" s="8">
        <v>6.6652559999999896E-4</v>
      </c>
      <c r="N9" s="8">
        <v>6.2062770000000003E-4</v>
      </c>
      <c r="O9">
        <v>0</v>
      </c>
      <c r="P9">
        <v>0</v>
      </c>
      <c r="Q9">
        <v>0</v>
      </c>
      <c r="R9" t="s">
        <v>243</v>
      </c>
    </row>
    <row r="10" spans="1:18" x14ac:dyDescent="0.3">
      <c r="A10" t="s">
        <v>259</v>
      </c>
      <c r="B10" t="s">
        <v>260</v>
      </c>
      <c r="C10" t="s">
        <v>269</v>
      </c>
      <c r="D10">
        <v>1.25490340999999E-3</v>
      </c>
      <c r="E10" s="8">
        <v>9.1613000000000003E-4</v>
      </c>
      <c r="F10" s="8">
        <v>8.4999000000000001E-4</v>
      </c>
      <c r="G10" s="8">
        <v>8.3120399999999999E-4</v>
      </c>
      <c r="H10" s="8">
        <v>8.1522559999999895E-4</v>
      </c>
      <c r="I10" s="8">
        <v>8.421387E-4</v>
      </c>
      <c r="J10" s="8">
        <v>8.1975169999999999E-4</v>
      </c>
      <c r="K10" s="8">
        <v>8.0211330000000002E-4</v>
      </c>
      <c r="L10" s="8">
        <v>7.5910649999999904E-4</v>
      </c>
      <c r="M10" s="8">
        <v>7.060387E-4</v>
      </c>
      <c r="N10" s="8">
        <v>6.5691169999999995E-4</v>
      </c>
      <c r="O10">
        <v>0</v>
      </c>
      <c r="P10">
        <v>0</v>
      </c>
      <c r="Q10">
        <v>0</v>
      </c>
      <c r="R10" t="s">
        <v>243</v>
      </c>
    </row>
    <row r="11" spans="1:18" x14ac:dyDescent="0.3">
      <c r="A11" t="s">
        <v>259</v>
      </c>
      <c r="B11" t="s">
        <v>260</v>
      </c>
      <c r="C11" t="s">
        <v>270</v>
      </c>
      <c r="D11">
        <v>1.34477165E-3</v>
      </c>
      <c r="E11" s="8">
        <v>9.8056199999999993E-4</v>
      </c>
      <c r="F11" s="8">
        <v>8.9897199999999897E-4</v>
      </c>
      <c r="G11" s="8">
        <v>8.9182899999999904E-4</v>
      </c>
      <c r="H11" s="8">
        <v>8.7138449999999996E-4</v>
      </c>
      <c r="I11" s="8">
        <v>8.9523409999999999E-4</v>
      </c>
      <c r="J11" s="8">
        <v>8.6855169999999998E-4</v>
      </c>
      <c r="K11" s="8">
        <v>8.4829839999999996E-4</v>
      </c>
      <c r="L11" s="8">
        <v>8.0143849999999997E-4</v>
      </c>
      <c r="M11" s="8">
        <v>7.4433439999999995E-4</v>
      </c>
      <c r="N11" s="8">
        <v>6.9201009999999901E-4</v>
      </c>
      <c r="O11">
        <v>0</v>
      </c>
      <c r="P11">
        <v>0</v>
      </c>
      <c r="Q11">
        <v>0</v>
      </c>
      <c r="R11" t="s">
        <v>243</v>
      </c>
    </row>
    <row r="12" spans="1:18" x14ac:dyDescent="0.3">
      <c r="A12" t="s">
        <v>259</v>
      </c>
      <c r="B12" t="s">
        <v>260</v>
      </c>
      <c r="C12" t="s">
        <v>271</v>
      </c>
      <c r="D12">
        <v>1.4415707999999999E-3</v>
      </c>
      <c r="E12">
        <v>1.039435E-3</v>
      </c>
      <c r="F12" s="8">
        <v>9.4863799999999904E-4</v>
      </c>
      <c r="G12" s="8">
        <v>9.5298399999999895E-4</v>
      </c>
      <c r="H12" s="8">
        <v>9.2974879999999896E-4</v>
      </c>
      <c r="I12" s="8">
        <v>9.5142359999999995E-4</v>
      </c>
      <c r="J12" s="8">
        <v>9.1999249999999996E-4</v>
      </c>
      <c r="K12" s="8">
        <v>8.9678749999999997E-4</v>
      </c>
      <c r="L12" s="8">
        <v>8.4619000000000003E-4</v>
      </c>
      <c r="M12" s="8">
        <v>7.8510099999999996E-4</v>
      </c>
      <c r="N12" s="8">
        <v>7.2914400000000004E-4</v>
      </c>
      <c r="O12">
        <v>0</v>
      </c>
      <c r="P12">
        <v>0</v>
      </c>
      <c r="Q12">
        <v>0</v>
      </c>
      <c r="R12" t="s">
        <v>243</v>
      </c>
    </row>
    <row r="13" spans="1:18" x14ac:dyDescent="0.3">
      <c r="A13" t="s">
        <v>259</v>
      </c>
      <c r="B13" t="s">
        <v>260</v>
      </c>
      <c r="C13" t="s">
        <v>272</v>
      </c>
      <c r="D13">
        <v>1.5354877999999999E-3</v>
      </c>
      <c r="E13">
        <v>1.1047369999999999E-3</v>
      </c>
      <c r="F13">
        <v>1.00989E-3</v>
      </c>
      <c r="G13">
        <v>1.027193E-3</v>
      </c>
      <c r="H13" s="8">
        <v>9.9738660000000005E-4</v>
      </c>
      <c r="I13">
        <v>1.0158484000000001E-3</v>
      </c>
      <c r="J13" s="8">
        <v>9.8005949999999901E-4</v>
      </c>
      <c r="K13" s="8">
        <v>9.537514E-4</v>
      </c>
      <c r="L13" s="8">
        <v>8.9854850000000005E-4</v>
      </c>
      <c r="M13" s="8">
        <v>8.323572E-4</v>
      </c>
      <c r="N13" s="8">
        <v>7.7212299999999999E-4</v>
      </c>
      <c r="O13">
        <v>0</v>
      </c>
      <c r="P13">
        <v>0</v>
      </c>
      <c r="Q13">
        <v>0</v>
      </c>
      <c r="R13" t="s">
        <v>243</v>
      </c>
    </row>
    <row r="14" spans="1:18" x14ac:dyDescent="0.3">
      <c r="A14" t="s">
        <v>259</v>
      </c>
      <c r="B14" t="s">
        <v>260</v>
      </c>
      <c r="C14" t="s">
        <v>273</v>
      </c>
      <c r="D14">
        <v>1.666325E-3</v>
      </c>
      <c r="E14">
        <v>1.1836590000000001E-3</v>
      </c>
      <c r="F14">
        <v>1.0822900000000001E-3</v>
      </c>
      <c r="G14">
        <v>1.1176249999999999E-3</v>
      </c>
      <c r="H14">
        <v>1.0854871E-3</v>
      </c>
      <c r="I14">
        <v>1.1012000000000001E-3</v>
      </c>
      <c r="J14">
        <v>1.0583565000000001E-3</v>
      </c>
      <c r="K14">
        <v>1.0268015000000001E-3</v>
      </c>
      <c r="L14" s="8">
        <v>9.6516849999999895E-4</v>
      </c>
      <c r="M14" s="8">
        <v>8.9258130000000003E-4</v>
      </c>
      <c r="N14" s="8">
        <v>8.2697949999999902E-4</v>
      </c>
      <c r="O14">
        <v>0</v>
      </c>
      <c r="P14">
        <v>0</v>
      </c>
      <c r="Q14">
        <v>0</v>
      </c>
      <c r="R14" t="s">
        <v>243</v>
      </c>
    </row>
    <row r="15" spans="1:18" x14ac:dyDescent="0.3">
      <c r="A15" t="s">
        <v>259</v>
      </c>
      <c r="B15" t="s">
        <v>260</v>
      </c>
      <c r="C15" t="s">
        <v>274</v>
      </c>
      <c r="D15" s="8">
        <v>8.4980024100000007E-6</v>
      </c>
      <c r="E15" s="8">
        <v>4.30703817799999E-5</v>
      </c>
      <c r="F15" s="8">
        <v>4.7194254779999997E-5</v>
      </c>
      <c r="G15" s="8">
        <v>5.5893259310000002E-5</v>
      </c>
      <c r="H15" s="8">
        <v>8.3078275960000002E-5</v>
      </c>
      <c r="I15" s="8">
        <v>9.2260936599999896E-5</v>
      </c>
      <c r="J15" s="8">
        <v>9.3651093056E-5</v>
      </c>
      <c r="K15" s="8">
        <v>9.3365532163999904E-5</v>
      </c>
      <c r="L15" s="8">
        <v>9.0278516725999898E-5</v>
      </c>
      <c r="M15" s="8">
        <v>8.5144047306000002E-5</v>
      </c>
      <c r="N15" s="8">
        <v>7.9484689871999994E-5</v>
      </c>
      <c r="O15">
        <v>0</v>
      </c>
      <c r="P15">
        <v>0</v>
      </c>
      <c r="Q15">
        <v>0</v>
      </c>
      <c r="R15" t="s">
        <v>243</v>
      </c>
    </row>
    <row r="16" spans="1:18" x14ac:dyDescent="0.3">
      <c r="A16" t="s">
        <v>259</v>
      </c>
      <c r="B16" t="s">
        <v>260</v>
      </c>
      <c r="C16" t="s">
        <v>275</v>
      </c>
      <c r="D16" s="8">
        <v>4.6111939699999901E-5</v>
      </c>
      <c r="E16" s="8">
        <v>1.521771284E-4</v>
      </c>
      <c r="F16" s="8">
        <v>1.3840453060000001E-4</v>
      </c>
      <c r="G16" s="8">
        <v>1.83394616E-4</v>
      </c>
      <c r="H16" s="8">
        <v>2.03521526759999E-4</v>
      </c>
      <c r="I16" s="8">
        <v>2.0201557876999999E-4</v>
      </c>
      <c r="J16" s="8">
        <v>1.8823416696999999E-4</v>
      </c>
      <c r="K16" s="8">
        <v>1.7726269053000001E-4</v>
      </c>
      <c r="L16" s="8">
        <v>1.6450868825599999E-4</v>
      </c>
      <c r="M16" s="8">
        <v>1.4979769181599901E-4</v>
      </c>
      <c r="N16" s="8">
        <v>1.3613640031199999E-4</v>
      </c>
      <c r="O16">
        <v>0</v>
      </c>
      <c r="P16">
        <v>0</v>
      </c>
      <c r="Q16">
        <v>0</v>
      </c>
      <c r="R16" t="s">
        <v>243</v>
      </c>
    </row>
    <row r="17" spans="1:18" x14ac:dyDescent="0.3">
      <c r="A17" t="s">
        <v>259</v>
      </c>
      <c r="B17" t="s">
        <v>260</v>
      </c>
      <c r="C17" t="s">
        <v>276</v>
      </c>
      <c r="D17" s="8">
        <v>1.41505825E-5</v>
      </c>
      <c r="E17" s="8">
        <v>6.8373797279999999E-5</v>
      </c>
      <c r="F17" s="8">
        <v>7.0243874680000004E-5</v>
      </c>
      <c r="G17" s="8">
        <v>8.177126281E-5</v>
      </c>
      <c r="H17" s="8">
        <v>1.1096750232999999E-4</v>
      </c>
      <c r="I17" s="8">
        <v>1.1688385965E-4</v>
      </c>
      <c r="J17" s="8">
        <v>1.13849029813E-4</v>
      </c>
      <c r="K17" s="8">
        <v>1.10391608786E-4</v>
      </c>
      <c r="L17" s="8">
        <v>1.05009089621999E-4</v>
      </c>
      <c r="M17" s="8">
        <v>9.7902534068999907E-5</v>
      </c>
      <c r="N17" s="8">
        <v>9.0734230625000002E-5</v>
      </c>
      <c r="O17">
        <v>0</v>
      </c>
      <c r="P17">
        <v>0</v>
      </c>
      <c r="Q17">
        <v>0</v>
      </c>
      <c r="R17" t="s">
        <v>243</v>
      </c>
    </row>
    <row r="18" spans="1:18" x14ac:dyDescent="0.3">
      <c r="A18" t="s">
        <v>259</v>
      </c>
      <c r="B18" t="s">
        <v>260</v>
      </c>
      <c r="C18" t="s">
        <v>277</v>
      </c>
      <c r="D18" s="8">
        <v>1.7857792629999899E-5</v>
      </c>
      <c r="E18" s="8">
        <v>8.1768828929999898E-5</v>
      </c>
      <c r="F18" s="8">
        <v>8.0593761289999999E-5</v>
      </c>
      <c r="G18" s="8">
        <v>9.4956685550000005E-5</v>
      </c>
      <c r="H18" s="8">
        <v>1.2277760344E-4</v>
      </c>
      <c r="I18" s="8">
        <v>1.2725986524999999E-4</v>
      </c>
      <c r="J18" s="8">
        <v>1.2275846121800001E-4</v>
      </c>
      <c r="K18" s="8">
        <v>1.18427886248999E-4</v>
      </c>
      <c r="L18" s="8">
        <v>1.1226392367E-4</v>
      </c>
      <c r="M18" s="8">
        <v>1.04350327958999E-4</v>
      </c>
      <c r="N18" s="8">
        <v>9.6494402737000001E-5</v>
      </c>
      <c r="O18">
        <v>0</v>
      </c>
      <c r="P18">
        <v>0</v>
      </c>
      <c r="Q18">
        <v>0</v>
      </c>
      <c r="R18" t="s">
        <v>243</v>
      </c>
    </row>
    <row r="19" spans="1:18" x14ac:dyDescent="0.3">
      <c r="A19" t="s">
        <v>259</v>
      </c>
      <c r="B19" t="s">
        <v>260</v>
      </c>
      <c r="C19" t="s">
        <v>278</v>
      </c>
      <c r="D19" s="8">
        <v>2.1205065820000001E-5</v>
      </c>
      <c r="E19" s="8">
        <v>9.1616307890000006E-5</v>
      </c>
      <c r="F19" s="8">
        <v>8.7882526509999997E-5</v>
      </c>
      <c r="G19" s="8">
        <v>1.0464991091E-4</v>
      </c>
      <c r="H19" s="8">
        <v>1.3136908939999901E-4</v>
      </c>
      <c r="I19" s="8">
        <v>1.3505411495E-4</v>
      </c>
      <c r="J19" s="8">
        <v>1.2948903607200001E-4</v>
      </c>
      <c r="K19" s="8">
        <v>1.24547321624E-4</v>
      </c>
      <c r="L19" s="8">
        <v>1.17821925992999E-4</v>
      </c>
      <c r="M19" s="8">
        <v>1.0927749977299999E-4</v>
      </c>
      <c r="N19" s="8">
        <v>1.00858457455E-4</v>
      </c>
      <c r="O19">
        <v>0</v>
      </c>
      <c r="P19">
        <v>0</v>
      </c>
      <c r="Q19">
        <v>0</v>
      </c>
      <c r="R19" t="s">
        <v>243</v>
      </c>
    </row>
    <row r="20" spans="1:18" x14ac:dyDescent="0.3">
      <c r="A20" t="s">
        <v>259</v>
      </c>
      <c r="B20" t="s">
        <v>260</v>
      </c>
      <c r="C20" t="s">
        <v>279</v>
      </c>
      <c r="D20" s="8">
        <v>2.42819362E-5</v>
      </c>
      <c r="E20" s="8">
        <v>9.9653106859999896E-5</v>
      </c>
      <c r="F20" s="8">
        <v>9.3791246850000005E-5</v>
      </c>
      <c r="G20" s="8">
        <v>1.1302462401E-4</v>
      </c>
      <c r="H20" s="8">
        <v>1.3874909426E-4</v>
      </c>
      <c r="I20" s="8">
        <v>1.4184720505E-4</v>
      </c>
      <c r="J20" s="8">
        <v>1.3553519276399999E-4</v>
      </c>
      <c r="K20" s="8">
        <v>1.3003844330500001E-4</v>
      </c>
      <c r="L20" s="8">
        <v>1.2275821708799899E-4</v>
      </c>
      <c r="M20" s="8">
        <v>1.13633863253E-4</v>
      </c>
      <c r="N20" s="8">
        <v>1.04722605892999E-4</v>
      </c>
      <c r="O20">
        <v>0</v>
      </c>
      <c r="P20">
        <v>0</v>
      </c>
      <c r="Q20">
        <v>0</v>
      </c>
      <c r="R20" t="s">
        <v>243</v>
      </c>
    </row>
    <row r="21" spans="1:18" x14ac:dyDescent="0.3">
      <c r="A21" t="s">
        <v>259</v>
      </c>
      <c r="B21" t="s">
        <v>260</v>
      </c>
      <c r="C21" t="s">
        <v>280</v>
      </c>
      <c r="D21" s="8">
        <v>2.7340299499999998E-5</v>
      </c>
      <c r="E21" s="8">
        <v>1.0674261169999999E-4</v>
      </c>
      <c r="F21" s="8">
        <v>9.9144608899999999E-5</v>
      </c>
      <c r="G21" s="8">
        <v>1.209853019E-4</v>
      </c>
      <c r="H21" s="8">
        <v>1.4585807722999899E-4</v>
      </c>
      <c r="I21" s="8">
        <v>1.4852568245999999E-4</v>
      </c>
      <c r="J21" s="8">
        <v>1.41452246534E-4</v>
      </c>
      <c r="K21" s="8">
        <v>1.3542256267200001E-4</v>
      </c>
      <c r="L21" s="8">
        <v>1.2755400553499999E-4</v>
      </c>
      <c r="M21" s="8">
        <v>1.17826824477E-4</v>
      </c>
      <c r="N21" s="8">
        <v>1.08426952327E-4</v>
      </c>
      <c r="O21">
        <v>0</v>
      </c>
      <c r="P21">
        <v>0</v>
      </c>
      <c r="Q21">
        <v>0</v>
      </c>
      <c r="R21" t="s">
        <v>243</v>
      </c>
    </row>
    <row r="22" spans="1:18" x14ac:dyDescent="0.3">
      <c r="A22" t="s">
        <v>259</v>
      </c>
      <c r="B22" t="s">
        <v>260</v>
      </c>
      <c r="C22" t="s">
        <v>281</v>
      </c>
      <c r="D22" s="8">
        <v>3.0825325099999998E-5</v>
      </c>
      <c r="E22" s="8">
        <v>1.131982535E-4</v>
      </c>
      <c r="F22" s="8">
        <v>1.045969814E-4</v>
      </c>
      <c r="G22" s="8">
        <v>1.2915099720000001E-4</v>
      </c>
      <c r="H22" s="8">
        <v>1.5341868141999999E-4</v>
      </c>
      <c r="I22" s="8">
        <v>1.5564547800000001E-4</v>
      </c>
      <c r="J22" s="8">
        <v>1.4767870911599901E-4</v>
      </c>
      <c r="K22" s="8">
        <v>1.4103868716499999E-4</v>
      </c>
      <c r="L22" s="8">
        <v>1.3258199803499999E-4</v>
      </c>
      <c r="M22" s="8">
        <v>1.2224608901999901E-4</v>
      </c>
      <c r="N22" s="8">
        <v>1.12295100871E-4</v>
      </c>
      <c r="O22">
        <v>0</v>
      </c>
      <c r="P22">
        <v>0</v>
      </c>
      <c r="Q22">
        <v>0</v>
      </c>
      <c r="R22" t="s">
        <v>243</v>
      </c>
    </row>
    <row r="23" spans="1:18" x14ac:dyDescent="0.3">
      <c r="A23" t="s">
        <v>259</v>
      </c>
      <c r="B23" t="s">
        <v>260</v>
      </c>
      <c r="C23" t="s">
        <v>282</v>
      </c>
      <c r="D23" s="8">
        <v>3.4185803299999997E-5</v>
      </c>
      <c r="E23" s="8">
        <v>1.2033396280000001E-4</v>
      </c>
      <c r="F23" s="8">
        <v>1.1134168939999999E-4</v>
      </c>
      <c r="G23" s="8">
        <v>1.3915984949999999E-4</v>
      </c>
      <c r="H23" s="8">
        <v>1.6224918515999999E-4</v>
      </c>
      <c r="I23" s="8">
        <v>1.6379654519000001E-4</v>
      </c>
      <c r="J23" s="8">
        <v>1.5491819683400001E-4</v>
      </c>
      <c r="K23" s="8">
        <v>1.4760673274100001E-4</v>
      </c>
      <c r="L23" s="8">
        <v>1.3843100612999999E-4</v>
      </c>
      <c r="M23" s="8">
        <v>1.27324763165E-4</v>
      </c>
      <c r="N23" s="8">
        <v>1.16724656483E-4</v>
      </c>
      <c r="O23">
        <v>0</v>
      </c>
      <c r="P23">
        <v>0</v>
      </c>
      <c r="Q23">
        <v>0</v>
      </c>
      <c r="R23" t="s">
        <v>243</v>
      </c>
    </row>
    <row r="24" spans="1:18" x14ac:dyDescent="0.3">
      <c r="A24" t="s">
        <v>259</v>
      </c>
      <c r="B24" t="s">
        <v>260</v>
      </c>
      <c r="C24" t="s">
        <v>283</v>
      </c>
      <c r="D24" s="8">
        <v>3.84046080999999E-5</v>
      </c>
      <c r="E24" s="8">
        <v>1.2893781809999999E-4</v>
      </c>
      <c r="F24" s="8">
        <v>1.193215272E-4</v>
      </c>
      <c r="G24" s="8">
        <v>1.5140289200000001E-4</v>
      </c>
      <c r="H24" s="8">
        <v>1.7381714869E-4</v>
      </c>
      <c r="I24" s="8">
        <v>1.7459274233000001E-4</v>
      </c>
      <c r="J24" s="8">
        <v>1.6431094257E-4</v>
      </c>
      <c r="K24" s="8">
        <v>1.5594681782100001E-4</v>
      </c>
      <c r="L24" s="8">
        <v>1.4576974165400001E-4</v>
      </c>
      <c r="M24" s="8">
        <v>1.3368605616599901E-4</v>
      </c>
      <c r="N24" s="8">
        <v>1.22259325947999E-4</v>
      </c>
      <c r="O24">
        <v>0</v>
      </c>
      <c r="P24">
        <v>0</v>
      </c>
      <c r="Q24">
        <v>0</v>
      </c>
      <c r="R24" t="s">
        <v>243</v>
      </c>
    </row>
    <row r="25" spans="1:18" x14ac:dyDescent="0.3">
      <c r="A25" t="s">
        <v>259</v>
      </c>
      <c r="B25" t="s">
        <v>260</v>
      </c>
      <c r="C25" t="s">
        <v>284</v>
      </c>
      <c r="D25" s="8">
        <v>7.1282119999999994E-5</v>
      </c>
      <c r="E25" s="8">
        <v>5.7524780000000001E-5</v>
      </c>
      <c r="F25" s="8">
        <v>6.2852800000000002E-5</v>
      </c>
      <c r="G25" s="8">
        <v>6.0850700000000003E-5</v>
      </c>
      <c r="H25" s="8">
        <v>5.7855559999999999E-5</v>
      </c>
      <c r="I25" s="8">
        <v>6.2613389999999897E-5</v>
      </c>
      <c r="J25" s="8">
        <v>6.0845114000000003E-5</v>
      </c>
      <c r="K25" s="8">
        <v>6.4317741999999896E-5</v>
      </c>
      <c r="L25" s="8">
        <v>7.1280437999999993E-5</v>
      </c>
      <c r="M25" s="8">
        <v>7.6319210999999996E-5</v>
      </c>
      <c r="N25" s="8">
        <v>7.9512703000000003E-5</v>
      </c>
      <c r="O25">
        <v>0</v>
      </c>
      <c r="P25">
        <v>0</v>
      </c>
      <c r="Q25">
        <v>0</v>
      </c>
      <c r="R25" t="s">
        <v>243</v>
      </c>
    </row>
    <row r="26" spans="1:18" x14ac:dyDescent="0.3">
      <c r="A26" t="s">
        <v>259</v>
      </c>
      <c r="B26" t="s">
        <v>260</v>
      </c>
      <c r="C26" t="s">
        <v>285</v>
      </c>
      <c r="D26">
        <v>1.9217297999999999E-3</v>
      </c>
      <c r="E26">
        <v>1.89451999999999E-3</v>
      </c>
      <c r="F26">
        <v>1.5918359999999999E-3</v>
      </c>
      <c r="G26">
        <v>1.9894909999999999E-3</v>
      </c>
      <c r="H26">
        <v>1.7801111000000001E-3</v>
      </c>
      <c r="I26">
        <v>1.7088112999999901E-3</v>
      </c>
      <c r="J26">
        <v>1.3771078999999999E-3</v>
      </c>
      <c r="K26">
        <v>1.0815360999999999E-3</v>
      </c>
      <c r="L26" s="8">
        <v>9.6693690000000004E-4</v>
      </c>
      <c r="M26" s="8">
        <v>8.5671269999999995E-4</v>
      </c>
      <c r="N26" s="8">
        <v>7.5966492999999895E-4</v>
      </c>
      <c r="O26">
        <v>0</v>
      </c>
      <c r="P26">
        <v>0</v>
      </c>
      <c r="Q26">
        <v>0</v>
      </c>
      <c r="R26" t="s">
        <v>243</v>
      </c>
    </row>
    <row r="27" spans="1:18" x14ac:dyDescent="0.3">
      <c r="A27" t="s">
        <v>259</v>
      </c>
      <c r="B27" t="s">
        <v>260</v>
      </c>
      <c r="C27" t="s">
        <v>286</v>
      </c>
      <c r="D27" s="8">
        <v>1.3539349E-4</v>
      </c>
      <c r="E27" s="8">
        <v>1.2375059999999999E-4</v>
      </c>
      <c r="F27" s="8">
        <v>1.3977449999999999E-4</v>
      </c>
      <c r="G27" s="8">
        <v>1.2806260000000001E-4</v>
      </c>
      <c r="H27" s="8">
        <v>1.2927258999999999E-4</v>
      </c>
      <c r="I27" s="8">
        <v>1.4191620999999999E-4</v>
      </c>
      <c r="J27" s="8">
        <v>1.39488439999999E-4</v>
      </c>
      <c r="K27" s="8">
        <v>1.4411202000000001E-4</v>
      </c>
      <c r="L27" s="8">
        <v>1.5554471000000001E-4</v>
      </c>
      <c r="M27" s="8">
        <v>1.6276324E-4</v>
      </c>
      <c r="N27" s="8">
        <v>1.6632259999999901E-4</v>
      </c>
      <c r="O27">
        <v>0</v>
      </c>
      <c r="P27">
        <v>0</v>
      </c>
      <c r="Q27">
        <v>0</v>
      </c>
      <c r="R27" t="s">
        <v>243</v>
      </c>
    </row>
    <row r="28" spans="1:18" x14ac:dyDescent="0.3">
      <c r="A28" t="s">
        <v>259</v>
      </c>
      <c r="B28" t="s">
        <v>260</v>
      </c>
      <c r="C28" t="s">
        <v>287</v>
      </c>
      <c r="D28" s="8">
        <v>1.8756076E-4</v>
      </c>
      <c r="E28" s="8">
        <v>1.8233999999999999E-4</v>
      </c>
      <c r="F28" s="8">
        <v>2.0370659999999999E-4</v>
      </c>
      <c r="G28" s="8">
        <v>1.8789929999999999E-4</v>
      </c>
      <c r="H28" s="8">
        <v>1.8982790000000001E-4</v>
      </c>
      <c r="I28" s="8">
        <v>2.0834162999999999E-4</v>
      </c>
      <c r="J28" s="8">
        <v>2.0473898999999999E-4</v>
      </c>
      <c r="K28" s="8">
        <v>2.0873336999999999E-4</v>
      </c>
      <c r="L28" s="8">
        <v>2.22227309999999E-4</v>
      </c>
      <c r="M28" s="8">
        <v>2.2950780999999901E-4</v>
      </c>
      <c r="N28" s="8">
        <v>2.3173255000000001E-4</v>
      </c>
      <c r="O28">
        <v>0</v>
      </c>
      <c r="P28">
        <v>0</v>
      </c>
      <c r="Q28">
        <v>0</v>
      </c>
      <c r="R28" t="s">
        <v>243</v>
      </c>
    </row>
    <row r="29" spans="1:18" x14ac:dyDescent="0.3">
      <c r="A29" t="s">
        <v>259</v>
      </c>
      <c r="B29" t="s">
        <v>260</v>
      </c>
      <c r="C29" t="s">
        <v>288</v>
      </c>
      <c r="D29" s="8">
        <v>2.4411644000000001E-4</v>
      </c>
      <c r="E29" s="8">
        <v>2.4668440000000003E-4</v>
      </c>
      <c r="F29" s="8">
        <v>2.6993809999999998E-4</v>
      </c>
      <c r="G29" s="8">
        <v>2.5191070000000001E-4</v>
      </c>
      <c r="H29" s="8">
        <v>2.5411930000000002E-4</v>
      </c>
      <c r="I29" s="8">
        <v>2.7796768E-4</v>
      </c>
      <c r="J29" s="8">
        <v>2.7039479000000001E-4</v>
      </c>
      <c r="K29" s="8">
        <v>2.7142014999999899E-4</v>
      </c>
      <c r="L29" s="8">
        <v>2.8569799999999997E-4</v>
      </c>
      <c r="M29" s="8">
        <v>2.9157200999999999E-4</v>
      </c>
      <c r="N29" s="8">
        <v>2.9097265000000002E-4</v>
      </c>
      <c r="O29">
        <v>0</v>
      </c>
      <c r="P29">
        <v>0</v>
      </c>
      <c r="Q29">
        <v>0</v>
      </c>
      <c r="R29" t="s">
        <v>243</v>
      </c>
    </row>
    <row r="30" spans="1:18" x14ac:dyDescent="0.3">
      <c r="A30" t="s">
        <v>259</v>
      </c>
      <c r="B30" t="s">
        <v>260</v>
      </c>
      <c r="C30" t="s">
        <v>289</v>
      </c>
      <c r="D30" s="8">
        <v>3.0679793000000001E-4</v>
      </c>
      <c r="E30" s="8">
        <v>3.2206109999999999E-4</v>
      </c>
      <c r="F30" s="8">
        <v>3.4148069999999998E-4</v>
      </c>
      <c r="G30" s="8">
        <v>3.2617630000000001E-4</v>
      </c>
      <c r="H30" s="8">
        <v>3.2685249999999999E-4</v>
      </c>
      <c r="I30" s="8">
        <v>3.5488364E-4</v>
      </c>
      <c r="J30" s="8">
        <v>3.4223690999999999E-4</v>
      </c>
      <c r="K30" s="8">
        <v>3.3785765999999899E-4</v>
      </c>
      <c r="L30" s="8">
        <v>3.5104389999999997E-4</v>
      </c>
      <c r="M30" s="8">
        <v>3.5390150999999899E-4</v>
      </c>
      <c r="N30" s="8">
        <v>3.4931261000000001E-4</v>
      </c>
      <c r="O30">
        <v>0</v>
      </c>
      <c r="P30">
        <v>0</v>
      </c>
      <c r="Q30">
        <v>0</v>
      </c>
      <c r="R30" t="s">
        <v>243</v>
      </c>
    </row>
    <row r="31" spans="1:18" x14ac:dyDescent="0.3">
      <c r="A31" t="s">
        <v>259</v>
      </c>
      <c r="B31" t="s">
        <v>260</v>
      </c>
      <c r="C31" t="s">
        <v>290</v>
      </c>
      <c r="D31" s="8">
        <v>3.8312760000000002E-4</v>
      </c>
      <c r="E31" s="8">
        <v>4.1424509999999899E-4</v>
      </c>
      <c r="F31" s="8">
        <v>4.2264599999999999E-4</v>
      </c>
      <c r="G31" s="8">
        <v>4.1646000000000001E-4</v>
      </c>
      <c r="H31" s="8">
        <v>4.1376709999999998E-4</v>
      </c>
      <c r="I31" s="8">
        <v>4.4595924999999998E-4</v>
      </c>
      <c r="J31" s="8">
        <v>4.2491118999999998E-4</v>
      </c>
      <c r="K31" s="8">
        <v>4.1225179999999998E-4</v>
      </c>
      <c r="L31" s="8">
        <v>4.2193108000000002E-4</v>
      </c>
      <c r="M31" s="8">
        <v>4.1931575E-4</v>
      </c>
      <c r="N31" s="8">
        <v>4.0891003999999899E-4</v>
      </c>
      <c r="O31">
        <v>0</v>
      </c>
      <c r="P31">
        <v>0</v>
      </c>
      <c r="Q31">
        <v>0</v>
      </c>
      <c r="R31" t="s">
        <v>243</v>
      </c>
    </row>
    <row r="32" spans="1:18" x14ac:dyDescent="0.3">
      <c r="A32" t="s">
        <v>259</v>
      </c>
      <c r="B32" t="s">
        <v>260</v>
      </c>
      <c r="C32" t="s">
        <v>291</v>
      </c>
      <c r="D32" s="8">
        <v>4.9497729999999995E-4</v>
      </c>
      <c r="E32" s="8">
        <v>5.2561950000000002E-4</v>
      </c>
      <c r="F32" s="8">
        <v>5.22826E-4</v>
      </c>
      <c r="G32" s="8">
        <v>5.3147199999999996E-4</v>
      </c>
      <c r="H32" s="8">
        <v>5.2473139999999999E-4</v>
      </c>
      <c r="I32" s="8">
        <v>5.6049330000000001E-4</v>
      </c>
      <c r="J32" s="8">
        <v>5.2538800999999997E-4</v>
      </c>
      <c r="K32" s="8">
        <v>4.9909827999999998E-4</v>
      </c>
      <c r="L32" s="8">
        <v>5.0272098E-4</v>
      </c>
      <c r="M32" s="8">
        <v>4.9210202000000004E-4</v>
      </c>
      <c r="N32" s="8">
        <v>4.728574E-4</v>
      </c>
      <c r="O32">
        <v>0</v>
      </c>
      <c r="P32">
        <v>0</v>
      </c>
      <c r="Q32">
        <v>0</v>
      </c>
      <c r="R32" t="s">
        <v>243</v>
      </c>
    </row>
    <row r="33" spans="1:18" x14ac:dyDescent="0.3">
      <c r="A33" t="s">
        <v>259</v>
      </c>
      <c r="B33" t="s">
        <v>260</v>
      </c>
      <c r="C33" t="s">
        <v>292</v>
      </c>
      <c r="D33" s="8">
        <v>6.4200580000000002E-4</v>
      </c>
      <c r="E33" s="8">
        <v>6.8395100000000003E-4</v>
      </c>
      <c r="F33" s="8">
        <v>6.7293099999999998E-4</v>
      </c>
      <c r="G33" s="8">
        <v>7.0661300000000003E-4</v>
      </c>
      <c r="H33" s="8">
        <v>6.8399620000000004E-4</v>
      </c>
      <c r="I33" s="8">
        <v>7.1834890000000004E-4</v>
      </c>
      <c r="J33" s="8">
        <v>6.5986102999999996E-4</v>
      </c>
      <c r="K33" s="8">
        <v>6.0973794999999995E-4</v>
      </c>
      <c r="L33" s="8">
        <v>6.0151107000000004E-4</v>
      </c>
      <c r="M33" s="8">
        <v>5.7683210999999999E-4</v>
      </c>
      <c r="N33" s="8">
        <v>5.4424586999999897E-4</v>
      </c>
      <c r="O33">
        <v>0</v>
      </c>
      <c r="P33">
        <v>0</v>
      </c>
      <c r="Q33">
        <v>0</v>
      </c>
      <c r="R33" t="s">
        <v>243</v>
      </c>
    </row>
    <row r="34" spans="1:18" x14ac:dyDescent="0.3">
      <c r="A34" t="s">
        <v>259</v>
      </c>
      <c r="B34" t="s">
        <v>260</v>
      </c>
      <c r="C34" t="s">
        <v>293</v>
      </c>
      <c r="D34" s="8">
        <v>9.2103720000000005E-4</v>
      </c>
      <c r="E34" s="8">
        <v>9.2785399999999998E-4</v>
      </c>
      <c r="F34" s="8">
        <v>8.9064399999999903E-4</v>
      </c>
      <c r="G34" s="8">
        <v>9.774339999999999E-4</v>
      </c>
      <c r="H34" s="8">
        <v>9.3411779999999901E-4</v>
      </c>
      <c r="I34" s="8">
        <v>9.6163149999999996E-4</v>
      </c>
      <c r="J34" s="8">
        <v>8.5549370000000005E-4</v>
      </c>
      <c r="K34" s="8">
        <v>7.5779443000000002E-4</v>
      </c>
      <c r="L34" s="8">
        <v>7.2494069999999903E-4</v>
      </c>
      <c r="M34" s="8">
        <v>6.7691699000000001E-4</v>
      </c>
      <c r="N34" s="8">
        <v>6.2438033999999995E-4</v>
      </c>
      <c r="O34">
        <v>0</v>
      </c>
      <c r="P34">
        <v>0</v>
      </c>
      <c r="Q34">
        <v>0</v>
      </c>
      <c r="R34" t="s">
        <v>243</v>
      </c>
    </row>
    <row r="35" spans="1:18" x14ac:dyDescent="0.3">
      <c r="A35" t="s">
        <v>259</v>
      </c>
      <c r="B35" t="s">
        <v>260</v>
      </c>
      <c r="C35" t="s">
        <v>294</v>
      </c>
      <c r="D35" s="8">
        <v>4.1578790000000002E-5</v>
      </c>
      <c r="E35" s="8">
        <v>4.299474E-5</v>
      </c>
      <c r="F35" s="8">
        <v>5.0253429999999998E-5</v>
      </c>
      <c r="G35" s="8">
        <v>6.0323589999999897E-5</v>
      </c>
      <c r="H35" s="8">
        <v>5.5602415999999999E-5</v>
      </c>
      <c r="I35" s="8">
        <v>7.144629E-5</v>
      </c>
      <c r="J35" s="8">
        <v>8.5828146899999996E-5</v>
      </c>
      <c r="K35" s="8">
        <v>9.9433071799999995E-5</v>
      </c>
      <c r="L35" s="8">
        <v>1.108384712E-4</v>
      </c>
      <c r="M35" s="8">
        <v>1.20230422499999E-4</v>
      </c>
      <c r="N35" s="8">
        <v>1.279630582E-4</v>
      </c>
      <c r="O35">
        <v>0</v>
      </c>
      <c r="P35">
        <v>0</v>
      </c>
      <c r="Q35">
        <v>0</v>
      </c>
      <c r="R35" t="s">
        <v>243</v>
      </c>
    </row>
    <row r="36" spans="1:18" x14ac:dyDescent="0.3">
      <c r="A36" t="s">
        <v>259</v>
      </c>
      <c r="B36" t="s">
        <v>260</v>
      </c>
      <c r="C36" t="s">
        <v>295</v>
      </c>
      <c r="D36" s="8">
        <v>9.9338620000000003E-4</v>
      </c>
      <c r="E36">
        <v>1.0902589999999899E-3</v>
      </c>
      <c r="F36" s="8">
        <v>9.1786259999999996E-4</v>
      </c>
      <c r="G36">
        <v>1.1757200000000001E-3</v>
      </c>
      <c r="H36">
        <v>1.1169849E-3</v>
      </c>
      <c r="I36">
        <v>1.1599322399999999E-3</v>
      </c>
      <c r="J36">
        <v>1.12898990999999E-3</v>
      </c>
      <c r="K36">
        <v>1.0993803160000001E-3</v>
      </c>
      <c r="L36">
        <v>1.059860203E-3</v>
      </c>
      <c r="M36">
        <v>1.0051223699999901E-3</v>
      </c>
      <c r="N36" s="8">
        <v>9.5279843799999904E-4</v>
      </c>
      <c r="O36">
        <v>0</v>
      </c>
      <c r="P36">
        <v>0</v>
      </c>
      <c r="Q36">
        <v>0</v>
      </c>
      <c r="R36" t="s">
        <v>243</v>
      </c>
    </row>
    <row r="37" spans="1:18" x14ac:dyDescent="0.3">
      <c r="A37" t="s">
        <v>259</v>
      </c>
      <c r="B37" t="s">
        <v>260</v>
      </c>
      <c r="C37" t="s">
        <v>296</v>
      </c>
      <c r="D37" s="8">
        <v>7.8536259999999999E-5</v>
      </c>
      <c r="E37" s="8">
        <v>9.1304970000000005E-5</v>
      </c>
      <c r="F37" s="8">
        <v>1.0931398E-4</v>
      </c>
      <c r="G37" s="8">
        <v>1.2356189999999999E-4</v>
      </c>
      <c r="H37" s="8">
        <v>1.1689992899999999E-4</v>
      </c>
      <c r="I37" s="8">
        <v>1.4622987900000001E-4</v>
      </c>
      <c r="J37" s="8">
        <v>1.7133849100000001E-4</v>
      </c>
      <c r="K37" s="8">
        <v>1.9703514330000001E-4</v>
      </c>
      <c r="L37" s="8">
        <v>2.1813260899999901E-4</v>
      </c>
      <c r="M37" s="8">
        <v>2.3459714E-4</v>
      </c>
      <c r="N37" s="8">
        <v>2.4735034100000001E-4</v>
      </c>
      <c r="O37">
        <v>0</v>
      </c>
      <c r="P37">
        <v>0</v>
      </c>
      <c r="Q37">
        <v>0</v>
      </c>
      <c r="R37" t="s">
        <v>243</v>
      </c>
    </row>
    <row r="38" spans="1:18" x14ac:dyDescent="0.3">
      <c r="A38" t="s">
        <v>259</v>
      </c>
      <c r="B38" t="s">
        <v>260</v>
      </c>
      <c r="C38" t="s">
        <v>297</v>
      </c>
      <c r="D38" s="8">
        <v>1.0834245E-4</v>
      </c>
      <c r="E38" s="8">
        <v>1.3315882999999999E-4</v>
      </c>
      <c r="F38" s="8">
        <v>1.5672776999999999E-4</v>
      </c>
      <c r="G38" s="8">
        <v>1.7747729999999901E-4</v>
      </c>
      <c r="H38" s="8">
        <v>1.6633156699999901E-4</v>
      </c>
      <c r="I38" s="8">
        <v>2.0548514199999899E-4</v>
      </c>
      <c r="J38" s="8">
        <v>2.3860822600000001E-4</v>
      </c>
      <c r="K38" s="8">
        <v>2.726183828E-4</v>
      </c>
      <c r="L38" s="8">
        <v>2.9945948599999998E-4</v>
      </c>
      <c r="M38" s="8">
        <v>3.1927928799999999E-4</v>
      </c>
      <c r="N38" s="8">
        <v>3.336247E-4</v>
      </c>
      <c r="O38">
        <v>0</v>
      </c>
      <c r="P38">
        <v>0</v>
      </c>
      <c r="Q38">
        <v>0</v>
      </c>
      <c r="R38" t="s">
        <v>243</v>
      </c>
    </row>
    <row r="39" spans="1:18" x14ac:dyDescent="0.3">
      <c r="A39" t="s">
        <v>259</v>
      </c>
      <c r="B39" t="s">
        <v>260</v>
      </c>
      <c r="C39" t="s">
        <v>298</v>
      </c>
      <c r="D39" s="8">
        <v>1.4041101999999901E-4</v>
      </c>
      <c r="E39" s="8">
        <v>1.7825219999999999E-4</v>
      </c>
      <c r="F39" s="8">
        <v>2.0439189999999901E-4</v>
      </c>
      <c r="G39" s="8">
        <v>2.32939299999999E-4</v>
      </c>
      <c r="H39" s="8">
        <v>2.17344234E-4</v>
      </c>
      <c r="I39" s="8">
        <v>2.6551465799999998E-4</v>
      </c>
      <c r="J39" s="8">
        <v>3.0374576699999998E-4</v>
      </c>
      <c r="K39" s="8">
        <v>3.43662463E-4</v>
      </c>
      <c r="L39" s="8">
        <v>3.7457670000000002E-4</v>
      </c>
      <c r="M39" s="8">
        <v>3.9565669499999899E-4</v>
      </c>
      <c r="N39" s="8">
        <v>4.0933369899999998E-4</v>
      </c>
      <c r="O39">
        <v>0</v>
      </c>
      <c r="P39">
        <v>0</v>
      </c>
      <c r="Q39">
        <v>0</v>
      </c>
      <c r="R39" t="s">
        <v>243</v>
      </c>
    </row>
    <row r="40" spans="1:18" x14ac:dyDescent="0.3">
      <c r="A40" t="s">
        <v>259</v>
      </c>
      <c r="B40" t="s">
        <v>260</v>
      </c>
      <c r="C40" t="s">
        <v>299</v>
      </c>
      <c r="D40" s="8">
        <v>1.7566264E-4</v>
      </c>
      <c r="E40" s="8">
        <v>2.2998332000000001E-4</v>
      </c>
      <c r="F40" s="8">
        <v>2.5432519999999998E-4</v>
      </c>
      <c r="G40" s="8">
        <v>2.946596E-4</v>
      </c>
      <c r="H40" s="8">
        <v>2.7317708E-4</v>
      </c>
      <c r="I40" s="8">
        <v>3.2928274799999899E-4</v>
      </c>
      <c r="J40" s="8">
        <v>3.7257806699999999E-4</v>
      </c>
      <c r="K40" s="8">
        <v>4.1675410000000001E-4</v>
      </c>
      <c r="L40" s="8">
        <v>4.4958711199999998E-4</v>
      </c>
      <c r="M40" s="8">
        <v>4.7000111800000002E-4</v>
      </c>
      <c r="N40" s="8">
        <v>4.8154210399999899E-4</v>
      </c>
      <c r="O40">
        <v>0</v>
      </c>
      <c r="P40">
        <v>0</v>
      </c>
      <c r="Q40">
        <v>0</v>
      </c>
      <c r="R40" t="s">
        <v>243</v>
      </c>
    </row>
    <row r="41" spans="1:18" x14ac:dyDescent="0.3">
      <c r="A41" t="s">
        <v>259</v>
      </c>
      <c r="B41" t="s">
        <v>260</v>
      </c>
      <c r="C41" t="s">
        <v>300</v>
      </c>
      <c r="D41" s="8">
        <v>2.1819845E-4</v>
      </c>
      <c r="E41" s="8">
        <v>2.9172980999999997E-4</v>
      </c>
      <c r="F41" s="8">
        <v>3.091236E-4</v>
      </c>
      <c r="G41" s="8">
        <v>3.661801E-4</v>
      </c>
      <c r="H41" s="8">
        <v>3.3773058799999999E-4</v>
      </c>
      <c r="I41" s="8">
        <v>4.0212225199999898E-4</v>
      </c>
      <c r="J41" s="8">
        <v>4.4886607799999901E-4</v>
      </c>
      <c r="K41" s="8">
        <v>4.9598546999999997E-4</v>
      </c>
      <c r="L41" s="8">
        <v>5.2833231899999998E-4</v>
      </c>
      <c r="M41" s="8">
        <v>5.4545386099999905E-4</v>
      </c>
      <c r="N41" s="8">
        <v>5.5283611599999999E-4</v>
      </c>
      <c r="O41">
        <v>0</v>
      </c>
      <c r="P41">
        <v>0</v>
      </c>
      <c r="Q41">
        <v>0</v>
      </c>
      <c r="R41" t="s">
        <v>243</v>
      </c>
    </row>
    <row r="42" spans="1:18" x14ac:dyDescent="0.3">
      <c r="A42" t="s">
        <v>259</v>
      </c>
      <c r="B42" t="s">
        <v>260</v>
      </c>
      <c r="C42" t="s">
        <v>301</v>
      </c>
      <c r="D42" s="8">
        <v>2.7977324999999898E-4</v>
      </c>
      <c r="E42" s="8">
        <v>3.6420361000000001E-4</v>
      </c>
      <c r="F42" s="8">
        <v>3.7418070000000002E-4</v>
      </c>
      <c r="G42" s="8">
        <v>4.5212200000000001E-4</v>
      </c>
      <c r="H42" s="8">
        <v>4.1755726099999997E-4</v>
      </c>
      <c r="I42" s="8">
        <v>4.9028021099999997E-4</v>
      </c>
      <c r="J42" s="8">
        <v>5.3775024100000005E-4</v>
      </c>
      <c r="K42" s="8">
        <v>5.85107918999999E-4</v>
      </c>
      <c r="L42" s="8">
        <v>6.1491442499999997E-4</v>
      </c>
      <c r="M42" s="8">
        <v>6.26427910999999E-4</v>
      </c>
      <c r="N42" s="8">
        <v>6.2664646100000002E-4</v>
      </c>
      <c r="O42">
        <v>0</v>
      </c>
      <c r="P42">
        <v>0</v>
      </c>
      <c r="Q42">
        <v>0</v>
      </c>
      <c r="R42" t="s">
        <v>243</v>
      </c>
    </row>
    <row r="43" spans="1:18" x14ac:dyDescent="0.3">
      <c r="A43" t="s">
        <v>259</v>
      </c>
      <c r="B43" t="s">
        <v>260</v>
      </c>
      <c r="C43" t="s">
        <v>302</v>
      </c>
      <c r="D43" s="8">
        <v>3.593987E-4</v>
      </c>
      <c r="E43" s="8">
        <v>4.6341499999999898E-4</v>
      </c>
      <c r="F43" s="8">
        <v>4.6661199999999998E-4</v>
      </c>
      <c r="G43" s="8">
        <v>5.728396E-4</v>
      </c>
      <c r="H43" s="8">
        <v>5.2508912000000002E-4</v>
      </c>
      <c r="I43" s="8">
        <v>6.0332760400000005E-4</v>
      </c>
      <c r="J43" s="8">
        <v>6.4965708799999996E-4</v>
      </c>
      <c r="K43" s="8">
        <v>6.93547217999999E-4</v>
      </c>
      <c r="L43" s="8">
        <v>7.1593950899999999E-4</v>
      </c>
      <c r="M43" s="8">
        <v>7.1651398399999997E-4</v>
      </c>
      <c r="N43" s="8">
        <v>7.0585006399999904E-4</v>
      </c>
      <c r="O43">
        <v>0</v>
      </c>
      <c r="P43">
        <v>0</v>
      </c>
      <c r="Q43">
        <v>0</v>
      </c>
      <c r="R43" t="s">
        <v>243</v>
      </c>
    </row>
    <row r="44" spans="1:18" x14ac:dyDescent="0.3">
      <c r="A44" t="s">
        <v>259</v>
      </c>
      <c r="B44" t="s">
        <v>260</v>
      </c>
      <c r="C44" t="s">
        <v>303</v>
      </c>
      <c r="D44" s="8">
        <v>5.0655709999999996E-4</v>
      </c>
      <c r="E44" s="8">
        <v>6.0791719999999999E-4</v>
      </c>
      <c r="F44" s="8">
        <v>5.9058240000000001E-4</v>
      </c>
      <c r="G44" s="8">
        <v>7.3795890000000002E-4</v>
      </c>
      <c r="H44" s="8">
        <v>6.8417342E-4</v>
      </c>
      <c r="I44" s="8">
        <v>7.6596824000000003E-4</v>
      </c>
      <c r="J44" s="8">
        <v>8.0034455899999899E-4</v>
      </c>
      <c r="K44" s="8">
        <v>8.2942255499999997E-4</v>
      </c>
      <c r="L44" s="8">
        <v>8.3525991899999902E-4</v>
      </c>
      <c r="M44" s="8">
        <v>8.1823391499999995E-4</v>
      </c>
      <c r="N44" s="8">
        <v>7.9227107499999904E-4</v>
      </c>
      <c r="O44">
        <v>0</v>
      </c>
      <c r="P44">
        <v>0</v>
      </c>
      <c r="Q44">
        <v>0</v>
      </c>
      <c r="R44" t="s">
        <v>243</v>
      </c>
    </row>
    <row r="45" spans="1:18" x14ac:dyDescent="0.3">
      <c r="A45" t="s">
        <v>259</v>
      </c>
      <c r="B45" t="s">
        <v>260</v>
      </c>
      <c r="C45" t="s">
        <v>304</v>
      </c>
      <c r="D45" s="8">
        <v>7.3672499999999996E-6</v>
      </c>
      <c r="E45" s="8">
        <v>2.7244299999999999E-5</v>
      </c>
      <c r="F45" s="8">
        <v>3.01867E-5</v>
      </c>
      <c r="G45" s="8">
        <v>3.4705100000000001E-5</v>
      </c>
      <c r="H45" s="8">
        <v>4.6348599999999999E-5</v>
      </c>
      <c r="I45" s="8">
        <v>6.0105900000000003E-5</v>
      </c>
      <c r="J45" s="8">
        <v>7.414128E-5</v>
      </c>
      <c r="K45" s="8">
        <v>8.9052600000000002E-5</v>
      </c>
      <c r="L45" s="8">
        <v>1.017455E-4</v>
      </c>
      <c r="M45" s="8">
        <v>1.1274599999999999E-4</v>
      </c>
      <c r="N45" s="8">
        <v>1.2153070000000001E-4</v>
      </c>
      <c r="O45">
        <v>0</v>
      </c>
      <c r="P45">
        <v>0</v>
      </c>
      <c r="Q45">
        <v>0</v>
      </c>
      <c r="R45" t="s">
        <v>243</v>
      </c>
    </row>
    <row r="46" spans="1:18" x14ac:dyDescent="0.3">
      <c r="A46" t="s">
        <v>259</v>
      </c>
      <c r="B46" t="s">
        <v>260</v>
      </c>
      <c r="C46" t="s">
        <v>305</v>
      </c>
      <c r="D46" s="8">
        <v>2.0509200000000001E-4</v>
      </c>
      <c r="E46" s="8">
        <v>6.4654000000000003E-4</v>
      </c>
      <c r="F46" s="8">
        <v>5.3213000000000002E-4</v>
      </c>
      <c r="G46" s="8">
        <v>7.2057899999999995E-4</v>
      </c>
      <c r="H46" s="8">
        <v>7.6379099999999999E-4</v>
      </c>
      <c r="I46" s="8">
        <v>7.9335499999999895E-4</v>
      </c>
      <c r="J46" s="8">
        <v>7.8842599999999995E-4</v>
      </c>
      <c r="K46" s="8">
        <v>7.7917099999999897E-4</v>
      </c>
      <c r="L46" s="8">
        <v>7.5887099999999896E-4</v>
      </c>
      <c r="M46" s="8">
        <v>7.3052800000000004E-4</v>
      </c>
      <c r="N46" s="8">
        <v>6.9993799999999999E-4</v>
      </c>
      <c r="O46">
        <v>0</v>
      </c>
      <c r="P46">
        <v>0</v>
      </c>
      <c r="Q46">
        <v>0</v>
      </c>
      <c r="R46" t="s">
        <v>243</v>
      </c>
    </row>
    <row r="47" spans="1:18" x14ac:dyDescent="0.3">
      <c r="A47" t="s">
        <v>259</v>
      </c>
      <c r="B47" t="s">
        <v>260</v>
      </c>
      <c r="C47" t="s">
        <v>306</v>
      </c>
      <c r="D47" s="8">
        <v>1.40138E-5</v>
      </c>
      <c r="E47" s="8">
        <v>5.7649399999999997E-5</v>
      </c>
      <c r="F47" s="8">
        <v>6.5490500000000006E-5</v>
      </c>
      <c r="G47" s="8">
        <v>7.1358200000000004E-5</v>
      </c>
      <c r="H47" s="8">
        <v>9.7395199999999999E-5</v>
      </c>
      <c r="I47" s="8">
        <v>1.2316599999999999E-4</v>
      </c>
      <c r="J47" s="8">
        <v>1.4814219999999999E-4</v>
      </c>
      <c r="K47" s="8">
        <v>1.7496880000000001E-4</v>
      </c>
      <c r="L47" s="8">
        <v>1.967653E-4</v>
      </c>
      <c r="M47" s="8">
        <v>2.143127E-4</v>
      </c>
      <c r="N47" s="8">
        <v>2.2703799999999999E-4</v>
      </c>
      <c r="O47">
        <v>0</v>
      </c>
      <c r="P47">
        <v>0</v>
      </c>
      <c r="Q47">
        <v>0</v>
      </c>
      <c r="R47" t="s">
        <v>243</v>
      </c>
    </row>
    <row r="48" spans="1:18" x14ac:dyDescent="0.3">
      <c r="A48" t="s">
        <v>259</v>
      </c>
      <c r="B48" t="s">
        <v>260</v>
      </c>
      <c r="C48" t="s">
        <v>307</v>
      </c>
      <c r="D48" s="8">
        <v>1.9433299999999999E-5</v>
      </c>
      <c r="E48" s="8">
        <v>8.3841300000000007E-5</v>
      </c>
      <c r="F48" s="8">
        <v>9.3713299999999996E-5</v>
      </c>
      <c r="G48" s="8">
        <v>1.02797E-4</v>
      </c>
      <c r="H48" s="8">
        <v>1.374728E-4</v>
      </c>
      <c r="I48" s="8">
        <v>1.7168789999999999E-4</v>
      </c>
      <c r="J48" s="8">
        <v>2.044161E-4</v>
      </c>
      <c r="K48" s="8">
        <v>2.3853040000000001E-4</v>
      </c>
      <c r="L48" s="8">
        <v>2.647239E-4</v>
      </c>
      <c r="M48" s="8">
        <v>2.843918E-4</v>
      </c>
      <c r="N48" s="8">
        <v>2.972114E-4</v>
      </c>
      <c r="O48">
        <v>0</v>
      </c>
      <c r="P48">
        <v>0</v>
      </c>
      <c r="Q48">
        <v>0</v>
      </c>
      <c r="R48" t="s">
        <v>243</v>
      </c>
    </row>
    <row r="49" spans="1:18" x14ac:dyDescent="0.3">
      <c r="A49" t="s">
        <v>259</v>
      </c>
      <c r="B49" t="s">
        <v>260</v>
      </c>
      <c r="C49" t="s">
        <v>308</v>
      </c>
      <c r="D49" s="8">
        <v>2.5320399999999999E-5</v>
      </c>
      <c r="E49" s="8">
        <v>1.1191100000000001E-4</v>
      </c>
      <c r="F49" s="8">
        <v>1.2198500000000001E-4</v>
      </c>
      <c r="G49" s="8">
        <v>1.3531700000000001E-4</v>
      </c>
      <c r="H49" s="8">
        <v>1.780242E-4</v>
      </c>
      <c r="I49" s="8">
        <v>2.1963129999999999E-4</v>
      </c>
      <c r="J49" s="8">
        <v>2.57216E-4</v>
      </c>
      <c r="K49" s="8">
        <v>2.9587059999999999E-4</v>
      </c>
      <c r="L49" s="8">
        <v>3.2437679999999997E-4</v>
      </c>
      <c r="M49" s="8">
        <v>3.4386639999999999E-4</v>
      </c>
      <c r="N49" s="8">
        <v>3.546302E-4</v>
      </c>
      <c r="O49">
        <v>0</v>
      </c>
      <c r="P49">
        <v>0</v>
      </c>
      <c r="Q49">
        <v>0</v>
      </c>
      <c r="R49" t="s">
        <v>243</v>
      </c>
    </row>
    <row r="50" spans="1:18" x14ac:dyDescent="0.3">
      <c r="A50" t="s">
        <v>259</v>
      </c>
      <c r="B50" t="s">
        <v>260</v>
      </c>
      <c r="C50" t="s">
        <v>309</v>
      </c>
      <c r="D50" s="8">
        <v>3.1859700000000003E-5</v>
      </c>
      <c r="E50" s="8">
        <v>1.4392699999999999E-4</v>
      </c>
      <c r="F50" s="8">
        <v>1.5149400000000001E-4</v>
      </c>
      <c r="G50" s="8">
        <v>1.7171600000000001E-4</v>
      </c>
      <c r="H50" s="8">
        <v>2.2139999999999999E-4</v>
      </c>
      <c r="I50" s="8">
        <v>2.6914750000000002E-4</v>
      </c>
      <c r="J50" s="8">
        <v>3.1119310000000001E-4</v>
      </c>
      <c r="K50" s="8">
        <v>3.5242169999999997E-4</v>
      </c>
      <c r="L50" s="8">
        <v>3.8094060000000001E-4</v>
      </c>
      <c r="M50" s="8">
        <v>3.9837979999999998E-4</v>
      </c>
      <c r="N50" s="8">
        <v>4.0582529999999898E-4</v>
      </c>
      <c r="O50">
        <v>0</v>
      </c>
      <c r="P50">
        <v>0</v>
      </c>
      <c r="Q50">
        <v>0</v>
      </c>
      <c r="R50" t="s">
        <v>243</v>
      </c>
    </row>
    <row r="51" spans="1:18" x14ac:dyDescent="0.3">
      <c r="A51" t="s">
        <v>259</v>
      </c>
      <c r="B51" t="s">
        <v>260</v>
      </c>
      <c r="C51" t="s">
        <v>310</v>
      </c>
      <c r="D51" s="8">
        <v>3.9841800000000002E-5</v>
      </c>
      <c r="E51" s="8">
        <v>1.8189000000000001E-4</v>
      </c>
      <c r="F51" s="8">
        <v>1.8375100000000001E-4</v>
      </c>
      <c r="G51" s="8">
        <v>2.1417499999999999E-4</v>
      </c>
      <c r="H51" s="8">
        <v>2.7033100000000001E-4</v>
      </c>
      <c r="I51" s="8">
        <v>3.2403210000000001E-4</v>
      </c>
      <c r="J51" s="8">
        <v>3.6882509999999898E-4</v>
      </c>
      <c r="K51" s="8">
        <v>4.109262E-4</v>
      </c>
      <c r="L51" s="8">
        <v>4.3711770000000002E-4</v>
      </c>
      <c r="M51" s="8">
        <v>4.5034009999999898E-4</v>
      </c>
      <c r="N51" s="8">
        <v>4.5306170000000001E-4</v>
      </c>
      <c r="O51">
        <v>0</v>
      </c>
      <c r="P51">
        <v>0</v>
      </c>
      <c r="Q51">
        <v>0</v>
      </c>
      <c r="R51" t="s">
        <v>243</v>
      </c>
    </row>
    <row r="52" spans="1:18" x14ac:dyDescent="0.3">
      <c r="A52" t="s">
        <v>259</v>
      </c>
      <c r="B52" t="s">
        <v>260</v>
      </c>
      <c r="C52" t="s">
        <v>311</v>
      </c>
      <c r="D52" s="8">
        <v>5.1574599999999999E-5</v>
      </c>
      <c r="E52" s="8">
        <v>2.26095E-4</v>
      </c>
      <c r="F52" s="8">
        <v>2.21871E-4</v>
      </c>
      <c r="G52" s="8">
        <v>2.6560700000000001E-4</v>
      </c>
      <c r="H52" s="8">
        <v>3.2921299999999899E-4</v>
      </c>
      <c r="I52" s="8">
        <v>3.8815300000000002E-4</v>
      </c>
      <c r="J52" s="8">
        <v>4.3306349999999998E-4</v>
      </c>
      <c r="K52" s="8">
        <v>4.7325859999999999E-4</v>
      </c>
      <c r="L52" s="8">
        <v>4.9515340000000005E-4</v>
      </c>
      <c r="M52" s="8">
        <v>5.0247599999999996E-4</v>
      </c>
      <c r="N52" s="8">
        <v>4.9876840000000005E-4</v>
      </c>
      <c r="O52">
        <v>0</v>
      </c>
      <c r="P52">
        <v>0</v>
      </c>
      <c r="Q52">
        <v>0</v>
      </c>
      <c r="R52" t="s">
        <v>243</v>
      </c>
    </row>
    <row r="53" spans="1:18" x14ac:dyDescent="0.3">
      <c r="A53" t="s">
        <v>259</v>
      </c>
      <c r="B53" t="s">
        <v>260</v>
      </c>
      <c r="C53" t="s">
        <v>312</v>
      </c>
      <c r="D53" s="8">
        <v>6.7063400000000006E-5</v>
      </c>
      <c r="E53" s="8">
        <v>2.8599400000000003E-4</v>
      </c>
      <c r="F53" s="8">
        <v>2.7569600000000002E-4</v>
      </c>
      <c r="G53" s="8">
        <v>3.3865000000000002E-4</v>
      </c>
      <c r="H53" s="8">
        <v>4.0516E-4</v>
      </c>
      <c r="I53" s="8">
        <v>4.6626799999999999E-4</v>
      </c>
      <c r="J53" s="8">
        <v>5.09392E-4</v>
      </c>
      <c r="K53" s="8">
        <v>5.4419229999999998E-4</v>
      </c>
      <c r="L53" s="8">
        <v>5.5813399999999995E-4</v>
      </c>
      <c r="M53" s="8">
        <v>5.5652879999999998E-4</v>
      </c>
      <c r="N53" s="8">
        <v>5.4495249999999998E-4</v>
      </c>
      <c r="O53">
        <v>0</v>
      </c>
      <c r="P53">
        <v>0</v>
      </c>
      <c r="Q53">
        <v>0</v>
      </c>
      <c r="R53" t="s">
        <v>243</v>
      </c>
    </row>
    <row r="54" spans="1:18" x14ac:dyDescent="0.3">
      <c r="A54" t="s">
        <v>259</v>
      </c>
      <c r="B54" t="s">
        <v>260</v>
      </c>
      <c r="C54" t="s">
        <v>313</v>
      </c>
      <c r="D54" s="8">
        <v>9.6660299999999993E-5</v>
      </c>
      <c r="E54" s="8">
        <v>3.71932E-4</v>
      </c>
      <c r="F54" s="8">
        <v>3.4724099999999998E-4</v>
      </c>
      <c r="G54" s="8">
        <v>4.40202E-4</v>
      </c>
      <c r="H54" s="8">
        <v>5.1172000000000001E-4</v>
      </c>
      <c r="I54" s="8">
        <v>5.7155900000000002E-4</v>
      </c>
      <c r="J54" s="8">
        <v>6.0442180000000001E-4</v>
      </c>
      <c r="K54" s="8">
        <v>6.2595490000000005E-4</v>
      </c>
      <c r="L54" s="8">
        <v>6.2704000000000004E-4</v>
      </c>
      <c r="M54" s="8">
        <v>6.1429699999999998E-4</v>
      </c>
      <c r="N54" s="8">
        <v>5.9428499999999995E-4</v>
      </c>
      <c r="O54">
        <v>0</v>
      </c>
      <c r="P54">
        <v>0</v>
      </c>
      <c r="Q54">
        <v>0</v>
      </c>
      <c r="R54" t="s">
        <v>243</v>
      </c>
    </row>
    <row r="55" spans="1:18" x14ac:dyDescent="0.3">
      <c r="A55" t="s">
        <v>259</v>
      </c>
      <c r="B55" t="s">
        <v>260</v>
      </c>
      <c r="C55" t="s">
        <v>314</v>
      </c>
      <c r="D55" s="8">
        <v>5.8045699999999999E-6</v>
      </c>
      <c r="E55" s="8">
        <v>1.42473E-5</v>
      </c>
      <c r="F55" s="8">
        <v>1.6159199999999999E-5</v>
      </c>
      <c r="G55" s="8">
        <v>1.9161399999999999E-5</v>
      </c>
      <c r="H55" s="8">
        <v>2.2329099999999999E-5</v>
      </c>
      <c r="I55" s="8">
        <v>2.60469E-5</v>
      </c>
      <c r="J55" s="8">
        <v>2.8911599999999999E-5</v>
      </c>
      <c r="K55" s="8">
        <v>3.0856399999999998E-5</v>
      </c>
      <c r="L55" s="8">
        <v>3.1567299999999998E-5</v>
      </c>
      <c r="M55" s="8">
        <v>3.1464799999999997E-5</v>
      </c>
      <c r="N55" s="8">
        <v>3.0738399999999997E-5</v>
      </c>
      <c r="O55">
        <v>0</v>
      </c>
      <c r="P55">
        <v>0</v>
      </c>
      <c r="Q55">
        <v>0</v>
      </c>
      <c r="R55" t="s">
        <v>243</v>
      </c>
    </row>
    <row r="56" spans="1:18" x14ac:dyDescent="0.3">
      <c r="A56" t="s">
        <v>259</v>
      </c>
      <c r="B56" t="s">
        <v>260</v>
      </c>
      <c r="C56" t="s">
        <v>315</v>
      </c>
      <c r="D56" s="8">
        <v>4.22605E-5</v>
      </c>
      <c r="E56" s="8">
        <v>7.37759E-5</v>
      </c>
      <c r="F56" s="8">
        <v>6.5168399999999998E-5</v>
      </c>
      <c r="G56" s="8">
        <v>8.6165499999999994E-5</v>
      </c>
      <c r="H56" s="8">
        <v>8.4926799999999995E-5</v>
      </c>
      <c r="I56" s="8">
        <v>8.5220899999999996E-5</v>
      </c>
      <c r="J56" s="8">
        <v>8.3929000000000002E-5</v>
      </c>
      <c r="K56" s="8">
        <v>8.1658700000000005E-5</v>
      </c>
      <c r="L56" s="8">
        <v>7.8574599999999998E-5</v>
      </c>
      <c r="M56" s="8">
        <v>7.4994799999999996E-5</v>
      </c>
      <c r="N56" s="8">
        <v>7.1106500000000001E-5</v>
      </c>
      <c r="O56">
        <v>0</v>
      </c>
      <c r="P56">
        <v>0</v>
      </c>
      <c r="Q56">
        <v>0</v>
      </c>
      <c r="R56" t="s">
        <v>243</v>
      </c>
    </row>
    <row r="57" spans="1:18" x14ac:dyDescent="0.3">
      <c r="A57" t="s">
        <v>259</v>
      </c>
      <c r="B57" t="s">
        <v>260</v>
      </c>
      <c r="C57" t="s">
        <v>316</v>
      </c>
      <c r="D57" s="8">
        <v>1.00671199999999E-5</v>
      </c>
      <c r="E57" s="8">
        <v>2.5428100000000001E-5</v>
      </c>
      <c r="F57" s="8">
        <v>2.7715399999999999E-5</v>
      </c>
      <c r="G57" s="8">
        <v>3.1921000000000002E-5</v>
      </c>
      <c r="H57" s="8">
        <v>3.59318E-5</v>
      </c>
      <c r="I57" s="8">
        <v>3.9495800000000002E-5</v>
      </c>
      <c r="J57" s="8">
        <v>4.1405300000000001E-5</v>
      </c>
      <c r="K57" s="8">
        <v>4.2039400000000003E-5</v>
      </c>
      <c r="L57" s="8">
        <v>4.15065E-5</v>
      </c>
      <c r="M57" s="8">
        <v>4.0316099999999998E-5</v>
      </c>
      <c r="N57" s="8">
        <v>3.8703399999999999E-5</v>
      </c>
      <c r="O57">
        <v>0</v>
      </c>
      <c r="P57">
        <v>0</v>
      </c>
      <c r="Q57">
        <v>0</v>
      </c>
      <c r="R57" t="s">
        <v>243</v>
      </c>
    </row>
    <row r="58" spans="1:18" x14ac:dyDescent="0.3">
      <c r="A58" t="s">
        <v>259</v>
      </c>
      <c r="B58" t="s">
        <v>260</v>
      </c>
      <c r="C58" t="s">
        <v>317</v>
      </c>
      <c r="D58" s="8">
        <v>1.305987E-5</v>
      </c>
      <c r="E58" s="8">
        <v>3.2648699999999998E-5</v>
      </c>
      <c r="F58" s="8">
        <v>3.3998000000000002E-5</v>
      </c>
      <c r="G58" s="8">
        <v>3.96525E-5</v>
      </c>
      <c r="H58" s="8">
        <v>4.2853499999999999E-5</v>
      </c>
      <c r="I58" s="8">
        <v>4.58577E-5</v>
      </c>
      <c r="J58" s="8">
        <v>4.7085200000000001E-5</v>
      </c>
      <c r="K58" s="8">
        <v>4.70598E-5</v>
      </c>
      <c r="L58" s="8">
        <v>4.6045599999999998E-5</v>
      </c>
      <c r="M58" s="8">
        <v>4.4499100000000002E-5</v>
      </c>
      <c r="N58" s="8">
        <v>4.2599799999999998E-5</v>
      </c>
      <c r="O58">
        <v>0</v>
      </c>
      <c r="P58">
        <v>0</v>
      </c>
      <c r="Q58">
        <v>0</v>
      </c>
      <c r="R58" t="s">
        <v>243</v>
      </c>
    </row>
    <row r="59" spans="1:18" x14ac:dyDescent="0.3">
      <c r="A59" t="s">
        <v>259</v>
      </c>
      <c r="B59" t="s">
        <v>260</v>
      </c>
      <c r="C59" t="s">
        <v>318</v>
      </c>
      <c r="D59" s="8">
        <v>1.591888E-5</v>
      </c>
      <c r="E59" s="8">
        <v>3.8686600000000003E-5</v>
      </c>
      <c r="F59" s="8">
        <v>3.8686100000000002E-5</v>
      </c>
      <c r="G59" s="8">
        <v>4.5696699999999999E-5</v>
      </c>
      <c r="H59" s="8">
        <v>4.8006700000000002E-5</v>
      </c>
      <c r="I59" s="8">
        <v>5.0467299999999997E-5</v>
      </c>
      <c r="J59" s="8">
        <v>5.1107599999999998E-5</v>
      </c>
      <c r="K59" s="8">
        <v>5.0688700000000001E-5</v>
      </c>
      <c r="L59" s="8">
        <v>4.9434300000000002E-5</v>
      </c>
      <c r="M59" s="8">
        <v>4.7679899999999997E-5</v>
      </c>
      <c r="N59" s="8">
        <v>4.5580100000000001E-5</v>
      </c>
      <c r="O59">
        <v>0</v>
      </c>
      <c r="P59">
        <v>0</v>
      </c>
      <c r="Q59">
        <v>0</v>
      </c>
      <c r="R59" t="s">
        <v>243</v>
      </c>
    </row>
    <row r="60" spans="1:18" x14ac:dyDescent="0.3">
      <c r="A60" t="s">
        <v>259</v>
      </c>
      <c r="B60" t="s">
        <v>260</v>
      </c>
      <c r="C60" t="s">
        <v>319</v>
      </c>
      <c r="D60" s="8">
        <v>1.8697599999999999E-5</v>
      </c>
      <c r="E60" s="8">
        <v>4.4038200000000001E-5</v>
      </c>
      <c r="F60" s="8">
        <v>4.2448799999999999E-5</v>
      </c>
      <c r="G60" s="8">
        <v>5.0903599999999998E-5</v>
      </c>
      <c r="H60" s="8">
        <v>5.2275999999999999E-5</v>
      </c>
      <c r="I60" s="8">
        <v>5.4256199999999997E-5</v>
      </c>
      <c r="J60" s="8">
        <v>5.4554700000000001E-5</v>
      </c>
      <c r="K60" s="8">
        <v>5.3875100000000002E-5</v>
      </c>
      <c r="L60" s="8">
        <v>5.2431500000000001E-5</v>
      </c>
      <c r="M60" s="8">
        <v>5.0507399999999997E-5</v>
      </c>
      <c r="N60" s="8">
        <v>4.8244000000000001E-5</v>
      </c>
      <c r="O60">
        <v>0</v>
      </c>
      <c r="P60">
        <v>0</v>
      </c>
      <c r="Q60">
        <v>0</v>
      </c>
      <c r="R60" t="s">
        <v>243</v>
      </c>
    </row>
    <row r="61" spans="1:18" x14ac:dyDescent="0.3">
      <c r="A61" t="s">
        <v>259</v>
      </c>
      <c r="B61" t="s">
        <v>260</v>
      </c>
      <c r="C61" t="s">
        <v>320</v>
      </c>
      <c r="D61" s="8">
        <v>2.1622740000000002E-5</v>
      </c>
      <c r="E61" s="8">
        <v>4.8903300000000003E-5</v>
      </c>
      <c r="F61" s="8">
        <v>4.5685900000000002E-5</v>
      </c>
      <c r="G61" s="8">
        <v>5.5620500000000001E-5</v>
      </c>
      <c r="H61" s="8">
        <v>5.6165400000000003E-5</v>
      </c>
      <c r="I61" s="8">
        <v>5.7808500000000001E-5</v>
      </c>
      <c r="J61" s="8">
        <v>5.7846000000000001E-5</v>
      </c>
      <c r="K61" s="8">
        <v>5.6981899999999997E-5</v>
      </c>
      <c r="L61" s="8">
        <v>5.53514E-5</v>
      </c>
      <c r="M61" s="8">
        <v>5.3245899999999998E-5</v>
      </c>
      <c r="N61" s="8">
        <v>5.0820699999999999E-5</v>
      </c>
      <c r="O61">
        <v>0</v>
      </c>
      <c r="P61">
        <v>0</v>
      </c>
      <c r="Q61">
        <v>0</v>
      </c>
      <c r="R61" t="s">
        <v>243</v>
      </c>
    </row>
    <row r="62" spans="1:18" x14ac:dyDescent="0.3">
      <c r="A62" t="s">
        <v>259</v>
      </c>
      <c r="B62" t="s">
        <v>260</v>
      </c>
      <c r="C62" t="s">
        <v>321</v>
      </c>
      <c r="D62" s="8">
        <v>2.5181899999999899E-5</v>
      </c>
      <c r="E62" s="8">
        <v>5.3208000000000003E-5</v>
      </c>
      <c r="F62" s="8">
        <v>4.8754200000000002E-5</v>
      </c>
      <c r="G62" s="8">
        <v>6.0118000000000003E-5</v>
      </c>
      <c r="H62" s="8">
        <v>6.0096799999999997E-5</v>
      </c>
      <c r="I62" s="8">
        <v>6.1491500000000006E-5</v>
      </c>
      <c r="J62" s="8">
        <v>6.1284200000000005E-5</v>
      </c>
      <c r="K62" s="8">
        <v>6.0237500000000001E-5</v>
      </c>
      <c r="L62" s="8">
        <v>5.84389E-5</v>
      </c>
      <c r="M62" s="8">
        <v>5.61611E-5</v>
      </c>
      <c r="N62" s="8">
        <v>5.3546299999999999E-5</v>
      </c>
      <c r="O62">
        <v>0</v>
      </c>
      <c r="P62">
        <v>0</v>
      </c>
      <c r="Q62">
        <v>0</v>
      </c>
      <c r="R62" t="s">
        <v>243</v>
      </c>
    </row>
    <row r="63" spans="1:18" x14ac:dyDescent="0.3">
      <c r="A63" t="s">
        <v>259</v>
      </c>
      <c r="B63" t="s">
        <v>260</v>
      </c>
      <c r="C63" t="s">
        <v>322</v>
      </c>
      <c r="D63" s="8">
        <v>2.88623E-5</v>
      </c>
      <c r="E63" s="8">
        <v>5.75917E-5</v>
      </c>
      <c r="F63" s="8">
        <v>5.2258200000000001E-5</v>
      </c>
      <c r="G63" s="8">
        <v>6.5219200000000001E-5</v>
      </c>
      <c r="H63" s="8">
        <v>6.4524999999999996E-5</v>
      </c>
      <c r="I63" s="8">
        <v>6.5650100000000004E-5</v>
      </c>
      <c r="J63" s="8">
        <v>6.5289000000000005E-5</v>
      </c>
      <c r="K63" s="8">
        <v>6.40599E-5</v>
      </c>
      <c r="L63" s="8">
        <v>6.2049400000000003E-5</v>
      </c>
      <c r="M63" s="8">
        <v>5.9540200000000003E-5</v>
      </c>
      <c r="N63" s="8">
        <v>5.6700699999999997E-5</v>
      </c>
      <c r="O63">
        <v>0</v>
      </c>
      <c r="P63">
        <v>0</v>
      </c>
      <c r="Q63">
        <v>0</v>
      </c>
      <c r="R63" t="s">
        <v>243</v>
      </c>
    </row>
    <row r="64" spans="1:18" x14ac:dyDescent="0.3">
      <c r="A64" t="s">
        <v>259</v>
      </c>
      <c r="B64" t="s">
        <v>260</v>
      </c>
      <c r="C64" t="s">
        <v>323</v>
      </c>
      <c r="D64" s="8">
        <v>3.3776299999999997E-5</v>
      </c>
      <c r="E64" s="8">
        <v>6.2309899999999998E-5</v>
      </c>
      <c r="F64" s="8">
        <v>5.6151399999999999E-5</v>
      </c>
      <c r="G64" s="8">
        <v>7.1113599999999996E-5</v>
      </c>
      <c r="H64" s="8">
        <v>7.0248999999999998E-5</v>
      </c>
      <c r="I64" s="8">
        <v>7.1159299999999995E-5</v>
      </c>
      <c r="J64" s="8">
        <v>7.0504299999999995E-5</v>
      </c>
      <c r="K64" s="8">
        <v>6.89613E-5</v>
      </c>
      <c r="L64" s="8">
        <v>6.66435E-5</v>
      </c>
      <c r="M64" s="8">
        <v>6.3846199999999999E-5</v>
      </c>
      <c r="N64" s="8">
        <v>6.0727299999999997E-5</v>
      </c>
      <c r="O64">
        <v>0</v>
      </c>
      <c r="P64">
        <v>0</v>
      </c>
      <c r="Q64">
        <v>0</v>
      </c>
      <c r="R64" t="s">
        <v>243</v>
      </c>
    </row>
    <row r="65" spans="1:18" x14ac:dyDescent="0.3">
      <c r="A65" t="s">
        <v>259</v>
      </c>
      <c r="B65" t="s">
        <v>107</v>
      </c>
      <c r="C65" t="s">
        <v>261</v>
      </c>
      <c r="D65">
        <v>2.2684999999999901E-3</v>
      </c>
      <c r="E65">
        <v>3.1629203000000002E-3</v>
      </c>
      <c r="F65">
        <v>3.0052797999999999E-3</v>
      </c>
      <c r="G65">
        <v>3.1367494E-3</v>
      </c>
      <c r="H65">
        <v>3.3312404300000001E-3</v>
      </c>
      <c r="I65">
        <v>3.4965486100000001E-3</v>
      </c>
      <c r="J65">
        <v>3.4299324200000002E-3</v>
      </c>
      <c r="K65">
        <v>3.4629158500000001E-3</v>
      </c>
      <c r="L65">
        <v>3.4474895099999999E-3</v>
      </c>
      <c r="M65">
        <v>3.3817946400000001E-3</v>
      </c>
      <c r="N65">
        <v>3.30278823E-3</v>
      </c>
      <c r="O65">
        <v>0</v>
      </c>
      <c r="P65">
        <v>0</v>
      </c>
      <c r="Q65">
        <v>0</v>
      </c>
      <c r="R65" t="s">
        <v>243</v>
      </c>
    </row>
    <row r="66" spans="1:18" x14ac:dyDescent="0.3">
      <c r="A66" t="s">
        <v>259</v>
      </c>
      <c r="B66" t="s">
        <v>107</v>
      </c>
      <c r="C66" t="s">
        <v>262</v>
      </c>
      <c r="D66">
        <v>2.552589605E-2</v>
      </c>
      <c r="E66">
        <v>5.5526742099999998E-2</v>
      </c>
      <c r="F66">
        <v>5.2225000099999898E-2</v>
      </c>
      <c r="G66">
        <v>4.5698099999999998E-2</v>
      </c>
      <c r="H66">
        <v>4.1547135774000002E-2</v>
      </c>
      <c r="I66">
        <v>4.2760218295300002E-2</v>
      </c>
      <c r="J66">
        <v>4.3226367166700003E-2</v>
      </c>
      <c r="K66">
        <v>4.0053089503299999E-2</v>
      </c>
      <c r="L66">
        <v>3.7637938359999998E-2</v>
      </c>
      <c r="M66">
        <v>3.6288032158599902E-2</v>
      </c>
      <c r="N66">
        <v>3.4527469338099998E-2</v>
      </c>
      <c r="O66">
        <v>0</v>
      </c>
      <c r="P66">
        <v>0</v>
      </c>
      <c r="Q66">
        <v>0</v>
      </c>
      <c r="R66" t="s">
        <v>243</v>
      </c>
    </row>
    <row r="67" spans="1:18" x14ac:dyDescent="0.3">
      <c r="A67" t="s">
        <v>259</v>
      </c>
      <c r="B67" t="s">
        <v>107</v>
      </c>
      <c r="C67" t="s">
        <v>263</v>
      </c>
      <c r="D67">
        <v>3.9389501E-2</v>
      </c>
      <c r="E67">
        <v>6.2677150000000001E-2</v>
      </c>
      <c r="F67">
        <v>4.8102440099999998E-2</v>
      </c>
      <c r="G67">
        <v>4.5731332E-2</v>
      </c>
      <c r="H67">
        <v>4.85732166851E-2</v>
      </c>
      <c r="I67">
        <v>5.33275241234E-2</v>
      </c>
      <c r="J67">
        <v>5.6113046726499999E-2</v>
      </c>
      <c r="K67">
        <v>5.99850048917E-2</v>
      </c>
      <c r="L67">
        <v>6.3154916181600004E-2</v>
      </c>
      <c r="M67">
        <v>6.5876444625599995E-2</v>
      </c>
      <c r="N67">
        <v>6.8114956121499995E-2</v>
      </c>
      <c r="O67">
        <v>0</v>
      </c>
      <c r="P67">
        <v>0</v>
      </c>
      <c r="Q67">
        <v>0</v>
      </c>
      <c r="R67" t="s">
        <v>243</v>
      </c>
    </row>
    <row r="68" spans="1:18" x14ac:dyDescent="0.3">
      <c r="A68" t="s">
        <v>259</v>
      </c>
      <c r="B68" t="s">
        <v>107</v>
      </c>
      <c r="C68" t="s">
        <v>324</v>
      </c>
      <c r="D68" s="8">
        <v>1.9246299999999999E-5</v>
      </c>
      <c r="E68" s="8">
        <v>2.9174300000000002E-6</v>
      </c>
      <c r="F68" s="8">
        <v>1.9316700000000001E-6</v>
      </c>
      <c r="G68" s="8">
        <v>7.1274199999999996E-7</v>
      </c>
      <c r="H68" s="8">
        <v>7.4948499999999999E-7</v>
      </c>
      <c r="I68" s="8">
        <v>7.6056099999999995E-7</v>
      </c>
      <c r="J68" s="8">
        <v>7.7545999999999998E-7</v>
      </c>
      <c r="K68" s="8">
        <v>7.8972510000000003E-7</v>
      </c>
      <c r="L68" s="8">
        <v>8.0208699999999997E-7</v>
      </c>
      <c r="M68" s="8">
        <v>8.1073699999999999E-7</v>
      </c>
      <c r="N68" s="8">
        <v>8.1798599999999998E-7</v>
      </c>
      <c r="O68">
        <v>0</v>
      </c>
      <c r="P68">
        <v>0</v>
      </c>
      <c r="Q68">
        <v>0</v>
      </c>
      <c r="R68" t="s">
        <v>243</v>
      </c>
    </row>
    <row r="69" spans="1:18" x14ac:dyDescent="0.3">
      <c r="A69" t="s">
        <v>259</v>
      </c>
      <c r="B69" t="s">
        <v>107</v>
      </c>
      <c r="C69" t="s">
        <v>325</v>
      </c>
      <c r="D69" s="8">
        <v>9.7869900000000002E-7</v>
      </c>
      <c r="E69" s="8">
        <v>1.3374999999999999E-7</v>
      </c>
      <c r="F69" s="8">
        <v>8.2993499999999995E-8</v>
      </c>
      <c r="G69" s="8">
        <v>2.8839300000000001E-8</v>
      </c>
      <c r="H69" s="8">
        <v>2.9817199999999999E-8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243</v>
      </c>
    </row>
    <row r="70" spans="1:18" x14ac:dyDescent="0.3">
      <c r="A70" t="s">
        <v>259</v>
      </c>
      <c r="B70" t="s">
        <v>107</v>
      </c>
      <c r="C70" t="s">
        <v>326</v>
      </c>
      <c r="D70" s="8">
        <v>1.09678E-5</v>
      </c>
      <c r="E70" s="8">
        <v>1.5339499999999999E-6</v>
      </c>
      <c r="F70" s="8">
        <v>1.01252E-6</v>
      </c>
      <c r="G70" s="8">
        <v>3.62551E-7</v>
      </c>
      <c r="H70" s="8">
        <v>3.7818599999999902E-7</v>
      </c>
      <c r="I70" s="8">
        <v>3.8505999999999998E-7</v>
      </c>
      <c r="J70" s="8">
        <v>3.9243209999999902E-7</v>
      </c>
      <c r="K70" s="8">
        <v>3.995155E-7</v>
      </c>
      <c r="L70" s="8">
        <v>4.0544319999999902E-7</v>
      </c>
      <c r="M70" s="8">
        <v>4.0960810000000002E-7</v>
      </c>
      <c r="N70" s="8">
        <v>4.1305849999999998E-7</v>
      </c>
      <c r="O70">
        <v>0</v>
      </c>
      <c r="P70">
        <v>0</v>
      </c>
      <c r="Q70">
        <v>0</v>
      </c>
      <c r="R70" t="s">
        <v>243</v>
      </c>
    </row>
    <row r="71" spans="1:18" x14ac:dyDescent="0.3">
      <c r="A71" t="s">
        <v>259</v>
      </c>
      <c r="B71" t="s">
        <v>107</v>
      </c>
      <c r="C71" t="s">
        <v>327</v>
      </c>
      <c r="D71" s="8">
        <v>7.6083200000000002E-6</v>
      </c>
      <c r="E71" s="8">
        <v>1.1076199999999999E-6</v>
      </c>
      <c r="F71" s="8">
        <v>7.0959500000000002E-7</v>
      </c>
      <c r="G71" s="8">
        <v>2.4719399999999998E-7</v>
      </c>
      <c r="H71" s="8">
        <v>2.5557600000000001E-7</v>
      </c>
      <c r="I71" s="8">
        <v>2.6334070000000003E-7</v>
      </c>
      <c r="J71" s="8">
        <v>2.6789780000000002E-7</v>
      </c>
      <c r="K71" s="8">
        <v>2.7231669999999999E-7</v>
      </c>
      <c r="L71" s="8">
        <v>2.7599140000000002E-7</v>
      </c>
      <c r="M71" s="8">
        <v>2.7843619999999998E-7</v>
      </c>
      <c r="N71" s="8">
        <v>2.8043249999999999E-7</v>
      </c>
      <c r="O71">
        <v>0</v>
      </c>
      <c r="P71">
        <v>0</v>
      </c>
      <c r="Q71">
        <v>0</v>
      </c>
      <c r="R71" t="s">
        <v>243</v>
      </c>
    </row>
    <row r="72" spans="1:18" x14ac:dyDescent="0.3">
      <c r="A72" t="s">
        <v>259</v>
      </c>
      <c r="B72" t="s">
        <v>107</v>
      </c>
      <c r="C72" t="s">
        <v>328</v>
      </c>
      <c r="D72" s="8">
        <v>6.0126200000000004E-6</v>
      </c>
      <c r="E72" s="8">
        <v>8.7564600000000003E-7</v>
      </c>
      <c r="F72" s="8">
        <v>5.5190700000000005E-7</v>
      </c>
      <c r="G72" s="8">
        <v>1.8951500000000001E-7</v>
      </c>
      <c r="H72" s="8">
        <v>1.9594180000000001E-7</v>
      </c>
      <c r="I72" s="8">
        <v>2.0179699999999999E-7</v>
      </c>
      <c r="J72" s="8">
        <v>2.05134399999999E-7</v>
      </c>
      <c r="K72" s="8">
        <v>2.084647E-7</v>
      </c>
      <c r="L72" s="8">
        <v>2.11268999999999E-7</v>
      </c>
      <c r="M72" s="8">
        <v>2.1314350000000001E-7</v>
      </c>
      <c r="N72" s="8">
        <v>2.146129E-7</v>
      </c>
      <c r="O72">
        <v>0</v>
      </c>
      <c r="P72">
        <v>0</v>
      </c>
      <c r="Q72">
        <v>0</v>
      </c>
      <c r="R72" t="s">
        <v>243</v>
      </c>
    </row>
    <row r="73" spans="1:18" x14ac:dyDescent="0.3">
      <c r="A73" t="s">
        <v>259</v>
      </c>
      <c r="B73" t="s">
        <v>107</v>
      </c>
      <c r="C73" t="s">
        <v>329</v>
      </c>
      <c r="D73" s="8">
        <v>4.8786000000000002E-6</v>
      </c>
      <c r="E73" s="8">
        <v>7.0845799999999998E-7</v>
      </c>
      <c r="F73" s="8">
        <v>4.4608999999999999E-7</v>
      </c>
      <c r="G73" s="8">
        <v>1.52436E-7</v>
      </c>
      <c r="H73" s="8">
        <v>1.576052E-7</v>
      </c>
      <c r="I73" s="8">
        <v>1.6258639999999999E-7</v>
      </c>
      <c r="J73" s="8">
        <v>1.652027E-7</v>
      </c>
      <c r="K73" s="8">
        <v>1.678062E-7</v>
      </c>
      <c r="L73" s="8">
        <v>1.700654E-7</v>
      </c>
      <c r="M73" s="8">
        <v>1.71539099999999E-7</v>
      </c>
      <c r="N73" s="8">
        <v>1.726601E-7</v>
      </c>
      <c r="O73">
        <v>0</v>
      </c>
      <c r="P73">
        <v>0</v>
      </c>
      <c r="Q73">
        <v>0</v>
      </c>
      <c r="R73" t="s">
        <v>243</v>
      </c>
    </row>
    <row r="74" spans="1:18" x14ac:dyDescent="0.3">
      <c r="A74" t="s">
        <v>259</v>
      </c>
      <c r="B74" t="s">
        <v>107</v>
      </c>
      <c r="C74" t="s">
        <v>330</v>
      </c>
      <c r="D74" s="8">
        <v>4.0062800000000004E-6</v>
      </c>
      <c r="E74" s="8">
        <v>5.8097799999999995E-7</v>
      </c>
      <c r="F74" s="8">
        <v>3.6517199999999998E-7</v>
      </c>
      <c r="G74" s="8">
        <v>1.2359699999999999E-7</v>
      </c>
      <c r="H74" s="8">
        <v>1.2778800000000001E-7</v>
      </c>
      <c r="I74" s="8">
        <v>1.3196449999999999E-7</v>
      </c>
      <c r="J74" s="8">
        <v>1.3399719999999999E-7</v>
      </c>
      <c r="K74" s="8">
        <v>1.3609120000000001E-7</v>
      </c>
      <c r="L74" s="8">
        <v>1.3785570000000001E-7</v>
      </c>
      <c r="M74" s="8">
        <v>1.3904319999999999E-7</v>
      </c>
      <c r="N74" s="8">
        <v>1.3993639999999901E-7</v>
      </c>
      <c r="O74">
        <v>0</v>
      </c>
      <c r="P74">
        <v>0</v>
      </c>
      <c r="Q74">
        <v>0</v>
      </c>
      <c r="R74" t="s">
        <v>243</v>
      </c>
    </row>
    <row r="75" spans="1:18" x14ac:dyDescent="0.3">
      <c r="A75" t="s">
        <v>259</v>
      </c>
      <c r="B75" t="s">
        <v>107</v>
      </c>
      <c r="C75" t="s">
        <v>331</v>
      </c>
      <c r="D75" s="8">
        <v>3.26162E-6</v>
      </c>
      <c r="E75" s="8">
        <v>4.7648500000000002E-7</v>
      </c>
      <c r="F75" s="8">
        <v>2.98777E-7</v>
      </c>
      <c r="G75" s="8">
        <v>1.00937E-7</v>
      </c>
      <c r="H75" s="8">
        <v>1.0436009999999999E-7</v>
      </c>
      <c r="I75" s="8">
        <v>1.07961E-7</v>
      </c>
      <c r="J75" s="8">
        <v>1.095723E-7</v>
      </c>
      <c r="K75" s="8">
        <v>1.112422E-7</v>
      </c>
      <c r="L75" s="8">
        <v>1.1266079999999999E-7</v>
      </c>
      <c r="M75" s="8">
        <v>1.13579799999999E-7</v>
      </c>
      <c r="N75" s="8">
        <v>1.142383E-7</v>
      </c>
      <c r="O75">
        <v>0</v>
      </c>
      <c r="P75">
        <v>0</v>
      </c>
      <c r="Q75">
        <v>0</v>
      </c>
      <c r="R75" t="s">
        <v>243</v>
      </c>
    </row>
    <row r="76" spans="1:18" x14ac:dyDescent="0.3">
      <c r="A76" t="s">
        <v>259</v>
      </c>
      <c r="B76" t="s">
        <v>107</v>
      </c>
      <c r="C76" t="s">
        <v>332</v>
      </c>
      <c r="D76" s="8">
        <v>2.6127E-6</v>
      </c>
      <c r="E76" s="8">
        <v>3.78262E-7</v>
      </c>
      <c r="F76" s="8">
        <v>2.3653199999999999E-7</v>
      </c>
      <c r="G76" s="8">
        <v>8.0337899999999996E-8</v>
      </c>
      <c r="H76" s="8">
        <v>8.3062199999999898E-8</v>
      </c>
      <c r="I76" s="8">
        <v>8.5852699999999899E-8</v>
      </c>
      <c r="J76" s="8">
        <v>8.7128199999999995E-8</v>
      </c>
      <c r="K76" s="8">
        <v>8.8424699999999996E-8</v>
      </c>
      <c r="L76" s="8">
        <v>8.9502899999999999E-8</v>
      </c>
      <c r="M76" s="8">
        <v>9.01885999999999E-8</v>
      </c>
      <c r="N76" s="8">
        <v>9.0689300000000002E-8</v>
      </c>
      <c r="O76">
        <v>0</v>
      </c>
      <c r="P76">
        <v>0</v>
      </c>
      <c r="Q76">
        <v>0</v>
      </c>
      <c r="R76" t="s">
        <v>243</v>
      </c>
    </row>
    <row r="77" spans="1:18" x14ac:dyDescent="0.3">
      <c r="A77" t="s">
        <v>259</v>
      </c>
      <c r="B77" t="s">
        <v>107</v>
      </c>
      <c r="C77" t="s">
        <v>333</v>
      </c>
      <c r="D77" s="8">
        <v>1.91485E-6</v>
      </c>
      <c r="E77" s="8">
        <v>2.7795000000000002E-7</v>
      </c>
      <c r="F77" s="8">
        <v>1.74286E-7</v>
      </c>
      <c r="G77" s="8">
        <v>5.9738500000000003E-8</v>
      </c>
      <c r="H77" s="8">
        <v>6.1764199999999994E-8</v>
      </c>
      <c r="I77" s="8">
        <v>6.3983400000000006E-8</v>
      </c>
      <c r="J77" s="8">
        <v>6.4904370000000002E-8</v>
      </c>
      <c r="K77" s="8">
        <v>6.5866960000000004E-8</v>
      </c>
      <c r="L77" s="8">
        <v>6.6678999999999998E-8</v>
      </c>
      <c r="M77" s="8">
        <v>6.7198399999999999E-8</v>
      </c>
      <c r="N77" s="8">
        <v>6.7564299999999998E-8</v>
      </c>
      <c r="O77">
        <v>0</v>
      </c>
      <c r="P77">
        <v>0</v>
      </c>
      <c r="Q77">
        <v>0</v>
      </c>
      <c r="R77" t="s">
        <v>243</v>
      </c>
    </row>
    <row r="78" spans="1:18" x14ac:dyDescent="0.3">
      <c r="A78" t="s">
        <v>259</v>
      </c>
      <c r="B78" t="s">
        <v>107</v>
      </c>
      <c r="C78" t="s">
        <v>264</v>
      </c>
      <c r="D78">
        <v>2.3842665699999998E-3</v>
      </c>
      <c r="E78">
        <v>2.6229659199999999E-3</v>
      </c>
      <c r="F78">
        <v>3.27446366E-3</v>
      </c>
      <c r="G78">
        <v>3.08996436E-3</v>
      </c>
      <c r="H78">
        <v>3.0500333340000001E-3</v>
      </c>
      <c r="I78">
        <v>3.21275257E-3</v>
      </c>
      <c r="J78">
        <v>3.5053821359999999E-3</v>
      </c>
      <c r="K78">
        <v>3.6677756379999899E-3</v>
      </c>
      <c r="L78">
        <v>3.7059818710000001E-3</v>
      </c>
      <c r="M78">
        <v>3.6580268999999999E-3</v>
      </c>
      <c r="N78">
        <v>3.6080861779999901E-3</v>
      </c>
      <c r="O78">
        <v>0</v>
      </c>
      <c r="P78">
        <v>0</v>
      </c>
      <c r="Q78">
        <v>0</v>
      </c>
      <c r="R78" t="s">
        <v>243</v>
      </c>
    </row>
    <row r="79" spans="1:18" x14ac:dyDescent="0.3">
      <c r="A79" t="s">
        <v>259</v>
      </c>
      <c r="B79" t="s">
        <v>107</v>
      </c>
      <c r="C79" t="s">
        <v>265</v>
      </c>
      <c r="D79">
        <v>4.1597885099999999E-3</v>
      </c>
      <c r="E79">
        <v>4.3964492300000001E-3</v>
      </c>
      <c r="F79">
        <v>5.4556562299999996E-3</v>
      </c>
      <c r="G79">
        <v>5.2734769599999997E-3</v>
      </c>
      <c r="H79">
        <v>5.1341060939999999E-3</v>
      </c>
      <c r="I79">
        <v>5.3202637910000003E-3</v>
      </c>
      <c r="J79">
        <v>5.6038904499999898E-3</v>
      </c>
      <c r="K79">
        <v>5.8039173049999997E-3</v>
      </c>
      <c r="L79">
        <v>5.8220920810000002E-3</v>
      </c>
      <c r="M79">
        <v>5.7145617749999999E-3</v>
      </c>
      <c r="N79">
        <v>5.6009314519999999E-3</v>
      </c>
      <c r="O79">
        <v>0</v>
      </c>
      <c r="P79">
        <v>0</v>
      </c>
      <c r="Q79">
        <v>0</v>
      </c>
      <c r="R79" t="s">
        <v>243</v>
      </c>
    </row>
    <row r="80" spans="1:18" x14ac:dyDescent="0.3">
      <c r="A80" t="s">
        <v>259</v>
      </c>
      <c r="B80" t="s">
        <v>107</v>
      </c>
      <c r="C80" t="s">
        <v>266</v>
      </c>
      <c r="D80">
        <v>2.8875189799999999E-3</v>
      </c>
      <c r="E80">
        <v>3.1538032899999999E-3</v>
      </c>
      <c r="F80">
        <v>3.90848711E-3</v>
      </c>
      <c r="G80">
        <v>3.74347554E-3</v>
      </c>
      <c r="H80">
        <v>3.6643527430000001E-3</v>
      </c>
      <c r="I80">
        <v>3.78816749E-3</v>
      </c>
      <c r="J80">
        <v>4.0426644459999996E-3</v>
      </c>
      <c r="K80">
        <v>4.2085311080000002E-3</v>
      </c>
      <c r="L80">
        <v>4.2381195210000003E-3</v>
      </c>
      <c r="M80">
        <v>4.1756381249999997E-3</v>
      </c>
      <c r="N80">
        <v>4.1098829360000002E-3</v>
      </c>
      <c r="O80">
        <v>0</v>
      </c>
      <c r="P80">
        <v>0</v>
      </c>
      <c r="Q80">
        <v>0</v>
      </c>
      <c r="R80" t="s">
        <v>243</v>
      </c>
    </row>
    <row r="81" spans="1:18" x14ac:dyDescent="0.3">
      <c r="A81" t="s">
        <v>259</v>
      </c>
      <c r="B81" t="s">
        <v>107</v>
      </c>
      <c r="C81" t="s">
        <v>267</v>
      </c>
      <c r="D81">
        <v>3.1526797299999999E-3</v>
      </c>
      <c r="E81">
        <v>3.3658851600000001E-3</v>
      </c>
      <c r="F81">
        <v>4.1808117799999999E-3</v>
      </c>
      <c r="G81">
        <v>4.0242517099999897E-3</v>
      </c>
      <c r="H81">
        <v>3.9018856099999901E-3</v>
      </c>
      <c r="I81">
        <v>4.0661564239999996E-3</v>
      </c>
      <c r="J81">
        <v>4.3066408880000004E-3</v>
      </c>
      <c r="K81">
        <v>4.4711382389999998E-3</v>
      </c>
      <c r="L81">
        <v>4.4951926400000003E-3</v>
      </c>
      <c r="M81">
        <v>4.4218552729999904E-3</v>
      </c>
      <c r="N81">
        <v>4.3457102310000004E-3</v>
      </c>
      <c r="O81">
        <v>0</v>
      </c>
      <c r="P81">
        <v>0</v>
      </c>
      <c r="Q81">
        <v>0</v>
      </c>
      <c r="R81" t="s">
        <v>243</v>
      </c>
    </row>
    <row r="82" spans="1:18" x14ac:dyDescent="0.3">
      <c r="A82" t="s">
        <v>259</v>
      </c>
      <c r="B82" t="s">
        <v>107</v>
      </c>
      <c r="C82" t="s">
        <v>268</v>
      </c>
      <c r="D82">
        <v>3.2985093700000001E-3</v>
      </c>
      <c r="E82">
        <v>3.5003187299999898E-3</v>
      </c>
      <c r="F82">
        <v>4.3516081999999999E-3</v>
      </c>
      <c r="G82">
        <v>4.19905612E-3</v>
      </c>
      <c r="H82">
        <v>4.0806710530000003E-3</v>
      </c>
      <c r="I82">
        <v>4.2313737999999899E-3</v>
      </c>
      <c r="J82">
        <v>4.4730848720000004E-3</v>
      </c>
      <c r="K82">
        <v>4.6425781009999997E-3</v>
      </c>
      <c r="L82">
        <v>4.6669461649999997E-3</v>
      </c>
      <c r="M82">
        <v>4.5906418219999997E-3</v>
      </c>
      <c r="N82">
        <v>4.5101879060000004E-3</v>
      </c>
      <c r="O82">
        <v>0</v>
      </c>
      <c r="P82">
        <v>0</v>
      </c>
      <c r="Q82">
        <v>0</v>
      </c>
      <c r="R82" t="s">
        <v>243</v>
      </c>
    </row>
    <row r="83" spans="1:18" x14ac:dyDescent="0.3">
      <c r="A83" t="s">
        <v>259</v>
      </c>
      <c r="B83" t="s">
        <v>107</v>
      </c>
      <c r="C83" t="s">
        <v>269</v>
      </c>
      <c r="D83">
        <v>3.41524399E-3</v>
      </c>
      <c r="E83">
        <v>3.6130302200000001E-3</v>
      </c>
      <c r="F83">
        <v>4.4870719200000003E-3</v>
      </c>
      <c r="G83">
        <v>4.3321888099999897E-3</v>
      </c>
      <c r="H83">
        <v>4.2146080459999997E-3</v>
      </c>
      <c r="I83">
        <v>4.3692983289999997E-3</v>
      </c>
      <c r="J83">
        <v>4.6150418740000003E-3</v>
      </c>
      <c r="K83">
        <v>4.7877015210000002E-3</v>
      </c>
      <c r="L83">
        <v>4.8128549390000002E-3</v>
      </c>
      <c r="M83">
        <v>4.7331559259999999E-3</v>
      </c>
      <c r="N83">
        <v>4.6485074179999997E-3</v>
      </c>
      <c r="O83">
        <v>0</v>
      </c>
      <c r="P83">
        <v>0</v>
      </c>
      <c r="Q83">
        <v>0</v>
      </c>
      <c r="R83" t="s">
        <v>243</v>
      </c>
    </row>
    <row r="84" spans="1:18" x14ac:dyDescent="0.3">
      <c r="A84" t="s">
        <v>259</v>
      </c>
      <c r="B84" t="s">
        <v>107</v>
      </c>
      <c r="C84" t="s">
        <v>270</v>
      </c>
      <c r="D84">
        <v>3.5172554599999998E-3</v>
      </c>
      <c r="E84">
        <v>3.7128913099999999E-3</v>
      </c>
      <c r="F84">
        <v>4.6099527799999896E-3</v>
      </c>
      <c r="G84">
        <v>4.4540123399999998E-3</v>
      </c>
      <c r="H84">
        <v>4.3351530689999997E-3</v>
      </c>
      <c r="I84">
        <v>4.4952913889999904E-3</v>
      </c>
      <c r="J84">
        <v>4.7442261369999997E-3</v>
      </c>
      <c r="K84">
        <v>4.9211668039999996E-3</v>
      </c>
      <c r="L84">
        <v>4.9446551580000003E-3</v>
      </c>
      <c r="M84">
        <v>4.8625103830000002E-3</v>
      </c>
      <c r="N84">
        <v>4.7749958810000001E-3</v>
      </c>
      <c r="O84">
        <v>0</v>
      </c>
      <c r="P84">
        <v>0</v>
      </c>
      <c r="Q84">
        <v>0</v>
      </c>
      <c r="R84" t="s">
        <v>243</v>
      </c>
    </row>
    <row r="85" spans="1:18" x14ac:dyDescent="0.3">
      <c r="A85" t="s">
        <v>259</v>
      </c>
      <c r="B85" t="s">
        <v>107</v>
      </c>
      <c r="C85" t="s">
        <v>271</v>
      </c>
      <c r="D85">
        <v>3.61809662E-3</v>
      </c>
      <c r="E85">
        <v>3.8111161499999901E-3</v>
      </c>
      <c r="F85">
        <v>4.73286006E-3</v>
      </c>
      <c r="G85">
        <v>4.57148210999999E-3</v>
      </c>
      <c r="H85">
        <v>4.4503349439999904E-3</v>
      </c>
      <c r="I85">
        <v>4.6214207259999999E-3</v>
      </c>
      <c r="J85">
        <v>4.874703821E-3</v>
      </c>
      <c r="K85">
        <v>5.0546043380000003E-3</v>
      </c>
      <c r="L85">
        <v>5.0777682589999897E-3</v>
      </c>
      <c r="M85">
        <v>4.9912110769999999E-3</v>
      </c>
      <c r="N85">
        <v>4.898344374E-3</v>
      </c>
      <c r="O85">
        <v>0</v>
      </c>
      <c r="P85">
        <v>0</v>
      </c>
      <c r="Q85">
        <v>0</v>
      </c>
      <c r="R85" t="s">
        <v>243</v>
      </c>
    </row>
    <row r="86" spans="1:18" x14ac:dyDescent="0.3">
      <c r="A86" t="s">
        <v>259</v>
      </c>
      <c r="B86" t="s">
        <v>107</v>
      </c>
      <c r="C86" t="s">
        <v>272</v>
      </c>
      <c r="D86">
        <v>3.7225425500000001E-3</v>
      </c>
      <c r="E86">
        <v>3.9210869900000002E-3</v>
      </c>
      <c r="F86">
        <v>4.8674805100000001E-3</v>
      </c>
      <c r="G86">
        <v>4.7122670399999999E-3</v>
      </c>
      <c r="H86">
        <v>4.5876504159999996E-3</v>
      </c>
      <c r="I86">
        <v>4.7592796799999998E-3</v>
      </c>
      <c r="J86">
        <v>5.0198055239999897E-3</v>
      </c>
      <c r="K86">
        <v>5.20328734199999E-3</v>
      </c>
      <c r="L86">
        <v>5.2242349409999996E-3</v>
      </c>
      <c r="M86">
        <v>5.1326223840000001E-3</v>
      </c>
      <c r="N86">
        <v>5.0358669390000001E-3</v>
      </c>
      <c r="O86">
        <v>0</v>
      </c>
      <c r="P86">
        <v>0</v>
      </c>
      <c r="Q86">
        <v>0</v>
      </c>
      <c r="R86" t="s">
        <v>243</v>
      </c>
    </row>
    <row r="87" spans="1:18" x14ac:dyDescent="0.3">
      <c r="A87" t="s">
        <v>259</v>
      </c>
      <c r="B87" t="s">
        <v>107</v>
      </c>
      <c r="C87" t="s">
        <v>273</v>
      </c>
      <c r="D87">
        <v>3.8645688799999901E-3</v>
      </c>
      <c r="E87">
        <v>4.0668773199999996E-3</v>
      </c>
      <c r="F87">
        <v>5.0460550199999997E-3</v>
      </c>
      <c r="G87">
        <v>4.8740443900000003E-3</v>
      </c>
      <c r="H87">
        <v>4.745226743E-3</v>
      </c>
      <c r="I87">
        <v>4.9338632449999996E-3</v>
      </c>
      <c r="J87">
        <v>5.2012888149999999E-3</v>
      </c>
      <c r="K87">
        <v>5.3911361269999899E-3</v>
      </c>
      <c r="L87">
        <v>5.4136823959999997E-3</v>
      </c>
      <c r="M87">
        <v>5.3194910130000004E-3</v>
      </c>
      <c r="N87">
        <v>5.2186918589999997E-3</v>
      </c>
      <c r="O87">
        <v>0</v>
      </c>
      <c r="P87">
        <v>0</v>
      </c>
      <c r="Q87">
        <v>0</v>
      </c>
      <c r="R87" t="s">
        <v>243</v>
      </c>
    </row>
    <row r="88" spans="1:18" x14ac:dyDescent="0.3">
      <c r="A88" t="s">
        <v>259</v>
      </c>
      <c r="B88" t="s">
        <v>107</v>
      </c>
      <c r="C88" t="s">
        <v>274</v>
      </c>
      <c r="D88" s="8">
        <v>4.0798504999999998E-7</v>
      </c>
      <c r="E88" s="8">
        <v>5.4135462999999997E-7</v>
      </c>
      <c r="F88" s="8">
        <v>5.5838912999999998E-7</v>
      </c>
      <c r="G88" s="8">
        <v>5.0726614999999897E-7</v>
      </c>
      <c r="H88" s="8">
        <v>9.3709823000000003E-7</v>
      </c>
      <c r="I88" s="8">
        <v>8.8102177799999897E-7</v>
      </c>
      <c r="J88" s="8">
        <v>8.7285011400000003E-7</v>
      </c>
      <c r="K88" s="8">
        <v>9.4699750699999995E-7</v>
      </c>
      <c r="L88" s="8">
        <v>1.0131815729999899E-6</v>
      </c>
      <c r="M88" s="8">
        <v>1.0617009740000001E-6</v>
      </c>
      <c r="N88" s="8">
        <v>1.1063198529999901E-6</v>
      </c>
      <c r="O88">
        <v>0</v>
      </c>
      <c r="P88">
        <v>0</v>
      </c>
      <c r="Q88">
        <v>0</v>
      </c>
      <c r="R88" t="s">
        <v>243</v>
      </c>
    </row>
    <row r="89" spans="1:18" x14ac:dyDescent="0.3">
      <c r="A89" t="s">
        <v>259</v>
      </c>
      <c r="B89" t="s">
        <v>107</v>
      </c>
      <c r="C89" t="s">
        <v>275</v>
      </c>
      <c r="D89" s="8">
        <v>4.8160162999999902E-6</v>
      </c>
      <c r="E89" s="8">
        <v>6.8017091999999999E-6</v>
      </c>
      <c r="F89" s="8">
        <v>7.3373180000000001E-6</v>
      </c>
      <c r="G89" s="8">
        <v>7.2012015999999996E-6</v>
      </c>
      <c r="H89" s="8">
        <v>1.07268652E-5</v>
      </c>
      <c r="I89" s="8">
        <v>1.18538696E-5</v>
      </c>
      <c r="J89" s="8">
        <v>1.21567983699999E-5</v>
      </c>
      <c r="K89" s="8">
        <v>1.2991701569999999E-5</v>
      </c>
      <c r="L89" s="8">
        <v>1.361981695E-5</v>
      </c>
      <c r="M89" s="8">
        <v>1.40171902699999E-5</v>
      </c>
      <c r="N89" s="8">
        <v>1.430227713E-5</v>
      </c>
      <c r="O89">
        <v>0</v>
      </c>
      <c r="P89">
        <v>0</v>
      </c>
      <c r="Q89">
        <v>0</v>
      </c>
      <c r="R89" t="s">
        <v>243</v>
      </c>
    </row>
    <row r="90" spans="1:18" x14ac:dyDescent="0.3">
      <c r="A90" t="s">
        <v>259</v>
      </c>
      <c r="B90" t="s">
        <v>107</v>
      </c>
      <c r="C90" t="s">
        <v>276</v>
      </c>
      <c r="D90" s="8">
        <v>6.7257753000000004E-7</v>
      </c>
      <c r="E90" s="8">
        <v>9.5718299000000005E-7</v>
      </c>
      <c r="F90" s="8">
        <v>9.9260768999999998E-7</v>
      </c>
      <c r="G90" s="8">
        <v>9.2925877999999896E-7</v>
      </c>
      <c r="H90" s="8">
        <v>1.6137719899999999E-6</v>
      </c>
      <c r="I90" s="8">
        <v>1.5622637599999899E-6</v>
      </c>
      <c r="J90" s="8">
        <v>1.5798614290000001E-6</v>
      </c>
      <c r="K90" s="8">
        <v>1.7144649220000001E-6</v>
      </c>
      <c r="L90" s="8">
        <v>1.8286335289999999E-6</v>
      </c>
      <c r="M90" s="8">
        <v>1.91423033599999E-6</v>
      </c>
      <c r="N90" s="8">
        <v>1.9932366099999999E-6</v>
      </c>
      <c r="O90">
        <v>0</v>
      </c>
      <c r="P90">
        <v>0</v>
      </c>
      <c r="Q90">
        <v>0</v>
      </c>
      <c r="R90" t="s">
        <v>243</v>
      </c>
    </row>
    <row r="91" spans="1:18" x14ac:dyDescent="0.3">
      <c r="A91" t="s">
        <v>259</v>
      </c>
      <c r="B91" t="s">
        <v>107</v>
      </c>
      <c r="C91" t="s">
        <v>277</v>
      </c>
      <c r="D91" s="8">
        <v>9.2266049000000001E-7</v>
      </c>
      <c r="E91" s="8">
        <v>1.26730165E-6</v>
      </c>
      <c r="F91" s="8">
        <v>1.3470532299999999E-6</v>
      </c>
      <c r="G91" s="8">
        <v>1.2860245799999899E-6</v>
      </c>
      <c r="H91" s="8">
        <v>2.0092144100000001E-6</v>
      </c>
      <c r="I91" s="8">
        <v>2.1797260600000002E-6</v>
      </c>
      <c r="J91" s="8">
        <v>2.2082940400000001E-6</v>
      </c>
      <c r="K91" s="8">
        <v>2.383030736E-6</v>
      </c>
      <c r="L91" s="8">
        <v>2.5220746819999998E-6</v>
      </c>
      <c r="M91" s="8">
        <v>2.62288722799999E-6</v>
      </c>
      <c r="N91" s="8">
        <v>2.715313247E-6</v>
      </c>
      <c r="O91">
        <v>0</v>
      </c>
      <c r="P91">
        <v>0</v>
      </c>
      <c r="Q91">
        <v>0</v>
      </c>
      <c r="R91" t="s">
        <v>243</v>
      </c>
    </row>
    <row r="92" spans="1:18" x14ac:dyDescent="0.3">
      <c r="A92" t="s">
        <v>259</v>
      </c>
      <c r="B92" t="s">
        <v>107</v>
      </c>
      <c r="C92" t="s">
        <v>278</v>
      </c>
      <c r="D92" s="8">
        <v>1.12664951E-6</v>
      </c>
      <c r="E92" s="8">
        <v>1.54477961E-6</v>
      </c>
      <c r="F92" s="8">
        <v>1.6646316299999899E-6</v>
      </c>
      <c r="G92" s="8">
        <v>1.6103516700000001E-6</v>
      </c>
      <c r="H92" s="8">
        <v>2.4898169699999998E-6</v>
      </c>
      <c r="I92" s="8">
        <v>2.7085489299999998E-6</v>
      </c>
      <c r="J92" s="8">
        <v>2.7485204600000001E-6</v>
      </c>
      <c r="K92" s="8">
        <v>2.964316623E-6</v>
      </c>
      <c r="L92" s="8">
        <v>3.1389775599999998E-6</v>
      </c>
      <c r="M92" s="8">
        <v>3.2672803899999998E-6</v>
      </c>
      <c r="N92" s="8">
        <v>3.3797204379999998E-6</v>
      </c>
      <c r="O92">
        <v>0</v>
      </c>
      <c r="P92">
        <v>0</v>
      </c>
      <c r="Q92">
        <v>0</v>
      </c>
      <c r="R92" t="s">
        <v>243</v>
      </c>
    </row>
    <row r="93" spans="1:18" x14ac:dyDescent="0.3">
      <c r="A93" t="s">
        <v>259</v>
      </c>
      <c r="B93" t="s">
        <v>107</v>
      </c>
      <c r="C93" t="s">
        <v>279</v>
      </c>
      <c r="D93" s="8">
        <v>1.3417378699999999E-6</v>
      </c>
      <c r="E93" s="8">
        <v>1.8432428699999899E-6</v>
      </c>
      <c r="F93" s="8">
        <v>1.98483995999999E-6</v>
      </c>
      <c r="G93" s="8">
        <v>1.9270291E-6</v>
      </c>
      <c r="H93" s="8">
        <v>2.9818079100000001E-6</v>
      </c>
      <c r="I93" s="8">
        <v>3.2602473300000001E-6</v>
      </c>
      <c r="J93" s="8">
        <v>3.3153287500000002E-6</v>
      </c>
      <c r="K93" s="8">
        <v>3.5684310899999999E-6</v>
      </c>
      <c r="L93" s="8">
        <v>3.7817570500000002E-6</v>
      </c>
      <c r="M93" s="8">
        <v>3.9342218099999997E-6</v>
      </c>
      <c r="N93" s="8">
        <v>4.0633970099999999E-6</v>
      </c>
      <c r="O93">
        <v>0</v>
      </c>
      <c r="P93">
        <v>0</v>
      </c>
      <c r="Q93">
        <v>0</v>
      </c>
      <c r="R93" t="s">
        <v>243</v>
      </c>
    </row>
    <row r="94" spans="1:18" x14ac:dyDescent="0.3">
      <c r="A94" t="s">
        <v>259</v>
      </c>
      <c r="B94" t="s">
        <v>107</v>
      </c>
      <c r="C94" t="s">
        <v>280</v>
      </c>
      <c r="D94" s="8">
        <v>1.5798757000000001E-6</v>
      </c>
      <c r="E94" s="8">
        <v>2.16696883E-6</v>
      </c>
      <c r="F94" s="8">
        <v>2.3362761399999998E-6</v>
      </c>
      <c r="G94" s="8">
        <v>2.27977636E-6</v>
      </c>
      <c r="H94" s="8">
        <v>3.5304145199999998E-6</v>
      </c>
      <c r="I94" s="8">
        <v>3.8670836599999901E-6</v>
      </c>
      <c r="J94" s="8">
        <v>3.9318870800000001E-6</v>
      </c>
      <c r="K94" s="8">
        <v>4.2314679599999999E-6</v>
      </c>
      <c r="L94" s="8">
        <v>4.4740622299999996E-6</v>
      </c>
      <c r="M94" s="8">
        <v>4.6557720899999997E-6</v>
      </c>
      <c r="N94" s="8">
        <v>4.8079969700000002E-6</v>
      </c>
      <c r="O94">
        <v>0</v>
      </c>
      <c r="P94">
        <v>0</v>
      </c>
      <c r="Q94">
        <v>0</v>
      </c>
      <c r="R94" t="s">
        <v>243</v>
      </c>
    </row>
    <row r="95" spans="1:18" x14ac:dyDescent="0.3">
      <c r="A95" t="s">
        <v>259</v>
      </c>
      <c r="B95" t="s">
        <v>107</v>
      </c>
      <c r="C95" t="s">
        <v>281</v>
      </c>
      <c r="D95" s="8">
        <v>1.8696436E-6</v>
      </c>
      <c r="E95" s="8">
        <v>2.5482085999999999E-6</v>
      </c>
      <c r="F95" s="8">
        <v>2.7558193000000001E-6</v>
      </c>
      <c r="G95" s="8">
        <v>2.68537839999999E-6</v>
      </c>
      <c r="H95" s="8">
        <v>4.18460515E-6</v>
      </c>
      <c r="I95" s="8">
        <v>4.5891051299999996E-6</v>
      </c>
      <c r="J95" s="8">
        <v>4.6695347699999996E-6</v>
      </c>
      <c r="K95" s="8">
        <v>5.0163782799999898E-6</v>
      </c>
      <c r="L95" s="8">
        <v>5.3006139599999902E-6</v>
      </c>
      <c r="M95" s="8">
        <v>5.5030787099999999E-6</v>
      </c>
      <c r="N95" s="8">
        <v>5.6627465099999902E-6</v>
      </c>
      <c r="O95">
        <v>0</v>
      </c>
      <c r="P95">
        <v>0</v>
      </c>
      <c r="Q95">
        <v>0</v>
      </c>
      <c r="R95" t="s">
        <v>243</v>
      </c>
    </row>
    <row r="96" spans="1:18" x14ac:dyDescent="0.3">
      <c r="A96" t="s">
        <v>259</v>
      </c>
      <c r="B96" t="s">
        <v>107</v>
      </c>
      <c r="C96" t="s">
        <v>282</v>
      </c>
      <c r="D96" s="8">
        <v>2.2366654999999999E-6</v>
      </c>
      <c r="E96" s="8">
        <v>3.06081229999999E-6</v>
      </c>
      <c r="F96" s="8">
        <v>3.3048009999999999E-6</v>
      </c>
      <c r="G96" s="8">
        <v>3.2702553999999998E-6</v>
      </c>
      <c r="H96" s="8">
        <v>5.0249253300000001E-6</v>
      </c>
      <c r="I96" s="8">
        <v>5.5331371800000002E-6</v>
      </c>
      <c r="J96" s="8">
        <v>5.6496668000000002E-6</v>
      </c>
      <c r="K96" s="8">
        <v>6.0609916699999997E-6</v>
      </c>
      <c r="L96" s="8">
        <v>6.3851476300000003E-6</v>
      </c>
      <c r="M96" s="8">
        <v>6.6106907099999996E-6</v>
      </c>
      <c r="N96" s="8">
        <v>6.7941258199999999E-6</v>
      </c>
      <c r="O96">
        <v>0</v>
      </c>
      <c r="P96">
        <v>0</v>
      </c>
      <c r="Q96">
        <v>0</v>
      </c>
      <c r="R96" t="s">
        <v>243</v>
      </c>
    </row>
    <row r="97" spans="1:18" x14ac:dyDescent="0.3">
      <c r="A97" t="s">
        <v>259</v>
      </c>
      <c r="B97" t="s">
        <v>107</v>
      </c>
      <c r="C97" t="s">
        <v>283</v>
      </c>
      <c r="D97" s="8">
        <v>2.86528709999999E-6</v>
      </c>
      <c r="E97" s="8">
        <v>3.9076246E-6</v>
      </c>
      <c r="F97" s="8">
        <v>4.2078586999999997E-6</v>
      </c>
      <c r="G97" s="8">
        <v>4.1040371000000003E-6</v>
      </c>
      <c r="H97" s="8">
        <v>6.3429796600000004E-6</v>
      </c>
      <c r="I97" s="8">
        <v>7.0131350899999998E-6</v>
      </c>
      <c r="J97" s="8">
        <v>7.17189985E-6</v>
      </c>
      <c r="K97" s="8">
        <v>7.6979202799999995E-6</v>
      </c>
      <c r="L97" s="8">
        <v>8.1236748399999992E-6</v>
      </c>
      <c r="M97" s="8">
        <v>8.4234505099999993E-6</v>
      </c>
      <c r="N97" s="8">
        <v>8.6553478199999994E-6</v>
      </c>
      <c r="O97">
        <v>0</v>
      </c>
      <c r="P97">
        <v>0</v>
      </c>
      <c r="Q97">
        <v>0</v>
      </c>
      <c r="R97" t="s">
        <v>243</v>
      </c>
    </row>
    <row r="98" spans="1:18" x14ac:dyDescent="0.3">
      <c r="A98" t="s">
        <v>259</v>
      </c>
      <c r="B98" t="s">
        <v>107</v>
      </c>
      <c r="C98" t="s">
        <v>334</v>
      </c>
      <c r="D98">
        <v>7.7979499999999997E-3</v>
      </c>
      <c r="E98">
        <v>1.17275E-3</v>
      </c>
      <c r="F98" s="8">
        <v>7.8808399999999999E-4</v>
      </c>
      <c r="G98" s="8">
        <v>2.86829E-4</v>
      </c>
      <c r="H98" s="8">
        <v>3.0152800000000002E-4</v>
      </c>
      <c r="I98" s="8">
        <v>3.0625999999999998E-4</v>
      </c>
      <c r="J98" s="8">
        <v>3.1212519999999899E-4</v>
      </c>
      <c r="K98" s="8">
        <v>3.177605E-4</v>
      </c>
      <c r="L98" s="8">
        <v>3.2291739999999898E-4</v>
      </c>
      <c r="M98" s="8">
        <v>3.2631819999999999E-4</v>
      </c>
      <c r="N98" s="8">
        <v>3.2920099999999999E-4</v>
      </c>
      <c r="O98">
        <v>0</v>
      </c>
      <c r="P98">
        <v>0</v>
      </c>
      <c r="Q98">
        <v>0</v>
      </c>
      <c r="R98" t="s">
        <v>243</v>
      </c>
    </row>
    <row r="99" spans="1:18" x14ac:dyDescent="0.3">
      <c r="A99" t="s">
        <v>259</v>
      </c>
      <c r="B99" t="s">
        <v>107</v>
      </c>
      <c r="C99" t="s">
        <v>335</v>
      </c>
      <c r="D99" s="8">
        <v>4.0236699999999999E-4</v>
      </c>
      <c r="E99" s="8">
        <v>5.4636499999999998E-5</v>
      </c>
      <c r="F99" s="8">
        <v>3.4651199999999998E-5</v>
      </c>
      <c r="G99" s="8">
        <v>1.15085E-5</v>
      </c>
      <c r="H99" s="8">
        <v>1.189523E-5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243</v>
      </c>
    </row>
    <row r="100" spans="1:18" x14ac:dyDescent="0.3">
      <c r="A100" t="s">
        <v>259</v>
      </c>
      <c r="B100" t="s">
        <v>107</v>
      </c>
      <c r="C100" t="s">
        <v>336</v>
      </c>
      <c r="D100">
        <v>4.4563700000000003E-3</v>
      </c>
      <c r="E100" s="8">
        <v>6.1911699999999997E-4</v>
      </c>
      <c r="F100" s="8">
        <v>4.13998E-4</v>
      </c>
      <c r="G100" s="8">
        <v>1.46009E-4</v>
      </c>
      <c r="H100" s="8">
        <v>1.5226049999999999E-4</v>
      </c>
      <c r="I100" s="8">
        <v>1.5516959999999999E-4</v>
      </c>
      <c r="J100" s="8">
        <v>1.5807009999999999E-4</v>
      </c>
      <c r="K100" s="8">
        <v>1.608708E-4</v>
      </c>
      <c r="L100" s="8">
        <v>1.6335000000000001E-4</v>
      </c>
      <c r="M100" s="8">
        <v>1.6498669999999999E-4</v>
      </c>
      <c r="N100" s="8">
        <v>1.663593E-4</v>
      </c>
      <c r="O100">
        <v>0</v>
      </c>
      <c r="P100">
        <v>0</v>
      </c>
      <c r="Q100">
        <v>0</v>
      </c>
      <c r="R100" t="s">
        <v>243</v>
      </c>
    </row>
    <row r="101" spans="1:18" x14ac:dyDescent="0.3">
      <c r="A101" t="s">
        <v>259</v>
      </c>
      <c r="B101" t="s">
        <v>107</v>
      </c>
      <c r="C101" t="s">
        <v>337</v>
      </c>
      <c r="D101">
        <v>3.0971900000000001E-3</v>
      </c>
      <c r="E101" s="8">
        <v>4.4718500000000001E-4</v>
      </c>
      <c r="F101" s="8">
        <v>2.9060400000000003E-4</v>
      </c>
      <c r="G101" s="8">
        <v>1.00258E-4</v>
      </c>
      <c r="H101" s="8">
        <v>1.036268E-4</v>
      </c>
      <c r="I101" s="8">
        <v>1.06873E-4</v>
      </c>
      <c r="J101" s="8">
        <v>1.086729E-4</v>
      </c>
      <c r="K101" s="8">
        <v>1.104317E-4</v>
      </c>
      <c r="L101" s="8">
        <v>1.11984599999999E-4</v>
      </c>
      <c r="M101" s="8">
        <v>1.1294689999999999E-4</v>
      </c>
      <c r="N101" s="8">
        <v>1.13745999999999E-4</v>
      </c>
      <c r="O101">
        <v>0</v>
      </c>
      <c r="P101">
        <v>0</v>
      </c>
      <c r="Q101">
        <v>0</v>
      </c>
      <c r="R101" t="s">
        <v>243</v>
      </c>
    </row>
    <row r="102" spans="1:18" x14ac:dyDescent="0.3">
      <c r="A102" t="s">
        <v>259</v>
      </c>
      <c r="B102" t="s">
        <v>107</v>
      </c>
      <c r="C102" t="s">
        <v>338</v>
      </c>
      <c r="D102">
        <v>2.4506699999999998E-3</v>
      </c>
      <c r="E102" s="8">
        <v>3.53956E-4</v>
      </c>
      <c r="F102" s="8">
        <v>2.26309E-4</v>
      </c>
      <c r="G102" s="8">
        <v>7.6856100000000004E-5</v>
      </c>
      <c r="H102" s="8">
        <v>7.9438599999999995E-5</v>
      </c>
      <c r="I102" s="8">
        <v>8.1887399999999998E-5</v>
      </c>
      <c r="J102" s="8">
        <v>8.3203799999999998E-5</v>
      </c>
      <c r="K102" s="8">
        <v>8.4528699999999996E-5</v>
      </c>
      <c r="L102" s="8">
        <v>8.5713700000000006E-5</v>
      </c>
      <c r="M102" s="8">
        <v>8.6451699999999998E-5</v>
      </c>
      <c r="N102" s="8">
        <v>8.7039600000000006E-5</v>
      </c>
      <c r="O102">
        <v>0</v>
      </c>
      <c r="P102">
        <v>0</v>
      </c>
      <c r="Q102">
        <v>0</v>
      </c>
      <c r="R102" t="s">
        <v>243</v>
      </c>
    </row>
    <row r="103" spans="1:18" x14ac:dyDescent="0.3">
      <c r="A103" t="s">
        <v>259</v>
      </c>
      <c r="B103" t="s">
        <v>107</v>
      </c>
      <c r="C103" t="s">
        <v>339</v>
      </c>
      <c r="D103">
        <v>1.9905600000000002E-3</v>
      </c>
      <c r="E103" s="8">
        <v>2.8658200000000002E-4</v>
      </c>
      <c r="F103" s="8">
        <v>1.8327999999999999E-4</v>
      </c>
      <c r="G103" s="8">
        <v>6.1947199999999995E-5</v>
      </c>
      <c r="H103" s="8">
        <v>6.4028800000000006E-5</v>
      </c>
      <c r="I103" s="8">
        <v>6.6112799999999995E-5</v>
      </c>
      <c r="J103" s="8">
        <v>6.7145999999999997E-5</v>
      </c>
      <c r="K103" s="8">
        <v>6.8183510000000003E-5</v>
      </c>
      <c r="L103" s="8">
        <v>6.9140099999999999E-5</v>
      </c>
      <c r="M103" s="8">
        <v>6.9721200000000006E-5</v>
      </c>
      <c r="N103" s="8">
        <v>7.0170200000000001E-5</v>
      </c>
      <c r="O103">
        <v>0</v>
      </c>
      <c r="P103">
        <v>0</v>
      </c>
      <c r="Q103">
        <v>0</v>
      </c>
      <c r="R103" t="s">
        <v>243</v>
      </c>
    </row>
    <row r="104" spans="1:18" x14ac:dyDescent="0.3">
      <c r="A104" t="s">
        <v>259</v>
      </c>
      <c r="B104" t="s">
        <v>107</v>
      </c>
      <c r="C104" t="s">
        <v>340</v>
      </c>
      <c r="D104">
        <v>1.6360999999999999E-3</v>
      </c>
      <c r="E104" s="8">
        <v>2.3554500000000001E-4</v>
      </c>
      <c r="F104" s="8">
        <v>1.50321E-4</v>
      </c>
      <c r="G104" s="8">
        <v>5.04902E-5</v>
      </c>
      <c r="H104" s="8">
        <v>5.21868E-5</v>
      </c>
      <c r="I104" s="8">
        <v>5.3941699999999999E-5</v>
      </c>
      <c r="J104" s="8">
        <v>5.4747629999999999E-5</v>
      </c>
      <c r="K104" s="8">
        <v>5.5586340000000003E-5</v>
      </c>
      <c r="L104" s="8">
        <v>5.6338400000000003E-5</v>
      </c>
      <c r="M104" s="8">
        <v>5.6808899999999997E-5</v>
      </c>
      <c r="N104" s="8">
        <v>5.71685E-5</v>
      </c>
      <c r="O104">
        <v>0</v>
      </c>
      <c r="P104">
        <v>0</v>
      </c>
      <c r="Q104">
        <v>0</v>
      </c>
      <c r="R104" t="s">
        <v>243</v>
      </c>
    </row>
    <row r="105" spans="1:18" x14ac:dyDescent="0.3">
      <c r="A105" t="s">
        <v>259</v>
      </c>
      <c r="B105" t="s">
        <v>107</v>
      </c>
      <c r="C105" t="s">
        <v>341</v>
      </c>
      <c r="D105">
        <v>1.3330600000000001E-3</v>
      </c>
      <c r="E105" s="8">
        <v>1.9304399999999999E-4</v>
      </c>
      <c r="F105" s="8">
        <v>1.2269399999999999E-4</v>
      </c>
      <c r="G105" s="8">
        <v>4.1263300000000002E-5</v>
      </c>
      <c r="H105" s="8">
        <v>4.26499E-5</v>
      </c>
      <c r="I105" s="8">
        <v>4.4161700000000001E-5</v>
      </c>
      <c r="J105" s="8">
        <v>4.4800440000000002E-5</v>
      </c>
      <c r="K105" s="8">
        <v>4.546956E-5</v>
      </c>
      <c r="L105" s="8">
        <v>4.6075000000000002E-5</v>
      </c>
      <c r="M105" s="8">
        <v>4.6438740000000003E-5</v>
      </c>
      <c r="N105" s="8">
        <v>2.7026979999999999E-5</v>
      </c>
      <c r="O105">
        <v>0</v>
      </c>
      <c r="P105">
        <v>0</v>
      </c>
      <c r="Q105">
        <v>0</v>
      </c>
      <c r="R105" t="s">
        <v>243</v>
      </c>
    </row>
    <row r="106" spans="1:18" x14ac:dyDescent="0.3">
      <c r="A106" t="s">
        <v>259</v>
      </c>
      <c r="B106" t="s">
        <v>107</v>
      </c>
      <c r="C106" t="s">
        <v>342</v>
      </c>
      <c r="D106">
        <v>1.06905E-3</v>
      </c>
      <c r="E106" s="8">
        <v>1.53697E-4</v>
      </c>
      <c r="F106" s="8">
        <v>9.7809899999999993E-5</v>
      </c>
      <c r="G106" s="8">
        <v>3.2246799999999998E-5</v>
      </c>
      <c r="H106" s="8">
        <v>3.3330300000000002E-5</v>
      </c>
      <c r="I106" s="8">
        <v>3.4481540000000001E-5</v>
      </c>
      <c r="J106" s="8">
        <v>3.49778899999999E-5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243</v>
      </c>
    </row>
    <row r="107" spans="1:18" x14ac:dyDescent="0.3">
      <c r="A107" t="s">
        <v>259</v>
      </c>
      <c r="B107" t="s">
        <v>107</v>
      </c>
      <c r="C107" t="s">
        <v>343</v>
      </c>
      <c r="D107" s="8">
        <v>7.8453099999999999E-4</v>
      </c>
      <c r="E107" s="8">
        <v>1.1285600000000001E-4</v>
      </c>
      <c r="F107" s="8">
        <v>7.1975299999999995E-5</v>
      </c>
      <c r="G107" s="8">
        <v>2.41529E-5</v>
      </c>
      <c r="H107" s="8">
        <v>2.4964500000000001E-5</v>
      </c>
      <c r="I107" s="8">
        <v>2.588504E-5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243</v>
      </c>
    </row>
    <row r="108" spans="1:18" x14ac:dyDescent="0.3">
      <c r="A108" t="s">
        <v>259</v>
      </c>
      <c r="B108" t="s">
        <v>107</v>
      </c>
      <c r="C108" t="s">
        <v>284</v>
      </c>
      <c r="D108">
        <v>6.070538082E-3</v>
      </c>
      <c r="E108">
        <v>8.0514248279999999E-3</v>
      </c>
      <c r="F108">
        <v>7.59660224E-3</v>
      </c>
      <c r="G108">
        <v>6.5549914729999999E-3</v>
      </c>
      <c r="H108">
        <v>6.3306096939999999E-3</v>
      </c>
      <c r="I108">
        <v>6.269938119E-3</v>
      </c>
      <c r="J108">
        <v>6.5394883890000002E-3</v>
      </c>
      <c r="K108">
        <v>6.4760896429999996E-3</v>
      </c>
      <c r="L108">
        <v>6.4767754339999997E-3</v>
      </c>
      <c r="M108">
        <v>6.3877696579999997E-3</v>
      </c>
      <c r="N108">
        <v>6.2703531409999897E-3</v>
      </c>
      <c r="O108">
        <v>0</v>
      </c>
      <c r="P108">
        <v>0</v>
      </c>
      <c r="Q108">
        <v>0</v>
      </c>
      <c r="R108" t="s">
        <v>243</v>
      </c>
    </row>
    <row r="109" spans="1:18" x14ac:dyDescent="0.3">
      <c r="A109" t="s">
        <v>259</v>
      </c>
      <c r="B109" t="s">
        <v>107</v>
      </c>
      <c r="C109" t="s">
        <v>285</v>
      </c>
      <c r="D109">
        <v>1.98479997819999E-2</v>
      </c>
      <c r="E109">
        <v>2.30585230399999E-2</v>
      </c>
      <c r="F109">
        <v>2.462839549E-2</v>
      </c>
      <c r="G109">
        <v>2.2544585329999998E-2</v>
      </c>
      <c r="H109">
        <v>2.0832156139999999E-2</v>
      </c>
      <c r="I109">
        <v>2.0439407423999901E-2</v>
      </c>
      <c r="J109">
        <v>1.9214084148999999E-2</v>
      </c>
      <c r="K109">
        <v>1.79963126429999E-2</v>
      </c>
      <c r="L109">
        <v>1.7219774665E-2</v>
      </c>
      <c r="M109">
        <v>1.628021311E-2</v>
      </c>
      <c r="N109">
        <v>1.5314466400000001E-2</v>
      </c>
      <c r="O109">
        <v>0</v>
      </c>
      <c r="P109">
        <v>0</v>
      </c>
      <c r="Q109">
        <v>0</v>
      </c>
      <c r="R109" t="s">
        <v>243</v>
      </c>
    </row>
    <row r="110" spans="1:18" x14ac:dyDescent="0.3">
      <c r="A110" t="s">
        <v>259</v>
      </c>
      <c r="B110" t="s">
        <v>107</v>
      </c>
      <c r="C110" t="s">
        <v>286</v>
      </c>
      <c r="D110">
        <v>8.7765522950000001E-3</v>
      </c>
      <c r="E110">
        <v>1.1848870881999899E-2</v>
      </c>
      <c r="F110">
        <v>1.1503492848000001E-2</v>
      </c>
      <c r="G110">
        <v>1.0218659927999999E-2</v>
      </c>
      <c r="H110">
        <v>9.5565206140000008E-3</v>
      </c>
      <c r="I110">
        <v>9.4269859049999905E-3</v>
      </c>
      <c r="J110">
        <v>9.6005122789999901E-3</v>
      </c>
      <c r="K110">
        <v>9.4225076100000003E-3</v>
      </c>
      <c r="L110">
        <v>9.34509571969999E-3</v>
      </c>
      <c r="M110">
        <v>9.1450093679999993E-3</v>
      </c>
      <c r="N110">
        <v>8.9037591539999905E-3</v>
      </c>
      <c r="O110">
        <v>0</v>
      </c>
      <c r="P110">
        <v>0</v>
      </c>
      <c r="Q110">
        <v>0</v>
      </c>
      <c r="R110" t="s">
        <v>243</v>
      </c>
    </row>
    <row r="111" spans="1:18" x14ac:dyDescent="0.3">
      <c r="A111" t="s">
        <v>259</v>
      </c>
      <c r="B111" t="s">
        <v>107</v>
      </c>
      <c r="C111" t="s">
        <v>287</v>
      </c>
      <c r="D111">
        <v>1.0771135392E-2</v>
      </c>
      <c r="E111">
        <v>1.3912134635E-2</v>
      </c>
      <c r="F111">
        <v>1.3905329423999999E-2</v>
      </c>
      <c r="G111">
        <v>1.253931632E-2</v>
      </c>
      <c r="H111">
        <v>1.1200823909999999E-2</v>
      </c>
      <c r="I111">
        <v>1.1592109963999999E-2</v>
      </c>
      <c r="J111">
        <v>1.1590068675999999E-2</v>
      </c>
      <c r="K111">
        <v>1.1263028916999899E-2</v>
      </c>
      <c r="L111">
        <v>1.1062699165900001E-2</v>
      </c>
      <c r="M111">
        <v>1.073251649E-2</v>
      </c>
      <c r="N111">
        <v>1.036364769E-2</v>
      </c>
      <c r="O111">
        <v>0</v>
      </c>
      <c r="P111">
        <v>0</v>
      </c>
      <c r="Q111">
        <v>0</v>
      </c>
      <c r="R111" t="s">
        <v>243</v>
      </c>
    </row>
    <row r="112" spans="1:18" x14ac:dyDescent="0.3">
      <c r="A112" t="s">
        <v>259</v>
      </c>
      <c r="B112" t="s">
        <v>107</v>
      </c>
      <c r="C112" t="s">
        <v>288</v>
      </c>
      <c r="D112">
        <v>1.20961960259999E-2</v>
      </c>
      <c r="E112">
        <v>1.5368527539999999E-2</v>
      </c>
      <c r="F112">
        <v>1.5621000748E-2</v>
      </c>
      <c r="G112">
        <v>1.420756227E-2</v>
      </c>
      <c r="H112">
        <v>1.2738086117000001E-2</v>
      </c>
      <c r="I112">
        <v>1.3058935733E-2</v>
      </c>
      <c r="J112">
        <v>1.29114520159999E-2</v>
      </c>
      <c r="K112">
        <v>1.2476708083999999E-2</v>
      </c>
      <c r="L112">
        <v>1.22111882374999E-2</v>
      </c>
      <c r="M112">
        <v>1.1804285479999999E-2</v>
      </c>
      <c r="N112">
        <v>1.1348749519999901E-2</v>
      </c>
      <c r="O112">
        <v>0</v>
      </c>
      <c r="P112">
        <v>0</v>
      </c>
      <c r="Q112">
        <v>0</v>
      </c>
      <c r="R112" t="s">
        <v>243</v>
      </c>
    </row>
    <row r="113" spans="1:18" x14ac:dyDescent="0.3">
      <c r="A113" t="s">
        <v>259</v>
      </c>
      <c r="B113" t="s">
        <v>107</v>
      </c>
      <c r="C113" t="s">
        <v>289</v>
      </c>
      <c r="D113">
        <v>1.3265986536E-2</v>
      </c>
      <c r="E113">
        <v>1.6624658769999998E-2</v>
      </c>
      <c r="F113">
        <v>1.703263382E-2</v>
      </c>
      <c r="G113">
        <v>1.552961724E-2</v>
      </c>
      <c r="H113">
        <v>1.401389429E-2</v>
      </c>
      <c r="I113">
        <v>1.4290661946E-2</v>
      </c>
      <c r="J113">
        <v>1.4008340512999999E-2</v>
      </c>
      <c r="K113">
        <v>1.3462652441999901E-2</v>
      </c>
      <c r="L113">
        <v>1.3133989832399899E-2</v>
      </c>
      <c r="M113">
        <v>1.264860432E-2</v>
      </c>
      <c r="N113">
        <v>1.21117412999999E-2</v>
      </c>
      <c r="O113">
        <v>0</v>
      </c>
      <c r="P113">
        <v>0</v>
      </c>
      <c r="Q113">
        <v>0</v>
      </c>
      <c r="R113" t="s">
        <v>243</v>
      </c>
    </row>
    <row r="114" spans="1:18" x14ac:dyDescent="0.3">
      <c r="A114" t="s">
        <v>259</v>
      </c>
      <c r="B114" t="s">
        <v>107</v>
      </c>
      <c r="C114" t="s">
        <v>290</v>
      </c>
      <c r="D114">
        <v>1.4337796068999899E-2</v>
      </c>
      <c r="E114">
        <v>1.77159857599999E-2</v>
      </c>
      <c r="F114">
        <v>1.8298695279999999E-2</v>
      </c>
      <c r="G114">
        <v>1.6725204260000001E-2</v>
      </c>
      <c r="H114">
        <v>1.5178346205E-2</v>
      </c>
      <c r="I114">
        <v>1.53831114069999E-2</v>
      </c>
      <c r="J114">
        <v>1.4951926561000001E-2</v>
      </c>
      <c r="K114">
        <v>1.43063829669999E-2</v>
      </c>
      <c r="L114">
        <v>1.3900437993E-2</v>
      </c>
      <c r="M114">
        <v>1.33451759599999E-2</v>
      </c>
      <c r="N114">
        <v>1.273880028E-2</v>
      </c>
      <c r="O114">
        <v>0</v>
      </c>
      <c r="P114">
        <v>0</v>
      </c>
      <c r="Q114">
        <v>0</v>
      </c>
      <c r="R114" t="s">
        <v>243</v>
      </c>
    </row>
    <row r="115" spans="1:18" x14ac:dyDescent="0.3">
      <c r="A115" t="s">
        <v>259</v>
      </c>
      <c r="B115" t="s">
        <v>107</v>
      </c>
      <c r="C115" t="s">
        <v>291</v>
      </c>
      <c r="D115">
        <v>1.5401166638999901E-2</v>
      </c>
      <c r="E115">
        <v>1.87314832099999E-2</v>
      </c>
      <c r="F115">
        <v>1.9508615585999999E-2</v>
      </c>
      <c r="G115">
        <v>1.7825768959999998E-2</v>
      </c>
      <c r="H115">
        <v>1.62761580089999E-2</v>
      </c>
      <c r="I115">
        <v>1.6406898986E-2</v>
      </c>
      <c r="J115">
        <v>1.5827005693999901E-2</v>
      </c>
      <c r="K115">
        <v>1.5071163025999999E-2</v>
      </c>
      <c r="L115">
        <v>1.45949848579999E-2</v>
      </c>
      <c r="M115">
        <v>1.39597449999999E-2</v>
      </c>
      <c r="N115">
        <v>1.327455961E-2</v>
      </c>
      <c r="O115">
        <v>0</v>
      </c>
      <c r="P115">
        <v>0</v>
      </c>
      <c r="Q115">
        <v>0</v>
      </c>
      <c r="R115" t="s">
        <v>243</v>
      </c>
    </row>
    <row r="116" spans="1:18" x14ac:dyDescent="0.3">
      <c r="A116" t="s">
        <v>259</v>
      </c>
      <c r="B116" t="s">
        <v>107</v>
      </c>
      <c r="C116" t="s">
        <v>292</v>
      </c>
      <c r="D116">
        <v>1.6459360553999901E-2</v>
      </c>
      <c r="E116">
        <v>1.9769188739999999E-2</v>
      </c>
      <c r="F116">
        <v>2.0732207419999999E-2</v>
      </c>
      <c r="G116">
        <v>1.9038402990000002E-2</v>
      </c>
      <c r="H116">
        <v>1.7420935650999898E-2</v>
      </c>
      <c r="I116">
        <v>1.7432468877999999E-2</v>
      </c>
      <c r="J116">
        <v>1.6696261681E-2</v>
      </c>
      <c r="K116">
        <v>1.5820910354E-2</v>
      </c>
      <c r="L116">
        <v>1.5261832556999999E-2</v>
      </c>
      <c r="M116">
        <v>1.454390279E-2</v>
      </c>
      <c r="N116">
        <v>1.378785695E-2</v>
      </c>
      <c r="O116">
        <v>0</v>
      </c>
      <c r="P116">
        <v>0</v>
      </c>
      <c r="Q116">
        <v>0</v>
      </c>
      <c r="R116" t="s">
        <v>243</v>
      </c>
    </row>
    <row r="117" spans="1:18" x14ac:dyDescent="0.3">
      <c r="A117" t="s">
        <v>259</v>
      </c>
      <c r="B117" t="s">
        <v>107</v>
      </c>
      <c r="C117" t="s">
        <v>293</v>
      </c>
      <c r="D117">
        <v>1.77594758159999E-2</v>
      </c>
      <c r="E117">
        <v>2.0963316499999898E-2</v>
      </c>
      <c r="F117">
        <v>2.215546291E-2</v>
      </c>
      <c r="G117">
        <v>2.0258546999999998E-2</v>
      </c>
      <c r="H117">
        <v>1.8636838819999901E-2</v>
      </c>
      <c r="I117">
        <v>1.8546920485E-2</v>
      </c>
      <c r="J117">
        <v>1.7623555326999999E-2</v>
      </c>
      <c r="K117">
        <v>1.6625107851999998E-2</v>
      </c>
      <c r="L117">
        <v>1.5990979092999999E-2</v>
      </c>
      <c r="M117">
        <v>1.51967802599999E-2</v>
      </c>
      <c r="N117">
        <v>1.43654521E-2</v>
      </c>
      <c r="O117">
        <v>0</v>
      </c>
      <c r="P117">
        <v>0</v>
      </c>
      <c r="Q117">
        <v>0</v>
      </c>
      <c r="R117" t="s">
        <v>243</v>
      </c>
    </row>
    <row r="118" spans="1:18" x14ac:dyDescent="0.3">
      <c r="A118" t="s">
        <v>259</v>
      </c>
      <c r="B118" t="s">
        <v>107</v>
      </c>
      <c r="C118" t="s">
        <v>344</v>
      </c>
      <c r="D118" s="8">
        <v>5.2047599999999997E-4</v>
      </c>
      <c r="E118" s="8">
        <v>7.7890699999999996E-5</v>
      </c>
      <c r="F118" s="8">
        <v>5.2221600000000002E-5</v>
      </c>
      <c r="G118" s="8">
        <v>1.89453E-5</v>
      </c>
      <c r="H118" s="8">
        <v>1.9919509999999999E-5</v>
      </c>
      <c r="I118" s="8">
        <v>2.0221470000000001E-5</v>
      </c>
      <c r="J118" s="8">
        <v>2.0614479999999999E-5</v>
      </c>
      <c r="K118" s="8">
        <v>2.0990630000000001E-5</v>
      </c>
      <c r="L118" s="8">
        <v>2.1324719999999899E-5</v>
      </c>
      <c r="M118" s="8">
        <v>2.155195E-5</v>
      </c>
      <c r="N118" s="8">
        <v>2.1743810000000001E-5</v>
      </c>
      <c r="O118">
        <v>0</v>
      </c>
      <c r="P118">
        <v>0</v>
      </c>
      <c r="Q118">
        <v>0</v>
      </c>
      <c r="R118" t="s">
        <v>243</v>
      </c>
    </row>
    <row r="119" spans="1:18" x14ac:dyDescent="0.3">
      <c r="A119" t="s">
        <v>259</v>
      </c>
      <c r="B119" t="s">
        <v>107</v>
      </c>
      <c r="C119" t="s">
        <v>345</v>
      </c>
      <c r="D119" s="8">
        <v>4.7913700000000002E-5</v>
      </c>
      <c r="E119" s="8">
        <v>6.5997399999999999E-6</v>
      </c>
      <c r="F119" s="8">
        <v>4.2223000000000002E-6</v>
      </c>
      <c r="G119" s="8">
        <v>1.4234199999999999E-6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243</v>
      </c>
    </row>
    <row r="120" spans="1:18" x14ac:dyDescent="0.3">
      <c r="A120" t="s">
        <v>259</v>
      </c>
      <c r="B120" t="s">
        <v>107</v>
      </c>
      <c r="C120" t="s">
        <v>346</v>
      </c>
      <c r="D120" s="8">
        <v>3.3284299999999998E-4</v>
      </c>
      <c r="E120" s="8">
        <v>4.6752000000000002E-5</v>
      </c>
      <c r="F120" s="8">
        <v>3.1224199999999998E-5</v>
      </c>
      <c r="G120" s="8">
        <v>1.10496E-5</v>
      </c>
      <c r="H120" s="8">
        <v>1.15246E-5</v>
      </c>
      <c r="I120" s="8">
        <v>1.173856E-5</v>
      </c>
      <c r="J120" s="8">
        <v>1.1961379999999901E-5</v>
      </c>
      <c r="K120" s="8">
        <v>1.217557E-5</v>
      </c>
      <c r="L120" s="8">
        <v>1.2359400000000001E-5</v>
      </c>
      <c r="M120" s="8">
        <v>1.2484770000000001E-5</v>
      </c>
      <c r="N120" s="8">
        <v>1.258949E-5</v>
      </c>
      <c r="O120">
        <v>0</v>
      </c>
      <c r="P120">
        <v>0</v>
      </c>
      <c r="Q120">
        <v>0</v>
      </c>
      <c r="R120" t="s">
        <v>243</v>
      </c>
    </row>
    <row r="121" spans="1:18" x14ac:dyDescent="0.3">
      <c r="A121" t="s">
        <v>259</v>
      </c>
      <c r="B121" t="s">
        <v>107</v>
      </c>
      <c r="C121" t="s">
        <v>347</v>
      </c>
      <c r="D121" s="8">
        <v>2.4864700000000001E-4</v>
      </c>
      <c r="E121" s="8">
        <v>3.6016400000000003E-5</v>
      </c>
      <c r="F121" s="8">
        <v>2.351E-5</v>
      </c>
      <c r="G121" s="8">
        <v>8.1738699999999994E-6</v>
      </c>
      <c r="H121" s="8">
        <v>8.4499599999999993E-6</v>
      </c>
      <c r="I121" s="8">
        <v>8.7100199999999993E-6</v>
      </c>
      <c r="J121" s="8">
        <v>8.8592699999999996E-6</v>
      </c>
      <c r="K121" s="8">
        <v>9.0042299999999997E-6</v>
      </c>
      <c r="L121" s="8">
        <v>9.1280599999999903E-6</v>
      </c>
      <c r="M121" s="8">
        <v>9.2076699999999995E-6</v>
      </c>
      <c r="N121" s="8">
        <v>9.2734199999999997E-6</v>
      </c>
      <c r="O121">
        <v>0</v>
      </c>
      <c r="P121">
        <v>0</v>
      </c>
      <c r="Q121">
        <v>0</v>
      </c>
      <c r="R121" t="s">
        <v>243</v>
      </c>
    </row>
    <row r="122" spans="1:18" x14ac:dyDescent="0.3">
      <c r="A122" t="s">
        <v>259</v>
      </c>
      <c r="B122" t="s">
        <v>107</v>
      </c>
      <c r="C122" t="s">
        <v>348</v>
      </c>
      <c r="D122" s="8">
        <v>2.0602899999999999E-4</v>
      </c>
      <c r="E122" s="8">
        <v>2.9849299999999999E-5</v>
      </c>
      <c r="F122" s="8">
        <v>1.9231700000000001E-5</v>
      </c>
      <c r="G122" s="8">
        <v>6.6021300000000003E-6</v>
      </c>
      <c r="H122" s="8">
        <v>6.8251299999999997E-6</v>
      </c>
      <c r="I122" s="8">
        <v>7.0317799999999996E-6</v>
      </c>
      <c r="J122" s="8">
        <v>7.1468799999999996E-6</v>
      </c>
      <c r="K122" s="8">
        <v>7.261964E-6</v>
      </c>
      <c r="L122" s="8">
        <v>7.3615300000000001E-6</v>
      </c>
      <c r="M122" s="8">
        <v>7.4258400000000004E-6</v>
      </c>
      <c r="N122" s="8">
        <v>7.4768299999999997E-6</v>
      </c>
      <c r="O122">
        <v>0</v>
      </c>
      <c r="P122">
        <v>0</v>
      </c>
      <c r="Q122">
        <v>0</v>
      </c>
      <c r="R122" t="s">
        <v>243</v>
      </c>
    </row>
    <row r="123" spans="1:18" x14ac:dyDescent="0.3">
      <c r="A123" t="s">
        <v>259</v>
      </c>
      <c r="B123" t="s">
        <v>107</v>
      </c>
      <c r="C123" t="s">
        <v>349</v>
      </c>
      <c r="D123" s="8">
        <v>1.7430399999999999E-4</v>
      </c>
      <c r="E123" s="8">
        <v>2.5186800000000001E-5</v>
      </c>
      <c r="F123" s="8">
        <v>1.6231499999999999E-5</v>
      </c>
      <c r="G123" s="8">
        <v>5.5515600000000001E-6</v>
      </c>
      <c r="H123" s="8">
        <v>5.7390700000000003E-6</v>
      </c>
      <c r="I123" s="8">
        <v>5.9227199999999998E-6</v>
      </c>
      <c r="J123" s="8">
        <v>6.0170180000000002E-6</v>
      </c>
      <c r="K123" s="8">
        <v>6.11107299999999E-6</v>
      </c>
      <c r="L123" s="8">
        <v>6.1949099999999996E-6</v>
      </c>
      <c r="M123" s="8">
        <v>6.2477600000000003E-6</v>
      </c>
      <c r="N123" s="8">
        <v>6.2883999999999998E-6</v>
      </c>
      <c r="O123">
        <v>0</v>
      </c>
      <c r="P123">
        <v>0</v>
      </c>
      <c r="Q123">
        <v>0</v>
      </c>
      <c r="R123" t="s">
        <v>243</v>
      </c>
    </row>
    <row r="124" spans="1:18" x14ac:dyDescent="0.3">
      <c r="A124" t="s">
        <v>259</v>
      </c>
      <c r="B124" t="s">
        <v>107</v>
      </c>
      <c r="C124" t="s">
        <v>350</v>
      </c>
      <c r="D124" s="8">
        <v>1.4885199999999999E-4</v>
      </c>
      <c r="E124" s="8">
        <v>2.1506599999999998E-5</v>
      </c>
      <c r="F124" s="8">
        <v>1.3835000000000001E-5</v>
      </c>
      <c r="G124" s="8">
        <v>4.7069800000000003E-6</v>
      </c>
      <c r="H124" s="8">
        <v>4.8659599999999901E-6</v>
      </c>
      <c r="I124" s="8">
        <v>5.0269199999999998E-6</v>
      </c>
      <c r="J124" s="8">
        <v>5.1035149999999997E-6</v>
      </c>
      <c r="K124" s="8">
        <v>5.1825979999999997E-6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243</v>
      </c>
    </row>
    <row r="125" spans="1:18" x14ac:dyDescent="0.3">
      <c r="A125" t="s">
        <v>259</v>
      </c>
      <c r="B125" t="s">
        <v>107</v>
      </c>
      <c r="C125" t="s">
        <v>351</v>
      </c>
      <c r="D125" s="8">
        <v>1.2620099999999999E-4</v>
      </c>
      <c r="E125" s="8">
        <v>1.83196E-5</v>
      </c>
      <c r="F125" s="8">
        <v>1.17457E-5</v>
      </c>
      <c r="G125" s="8">
        <v>4.0004200000000004E-6</v>
      </c>
      <c r="H125" s="8">
        <v>4.13553E-6</v>
      </c>
      <c r="I125" s="8">
        <v>4.27986E-6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243</v>
      </c>
    </row>
    <row r="126" spans="1:18" x14ac:dyDescent="0.3">
      <c r="A126" t="s">
        <v>259</v>
      </c>
      <c r="B126" t="s">
        <v>107</v>
      </c>
      <c r="C126" t="s">
        <v>352</v>
      </c>
      <c r="D126" s="8">
        <v>1.0561900000000001E-4</v>
      </c>
      <c r="E126" s="8">
        <v>1.5241299999999999E-5</v>
      </c>
      <c r="F126" s="8">
        <v>9.7828599999999997E-6</v>
      </c>
      <c r="G126" s="8">
        <v>3.2794400000000001E-6</v>
      </c>
      <c r="H126" s="8">
        <v>3.39021E-6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243</v>
      </c>
    </row>
    <row r="127" spans="1:18" x14ac:dyDescent="0.3">
      <c r="A127" t="s">
        <v>259</v>
      </c>
      <c r="B127" t="s">
        <v>107</v>
      </c>
      <c r="C127" t="s">
        <v>353</v>
      </c>
      <c r="D127" s="8">
        <v>8.2259699999999994E-5</v>
      </c>
      <c r="E127" s="8">
        <v>1.18745E-5</v>
      </c>
      <c r="F127" s="8">
        <v>7.6354100000000005E-6</v>
      </c>
      <c r="G127" s="8">
        <v>2.5955299999999999E-6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243</v>
      </c>
    </row>
    <row r="128" spans="1:18" x14ac:dyDescent="0.3">
      <c r="A128" t="s">
        <v>259</v>
      </c>
      <c r="B128" t="s">
        <v>107</v>
      </c>
      <c r="C128" t="s">
        <v>294</v>
      </c>
      <c r="D128">
        <v>1.61224039E-3</v>
      </c>
      <c r="E128">
        <v>2.5151890000000001E-3</v>
      </c>
      <c r="F128">
        <v>2.8618110000000001E-3</v>
      </c>
      <c r="G128">
        <v>2.7663893999999899E-3</v>
      </c>
      <c r="H128">
        <v>2.6561306999999998E-3</v>
      </c>
      <c r="I128">
        <v>2.6442358999999999E-3</v>
      </c>
      <c r="J128">
        <v>2.75321019999999E-3</v>
      </c>
      <c r="K128">
        <v>2.8257052700000002E-3</v>
      </c>
      <c r="L128">
        <v>2.8678426299999999E-3</v>
      </c>
      <c r="M128">
        <v>2.8610107999999901E-3</v>
      </c>
      <c r="N128">
        <v>2.8520197000000001E-3</v>
      </c>
      <c r="O128">
        <v>0</v>
      </c>
      <c r="P128">
        <v>0</v>
      </c>
      <c r="Q128">
        <v>0</v>
      </c>
      <c r="R128" t="s">
        <v>243</v>
      </c>
    </row>
    <row r="129" spans="1:18" x14ac:dyDescent="0.3">
      <c r="A129" t="s">
        <v>259</v>
      </c>
      <c r="B129" t="s">
        <v>107</v>
      </c>
      <c r="C129" t="s">
        <v>295</v>
      </c>
      <c r="D129">
        <v>3.1073226999999998E-3</v>
      </c>
      <c r="E129">
        <v>4.2828909E-3</v>
      </c>
      <c r="F129">
        <v>4.8387679999999898E-3</v>
      </c>
      <c r="G129">
        <v>4.7210780000000001E-3</v>
      </c>
      <c r="H129">
        <v>4.7122660999999897E-3</v>
      </c>
      <c r="I129">
        <v>4.8062109999999899E-3</v>
      </c>
      <c r="J129">
        <v>4.8479958000000002E-3</v>
      </c>
      <c r="K129">
        <v>4.8570934E-3</v>
      </c>
      <c r="L129">
        <v>4.8351490000000004E-3</v>
      </c>
      <c r="M129">
        <v>4.7436524999999998E-3</v>
      </c>
      <c r="N129">
        <v>4.6566345999999896E-3</v>
      </c>
      <c r="O129">
        <v>0</v>
      </c>
      <c r="P129">
        <v>0</v>
      </c>
      <c r="Q129">
        <v>0</v>
      </c>
      <c r="R129" t="s">
        <v>243</v>
      </c>
    </row>
    <row r="130" spans="1:18" x14ac:dyDescent="0.3">
      <c r="A130" t="s">
        <v>259</v>
      </c>
      <c r="B130" t="s">
        <v>107</v>
      </c>
      <c r="C130" t="s">
        <v>296</v>
      </c>
      <c r="D130">
        <v>2.0398386000000002E-3</v>
      </c>
      <c r="E130">
        <v>3.0540125000000002E-3</v>
      </c>
      <c r="F130">
        <v>3.4488610999999902E-3</v>
      </c>
      <c r="G130">
        <v>3.3513827999999998E-3</v>
      </c>
      <c r="H130">
        <v>3.2918341999999901E-3</v>
      </c>
      <c r="I130">
        <v>3.3070642999999899E-3</v>
      </c>
      <c r="J130">
        <v>3.3945773999999999E-3</v>
      </c>
      <c r="K130">
        <v>3.4422639E-3</v>
      </c>
      <c r="L130">
        <v>3.45760333E-3</v>
      </c>
      <c r="M130">
        <v>3.4185129000000002E-3</v>
      </c>
      <c r="N130">
        <v>3.380503E-3</v>
      </c>
      <c r="O130">
        <v>0</v>
      </c>
      <c r="P130">
        <v>0</v>
      </c>
      <c r="Q130">
        <v>0</v>
      </c>
      <c r="R130" t="s">
        <v>243</v>
      </c>
    </row>
    <row r="131" spans="1:18" x14ac:dyDescent="0.3">
      <c r="A131" t="s">
        <v>259</v>
      </c>
      <c r="B131" t="s">
        <v>107</v>
      </c>
      <c r="C131" t="s">
        <v>297</v>
      </c>
      <c r="D131">
        <v>2.2806097000000001E-3</v>
      </c>
      <c r="E131">
        <v>3.26960329999999E-3</v>
      </c>
      <c r="F131">
        <v>3.7002367999999998E-3</v>
      </c>
      <c r="G131">
        <v>3.6027250000000002E-3</v>
      </c>
      <c r="H131">
        <v>3.5351672999999902E-3</v>
      </c>
      <c r="I131">
        <v>3.6229348999999899E-3</v>
      </c>
      <c r="J131">
        <v>3.6868634E-3</v>
      </c>
      <c r="K131">
        <v>3.7146545000000001E-3</v>
      </c>
      <c r="L131">
        <v>3.7130313E-3</v>
      </c>
      <c r="M131">
        <v>3.6558408999999999E-3</v>
      </c>
      <c r="N131">
        <v>3.6025380000000002E-3</v>
      </c>
      <c r="O131">
        <v>0</v>
      </c>
      <c r="P131">
        <v>0</v>
      </c>
      <c r="Q131">
        <v>0</v>
      </c>
      <c r="R131" t="s">
        <v>243</v>
      </c>
    </row>
    <row r="132" spans="1:18" x14ac:dyDescent="0.3">
      <c r="A132" t="s">
        <v>259</v>
      </c>
      <c r="B132" t="s">
        <v>107</v>
      </c>
      <c r="C132" t="s">
        <v>298</v>
      </c>
      <c r="D132">
        <v>2.4143554999999902E-3</v>
      </c>
      <c r="E132">
        <v>3.40494519999999E-3</v>
      </c>
      <c r="F132">
        <v>3.8558973999999898E-3</v>
      </c>
      <c r="G132">
        <v>3.7592049999999998E-3</v>
      </c>
      <c r="H132">
        <v>3.7206482000000001E-3</v>
      </c>
      <c r="I132">
        <v>3.7992822999999998E-3</v>
      </c>
      <c r="J132">
        <v>3.8533856000000002E-3</v>
      </c>
      <c r="K132">
        <v>3.8747508999999901E-3</v>
      </c>
      <c r="L132">
        <v>3.8686740999999999E-3</v>
      </c>
      <c r="M132">
        <v>3.8058011999999998E-3</v>
      </c>
      <c r="N132">
        <v>3.7466202000000001E-3</v>
      </c>
      <c r="O132">
        <v>0</v>
      </c>
      <c r="P132">
        <v>0</v>
      </c>
      <c r="Q132">
        <v>0</v>
      </c>
      <c r="R132" t="s">
        <v>243</v>
      </c>
    </row>
    <row r="133" spans="1:18" x14ac:dyDescent="0.3">
      <c r="A133" t="s">
        <v>259</v>
      </c>
      <c r="B133" t="s">
        <v>107</v>
      </c>
      <c r="C133" t="s">
        <v>299</v>
      </c>
      <c r="D133">
        <v>2.5194829999999999E-3</v>
      </c>
      <c r="E133">
        <v>3.5172379999999998E-3</v>
      </c>
      <c r="F133">
        <v>3.97803109999999E-3</v>
      </c>
      <c r="G133">
        <v>3.8783889999999899E-3</v>
      </c>
      <c r="H133">
        <v>3.8556787999999998E-3</v>
      </c>
      <c r="I133">
        <v>3.9368077999999904E-3</v>
      </c>
      <c r="J133">
        <v>3.9859105999999998E-3</v>
      </c>
      <c r="K133">
        <v>4.0028357000000004E-3</v>
      </c>
      <c r="L133">
        <v>3.9946048E-3</v>
      </c>
      <c r="M133">
        <v>3.9274566000000004E-3</v>
      </c>
      <c r="N133">
        <v>3.8639435999999901E-3</v>
      </c>
      <c r="O133">
        <v>0</v>
      </c>
      <c r="P133">
        <v>0</v>
      </c>
      <c r="Q133">
        <v>0</v>
      </c>
      <c r="R133" t="s">
        <v>243</v>
      </c>
    </row>
    <row r="134" spans="1:18" x14ac:dyDescent="0.3">
      <c r="A134" t="s">
        <v>259</v>
      </c>
      <c r="B134" t="s">
        <v>107</v>
      </c>
      <c r="C134" t="s">
        <v>300</v>
      </c>
      <c r="D134">
        <v>2.6083280999999901E-3</v>
      </c>
      <c r="E134">
        <v>3.6158484999999998E-3</v>
      </c>
      <c r="F134">
        <v>4.0879884999999996E-3</v>
      </c>
      <c r="G134">
        <v>3.98745E-3</v>
      </c>
      <c r="H134">
        <v>3.9730965000000004E-3</v>
      </c>
      <c r="I134">
        <v>4.0567101000000003E-3</v>
      </c>
      <c r="J134">
        <v>4.1017699999999898E-3</v>
      </c>
      <c r="K134">
        <v>4.1171031999999901E-3</v>
      </c>
      <c r="L134">
        <v>4.1057322999999996E-3</v>
      </c>
      <c r="M134">
        <v>4.0359497000000003E-3</v>
      </c>
      <c r="N134">
        <v>3.9698279999999999E-3</v>
      </c>
      <c r="O134">
        <v>0</v>
      </c>
      <c r="P134">
        <v>0</v>
      </c>
      <c r="Q134">
        <v>0</v>
      </c>
      <c r="R134" t="s">
        <v>243</v>
      </c>
    </row>
    <row r="135" spans="1:18" x14ac:dyDescent="0.3">
      <c r="A135" t="s">
        <v>259</v>
      </c>
      <c r="B135" t="s">
        <v>107</v>
      </c>
      <c r="C135" t="s">
        <v>301</v>
      </c>
      <c r="D135">
        <v>2.6925915E-3</v>
      </c>
      <c r="E135">
        <v>3.7122264E-3</v>
      </c>
      <c r="F135">
        <v>4.1974541000000002E-3</v>
      </c>
      <c r="G135">
        <v>4.0926139999999996E-3</v>
      </c>
      <c r="H135">
        <v>4.0823837999999996E-3</v>
      </c>
      <c r="I135">
        <v>4.1732016999999899E-3</v>
      </c>
      <c r="J135">
        <v>4.2162672000000002E-3</v>
      </c>
      <c r="K135">
        <v>4.2297639999999996E-3</v>
      </c>
      <c r="L135">
        <v>4.2168201999999997E-3</v>
      </c>
      <c r="M135">
        <v>4.1431044E-3</v>
      </c>
      <c r="N135">
        <v>4.0725450999999999E-3</v>
      </c>
      <c r="O135">
        <v>0</v>
      </c>
      <c r="P135">
        <v>0</v>
      </c>
      <c r="Q135">
        <v>0</v>
      </c>
      <c r="R135" t="s">
        <v>243</v>
      </c>
    </row>
    <row r="136" spans="1:18" x14ac:dyDescent="0.3">
      <c r="A136" t="s">
        <v>259</v>
      </c>
      <c r="B136" t="s">
        <v>107</v>
      </c>
      <c r="C136" t="s">
        <v>302</v>
      </c>
      <c r="D136">
        <v>2.7762450999999902E-3</v>
      </c>
      <c r="E136">
        <v>3.8196796000000001E-3</v>
      </c>
      <c r="F136">
        <v>4.3170345999999898E-3</v>
      </c>
      <c r="G136">
        <v>4.2186489999999997E-3</v>
      </c>
      <c r="H136">
        <v>4.2100217000000002E-3</v>
      </c>
      <c r="I136">
        <v>4.2989387999999903E-3</v>
      </c>
      <c r="J136">
        <v>4.3423788000000003E-3</v>
      </c>
      <c r="K136">
        <v>4.3544279E-3</v>
      </c>
      <c r="L136">
        <v>4.3386307999999998E-3</v>
      </c>
      <c r="M136">
        <v>4.2605728000000001E-3</v>
      </c>
      <c r="N136">
        <v>4.18691799999999E-3</v>
      </c>
      <c r="O136">
        <v>0</v>
      </c>
      <c r="P136">
        <v>0</v>
      </c>
      <c r="Q136">
        <v>0</v>
      </c>
      <c r="R136" t="s">
        <v>243</v>
      </c>
    </row>
    <row r="137" spans="1:18" x14ac:dyDescent="0.3">
      <c r="A137" t="s">
        <v>259</v>
      </c>
      <c r="B137" t="s">
        <v>107</v>
      </c>
      <c r="C137" t="s">
        <v>303</v>
      </c>
      <c r="D137">
        <v>2.8857140999999898E-3</v>
      </c>
      <c r="E137">
        <v>3.9618169999999899E-3</v>
      </c>
      <c r="F137">
        <v>4.47547349999999E-3</v>
      </c>
      <c r="G137">
        <v>4.3634800000000003E-3</v>
      </c>
      <c r="H137">
        <v>4.3552403000000003E-3</v>
      </c>
      <c r="I137">
        <v>4.4566145E-3</v>
      </c>
      <c r="J137">
        <v>4.4994922999999996E-3</v>
      </c>
      <c r="K137">
        <v>4.5117815E-3</v>
      </c>
      <c r="L137">
        <v>4.4959414E-3</v>
      </c>
      <c r="M137">
        <v>4.4156931999999897E-3</v>
      </c>
      <c r="N137">
        <v>4.3389194999999998E-3</v>
      </c>
      <c r="O137">
        <v>0</v>
      </c>
      <c r="P137">
        <v>0</v>
      </c>
      <c r="Q137">
        <v>0</v>
      </c>
      <c r="R137" t="s">
        <v>243</v>
      </c>
    </row>
    <row r="138" spans="1:18" x14ac:dyDescent="0.3">
      <c r="A138" t="s">
        <v>259</v>
      </c>
      <c r="B138" t="s">
        <v>107</v>
      </c>
      <c r="C138" t="s">
        <v>304</v>
      </c>
      <c r="D138">
        <v>1.3500999999999999E-3</v>
      </c>
      <c r="E138">
        <v>1.9751700000000001E-3</v>
      </c>
      <c r="F138">
        <v>2.1214200000000002E-3</v>
      </c>
      <c r="G138">
        <v>2.0283599999999999E-3</v>
      </c>
      <c r="H138">
        <v>2.2578899999999998E-3</v>
      </c>
      <c r="I138">
        <v>2.275198E-3</v>
      </c>
      <c r="J138">
        <v>2.3162109999999999E-3</v>
      </c>
      <c r="K138">
        <v>2.3901320000000001E-3</v>
      </c>
      <c r="L138">
        <v>2.449307E-3</v>
      </c>
      <c r="M138">
        <v>2.4914730000000001E-3</v>
      </c>
      <c r="N138">
        <v>2.525355E-3</v>
      </c>
      <c r="O138">
        <v>0</v>
      </c>
      <c r="P138">
        <v>0</v>
      </c>
      <c r="Q138">
        <v>0</v>
      </c>
      <c r="R138" t="s">
        <v>243</v>
      </c>
    </row>
    <row r="139" spans="1:18" x14ac:dyDescent="0.3">
      <c r="A139" t="s">
        <v>259</v>
      </c>
      <c r="B139" t="s">
        <v>107</v>
      </c>
      <c r="C139" t="s">
        <v>305</v>
      </c>
      <c r="D139">
        <v>2.4042999999999998E-3</v>
      </c>
      <c r="E139">
        <v>3.2893200000000001E-3</v>
      </c>
      <c r="F139">
        <v>3.5368499999999998E-3</v>
      </c>
      <c r="G139">
        <v>3.4591999999999999E-3</v>
      </c>
      <c r="H139">
        <v>3.5759300000000002E-3</v>
      </c>
      <c r="I139">
        <v>3.6934149999999998E-3</v>
      </c>
      <c r="J139">
        <v>3.7425969999999999E-3</v>
      </c>
      <c r="K139">
        <v>3.794487E-3</v>
      </c>
      <c r="L139">
        <v>3.8382429999999999E-3</v>
      </c>
      <c r="M139">
        <v>3.8634870000000001E-3</v>
      </c>
      <c r="N139">
        <v>3.8806890000000001E-3</v>
      </c>
      <c r="O139">
        <v>0</v>
      </c>
      <c r="P139">
        <v>0</v>
      </c>
      <c r="Q139">
        <v>0</v>
      </c>
      <c r="R139" t="s">
        <v>243</v>
      </c>
    </row>
    <row r="140" spans="1:18" x14ac:dyDescent="0.3">
      <c r="A140" t="s">
        <v>259</v>
      </c>
      <c r="B140" t="s">
        <v>107</v>
      </c>
      <c r="C140" t="s">
        <v>306</v>
      </c>
      <c r="D140">
        <v>1.6513400000000001E-3</v>
      </c>
      <c r="E140">
        <v>2.3650799999999999E-3</v>
      </c>
      <c r="F140">
        <v>2.5332800000000002E-3</v>
      </c>
      <c r="G140">
        <v>2.4561600000000002E-3</v>
      </c>
      <c r="H140">
        <v>2.5987200000000001E-3</v>
      </c>
      <c r="I140">
        <v>2.643584E-3</v>
      </c>
      <c r="J140">
        <v>2.693553E-3</v>
      </c>
      <c r="K140">
        <v>2.7495039999999998E-3</v>
      </c>
      <c r="L140">
        <v>2.7950700000000002E-3</v>
      </c>
      <c r="M140">
        <v>2.825948E-3</v>
      </c>
      <c r="N140">
        <v>2.851073E-3</v>
      </c>
      <c r="O140">
        <v>0</v>
      </c>
      <c r="P140">
        <v>0</v>
      </c>
      <c r="Q140">
        <v>0</v>
      </c>
      <c r="R140" t="s">
        <v>243</v>
      </c>
    </row>
    <row r="141" spans="1:18" x14ac:dyDescent="0.3">
      <c r="A141" t="s">
        <v>259</v>
      </c>
      <c r="B141" t="s">
        <v>107</v>
      </c>
      <c r="C141" t="s">
        <v>307</v>
      </c>
      <c r="D141">
        <v>1.8119900000000001E-3</v>
      </c>
      <c r="E141">
        <v>2.5209500000000001E-3</v>
      </c>
      <c r="F141">
        <v>2.7101400000000002E-3</v>
      </c>
      <c r="G141">
        <v>2.63999E-3</v>
      </c>
      <c r="H141">
        <v>2.7399499999999901E-3</v>
      </c>
      <c r="I141">
        <v>2.825658E-3</v>
      </c>
      <c r="J141">
        <v>2.8739209999999898E-3</v>
      </c>
      <c r="K141">
        <v>2.922801E-3</v>
      </c>
      <c r="L141">
        <v>2.9638109999999998E-3</v>
      </c>
      <c r="M141">
        <v>2.9901069999999901E-3</v>
      </c>
      <c r="N141">
        <v>3.011653E-3</v>
      </c>
      <c r="O141">
        <v>0</v>
      </c>
      <c r="P141">
        <v>0</v>
      </c>
      <c r="Q141">
        <v>0</v>
      </c>
      <c r="R141" t="s">
        <v>243</v>
      </c>
    </row>
    <row r="142" spans="1:18" x14ac:dyDescent="0.3">
      <c r="A142" t="s">
        <v>259</v>
      </c>
      <c r="B142" t="s">
        <v>107</v>
      </c>
      <c r="C142" t="s">
        <v>308</v>
      </c>
      <c r="D142">
        <v>1.9001700000000001E-3</v>
      </c>
      <c r="E142">
        <v>2.6202199999999999E-3</v>
      </c>
      <c r="F142">
        <v>2.8210000000000002E-3</v>
      </c>
      <c r="G142">
        <v>2.7545199999999999E-3</v>
      </c>
      <c r="H142">
        <v>2.8516799999999901E-3</v>
      </c>
      <c r="I142">
        <v>2.9384089999999999E-3</v>
      </c>
      <c r="J142">
        <v>2.9864009999999901E-3</v>
      </c>
      <c r="K142">
        <v>3.0350260000000001E-3</v>
      </c>
      <c r="L142">
        <v>3.0768380000000001E-3</v>
      </c>
      <c r="M142">
        <v>3.1038260000000001E-3</v>
      </c>
      <c r="N142">
        <v>3.1251619999999999E-3</v>
      </c>
      <c r="O142">
        <v>0</v>
      </c>
      <c r="P142">
        <v>0</v>
      </c>
      <c r="Q142">
        <v>0</v>
      </c>
      <c r="R142" t="s">
        <v>243</v>
      </c>
    </row>
    <row r="143" spans="1:18" x14ac:dyDescent="0.3">
      <c r="A143" t="s">
        <v>259</v>
      </c>
      <c r="B143" t="s">
        <v>107</v>
      </c>
      <c r="C143" t="s">
        <v>309</v>
      </c>
      <c r="D143">
        <v>1.9702299999999999E-3</v>
      </c>
      <c r="E143">
        <v>2.7038399999999999E-3</v>
      </c>
      <c r="F143">
        <v>2.90888E-3</v>
      </c>
      <c r="G143">
        <v>2.8417899999999999E-3</v>
      </c>
      <c r="H143">
        <v>2.9393599999999998E-3</v>
      </c>
      <c r="I143">
        <v>3.0334799999999999E-3</v>
      </c>
      <c r="J143">
        <v>3.081692E-3</v>
      </c>
      <c r="K143">
        <v>3.1300049999999999E-3</v>
      </c>
      <c r="L143">
        <v>3.1729879999999999E-3</v>
      </c>
      <c r="M143">
        <v>3.200076E-3</v>
      </c>
      <c r="N143">
        <v>3.220905E-3</v>
      </c>
      <c r="O143">
        <v>0</v>
      </c>
      <c r="P143">
        <v>0</v>
      </c>
      <c r="Q143">
        <v>0</v>
      </c>
      <c r="R143" t="s">
        <v>243</v>
      </c>
    </row>
    <row r="144" spans="1:18" x14ac:dyDescent="0.3">
      <c r="A144" t="s">
        <v>259</v>
      </c>
      <c r="B144" t="s">
        <v>107</v>
      </c>
      <c r="C144" t="s">
        <v>310</v>
      </c>
      <c r="D144">
        <v>2.0308700000000002E-3</v>
      </c>
      <c r="E144">
        <v>2.7781799999999999E-3</v>
      </c>
      <c r="F144">
        <v>2.9885599999999999E-3</v>
      </c>
      <c r="G144">
        <v>2.9216799999999999E-3</v>
      </c>
      <c r="H144">
        <v>3.0208600000000002E-3</v>
      </c>
      <c r="I144">
        <v>3.1207329999999901E-3</v>
      </c>
      <c r="J144">
        <v>3.1681859999999999E-3</v>
      </c>
      <c r="K144">
        <v>3.2173169999999999E-3</v>
      </c>
      <c r="L144">
        <v>3.2598610000000002E-3</v>
      </c>
      <c r="M144">
        <v>3.287505E-3</v>
      </c>
      <c r="N144">
        <v>3.3085289999999902E-3</v>
      </c>
      <c r="O144">
        <v>0</v>
      </c>
      <c r="P144">
        <v>0</v>
      </c>
      <c r="Q144">
        <v>0</v>
      </c>
      <c r="R144" t="s">
        <v>243</v>
      </c>
    </row>
    <row r="145" spans="1:18" x14ac:dyDescent="0.3">
      <c r="A145" t="s">
        <v>259</v>
      </c>
      <c r="B145" t="s">
        <v>107</v>
      </c>
      <c r="C145" t="s">
        <v>311</v>
      </c>
      <c r="D145">
        <v>2.0902300000000002E-3</v>
      </c>
      <c r="E145">
        <v>2.8514999999999999E-3</v>
      </c>
      <c r="F145">
        <v>3.0682600000000002E-3</v>
      </c>
      <c r="G145">
        <v>2.9987199999999999E-3</v>
      </c>
      <c r="H145">
        <v>3.1000999999999902E-3</v>
      </c>
      <c r="I145">
        <v>3.2081950000000001E-3</v>
      </c>
      <c r="J145">
        <v>3.2554439999999902E-3</v>
      </c>
      <c r="K145">
        <v>3.3046460000000001E-3</v>
      </c>
      <c r="L145">
        <v>3.347629E-3</v>
      </c>
      <c r="M145">
        <v>3.3744840000000001E-3</v>
      </c>
      <c r="N145">
        <v>3.3939549999999902E-3</v>
      </c>
      <c r="O145">
        <v>0</v>
      </c>
      <c r="P145">
        <v>0</v>
      </c>
      <c r="Q145">
        <v>0</v>
      </c>
      <c r="R145" t="s">
        <v>243</v>
      </c>
    </row>
    <row r="146" spans="1:18" x14ac:dyDescent="0.3">
      <c r="A146" t="s">
        <v>259</v>
      </c>
      <c r="B146" t="s">
        <v>107</v>
      </c>
      <c r="C146" t="s">
        <v>312</v>
      </c>
      <c r="D146">
        <v>2.1512100000000002E-3</v>
      </c>
      <c r="E146">
        <v>2.9336900000000001E-3</v>
      </c>
      <c r="F146">
        <v>3.1555400000000001E-3</v>
      </c>
      <c r="G146">
        <v>3.09107E-3</v>
      </c>
      <c r="H146">
        <v>3.1954000000000001E-3</v>
      </c>
      <c r="I146">
        <v>3.303921E-3</v>
      </c>
      <c r="J146">
        <v>3.3523590000000001E-3</v>
      </c>
      <c r="K146">
        <v>3.4018070000000002E-3</v>
      </c>
      <c r="L146">
        <v>3.4441580000000001E-3</v>
      </c>
      <c r="M146">
        <v>3.4700779999999902E-3</v>
      </c>
      <c r="N146">
        <v>3.4892320000000001E-3</v>
      </c>
      <c r="O146">
        <v>0</v>
      </c>
      <c r="P146">
        <v>0</v>
      </c>
      <c r="Q146">
        <v>0</v>
      </c>
      <c r="R146" t="s">
        <v>243</v>
      </c>
    </row>
    <row r="147" spans="1:18" x14ac:dyDescent="0.3">
      <c r="A147" t="s">
        <v>259</v>
      </c>
      <c r="B147" t="s">
        <v>107</v>
      </c>
      <c r="C147" t="s">
        <v>313</v>
      </c>
      <c r="D147">
        <v>2.2335900000000001E-3</v>
      </c>
      <c r="E147">
        <v>3.0427399999999999E-3</v>
      </c>
      <c r="F147">
        <v>3.2713099999999999E-3</v>
      </c>
      <c r="G147">
        <v>3.1971899999999999E-3</v>
      </c>
      <c r="H147">
        <v>3.3050900000000001E-3</v>
      </c>
      <c r="I147">
        <v>3.4250460000000002E-3</v>
      </c>
      <c r="J147">
        <v>3.4736609999999998E-3</v>
      </c>
      <c r="K147">
        <v>3.524737E-3</v>
      </c>
      <c r="L147">
        <v>3.5690869999999999E-3</v>
      </c>
      <c r="M147">
        <v>3.5964170000000002E-3</v>
      </c>
      <c r="N147">
        <v>3.6158929999999998E-3</v>
      </c>
      <c r="O147">
        <v>0</v>
      </c>
      <c r="P147">
        <v>0</v>
      </c>
      <c r="Q147">
        <v>0</v>
      </c>
      <c r="R147" t="s">
        <v>243</v>
      </c>
    </row>
    <row r="148" spans="1:18" x14ac:dyDescent="0.3">
      <c r="A148" t="s">
        <v>259</v>
      </c>
      <c r="B148" t="s">
        <v>107</v>
      </c>
      <c r="C148" t="s">
        <v>314</v>
      </c>
      <c r="D148" s="8">
        <v>2.8515499999999999E-4</v>
      </c>
      <c r="E148" s="8">
        <v>4.28128E-4</v>
      </c>
      <c r="F148" s="8">
        <v>4.6175900000000001E-4</v>
      </c>
      <c r="G148" s="8">
        <v>4.4123699999999998E-4</v>
      </c>
      <c r="H148" s="8">
        <v>4.9735000000000003E-4</v>
      </c>
      <c r="I148" s="8">
        <v>4.9357999999999997E-4</v>
      </c>
      <c r="J148" s="8">
        <v>4.9996999999999997E-4</v>
      </c>
      <c r="K148" s="8">
        <v>5.1459400000000005E-4</v>
      </c>
      <c r="L148" s="8">
        <v>5.2481900000000005E-4</v>
      </c>
      <c r="M148" s="8">
        <v>5.3135499999999996E-4</v>
      </c>
      <c r="N148" s="8">
        <v>5.3510799999999996E-4</v>
      </c>
      <c r="O148">
        <v>0</v>
      </c>
      <c r="P148">
        <v>0</v>
      </c>
      <c r="Q148">
        <v>0</v>
      </c>
      <c r="R148" t="s">
        <v>243</v>
      </c>
    </row>
    <row r="149" spans="1:18" x14ac:dyDescent="0.3">
      <c r="A149" t="s">
        <v>259</v>
      </c>
      <c r="B149" t="s">
        <v>107</v>
      </c>
      <c r="C149" t="s">
        <v>315</v>
      </c>
      <c r="D149" s="8">
        <v>5.6239300000000001E-4</v>
      </c>
      <c r="E149" s="8">
        <v>7.6092599999999999E-4</v>
      </c>
      <c r="F149" s="8">
        <v>8.1698000000000003E-4</v>
      </c>
      <c r="G149" s="8">
        <v>7.9878999999999996E-4</v>
      </c>
      <c r="H149" s="8">
        <v>8.1395899999999995E-4</v>
      </c>
      <c r="I149" s="8">
        <v>8.29545E-4</v>
      </c>
      <c r="J149" s="8">
        <v>8.3499300000000002E-4</v>
      </c>
      <c r="K149" s="8">
        <v>8.3736699999999999E-4</v>
      </c>
      <c r="L149" s="8">
        <v>8.38249E-4</v>
      </c>
      <c r="M149" s="8">
        <v>8.3603300000000002E-4</v>
      </c>
      <c r="N149" s="8">
        <v>8.31225E-4</v>
      </c>
      <c r="O149">
        <v>0</v>
      </c>
      <c r="P149">
        <v>0</v>
      </c>
      <c r="Q149">
        <v>0</v>
      </c>
      <c r="R149" t="s">
        <v>243</v>
      </c>
    </row>
    <row r="150" spans="1:18" x14ac:dyDescent="0.3">
      <c r="A150" t="s">
        <v>259</v>
      </c>
      <c r="B150" t="s">
        <v>107</v>
      </c>
      <c r="C150" t="s">
        <v>316</v>
      </c>
      <c r="D150" s="8">
        <v>3.6396200000000001E-4</v>
      </c>
      <c r="E150" s="8">
        <v>5.3279100000000002E-4</v>
      </c>
      <c r="F150" s="8">
        <v>5.7184399999999995E-4</v>
      </c>
      <c r="G150" s="8">
        <v>5.54529E-4</v>
      </c>
      <c r="H150" s="8">
        <v>5.8643300000000003E-4</v>
      </c>
      <c r="I150" s="8">
        <v>5.8811699999999998E-4</v>
      </c>
      <c r="J150" s="8">
        <v>5.9564700000000004E-4</v>
      </c>
      <c r="K150" s="8">
        <v>6.0354699999999996E-4</v>
      </c>
      <c r="L150" s="8">
        <v>6.0834599999999995E-4</v>
      </c>
      <c r="M150" s="8">
        <v>6.1022400000000003E-4</v>
      </c>
      <c r="N150" s="8">
        <v>6.09926E-4</v>
      </c>
      <c r="O150">
        <v>0</v>
      </c>
      <c r="P150">
        <v>0</v>
      </c>
      <c r="Q150">
        <v>0</v>
      </c>
      <c r="R150" t="s">
        <v>243</v>
      </c>
    </row>
    <row r="151" spans="1:18" x14ac:dyDescent="0.3">
      <c r="A151" t="s">
        <v>259</v>
      </c>
      <c r="B151" t="s">
        <v>107</v>
      </c>
      <c r="C151" t="s">
        <v>317</v>
      </c>
      <c r="D151" s="8">
        <v>4.0906500000000001E-4</v>
      </c>
      <c r="E151" s="8">
        <v>5.7540100000000002E-4</v>
      </c>
      <c r="F151" s="8">
        <v>6.1950299999999998E-4</v>
      </c>
      <c r="G151" s="8">
        <v>6.0371600000000002E-4</v>
      </c>
      <c r="H151" s="8">
        <v>6.2121300000000002E-4</v>
      </c>
      <c r="I151" s="8">
        <v>6.3287599999999999E-4</v>
      </c>
      <c r="J151" s="8">
        <v>6.3951399999999999E-4</v>
      </c>
      <c r="K151" s="8">
        <v>6.4413700000000003E-4</v>
      </c>
      <c r="L151" s="8">
        <v>6.4679699999999995E-4</v>
      </c>
      <c r="M151" s="8">
        <v>6.4678200000000004E-4</v>
      </c>
      <c r="N151" s="8">
        <v>6.4495600000000002E-4</v>
      </c>
      <c r="O151">
        <v>0</v>
      </c>
      <c r="P151">
        <v>0</v>
      </c>
      <c r="Q151">
        <v>0</v>
      </c>
      <c r="R151" t="s">
        <v>243</v>
      </c>
    </row>
    <row r="152" spans="1:18" x14ac:dyDescent="0.3">
      <c r="A152" t="s">
        <v>259</v>
      </c>
      <c r="B152" t="s">
        <v>107</v>
      </c>
      <c r="C152" t="s">
        <v>318</v>
      </c>
      <c r="D152" s="8">
        <v>4.3429100000000001E-4</v>
      </c>
      <c r="E152" s="8">
        <v>6.0176800000000003E-4</v>
      </c>
      <c r="F152" s="8">
        <v>6.4829700000000004E-4</v>
      </c>
      <c r="G152" s="8">
        <v>6.3321600000000003E-4</v>
      </c>
      <c r="H152" s="8">
        <v>6.4814199999999999E-4</v>
      </c>
      <c r="I152" s="8">
        <v>6.5932199999999995E-4</v>
      </c>
      <c r="J152" s="8">
        <v>6.6568699999999998E-4</v>
      </c>
      <c r="K152" s="8">
        <v>6.6951300000000005E-4</v>
      </c>
      <c r="L152" s="8">
        <v>6.7183900000000003E-4</v>
      </c>
      <c r="M152" s="8">
        <v>6.7159399999999997E-4</v>
      </c>
      <c r="N152" s="8">
        <v>6.6937599999999996E-4</v>
      </c>
      <c r="O152">
        <v>0</v>
      </c>
      <c r="P152">
        <v>0</v>
      </c>
      <c r="Q152">
        <v>0</v>
      </c>
      <c r="R152" t="s">
        <v>243</v>
      </c>
    </row>
    <row r="153" spans="1:18" x14ac:dyDescent="0.3">
      <c r="A153" t="s">
        <v>259</v>
      </c>
      <c r="B153" t="s">
        <v>107</v>
      </c>
      <c r="C153" t="s">
        <v>319</v>
      </c>
      <c r="D153" s="8">
        <v>4.5413700000000002E-4</v>
      </c>
      <c r="E153" s="8">
        <v>6.2316599999999998E-4</v>
      </c>
      <c r="F153" s="8">
        <v>6.7026100000000001E-4</v>
      </c>
      <c r="G153" s="8">
        <v>6.54843E-4</v>
      </c>
      <c r="H153" s="8">
        <v>6.6870299999999998E-4</v>
      </c>
      <c r="I153" s="8">
        <v>6.8110399999999998E-4</v>
      </c>
      <c r="J153" s="8">
        <v>6.8734600000000003E-4</v>
      </c>
      <c r="K153" s="8">
        <v>6.9065900000000004E-4</v>
      </c>
      <c r="L153" s="8">
        <v>6.9293600000000001E-4</v>
      </c>
      <c r="M153" s="8">
        <v>6.9247000000000004E-4</v>
      </c>
      <c r="N153" s="8">
        <v>6.8990200000000005E-4</v>
      </c>
      <c r="O153">
        <v>0</v>
      </c>
      <c r="P153">
        <v>0</v>
      </c>
      <c r="Q153">
        <v>0</v>
      </c>
      <c r="R153" t="s">
        <v>243</v>
      </c>
    </row>
    <row r="154" spans="1:18" x14ac:dyDescent="0.3">
      <c r="A154" t="s">
        <v>259</v>
      </c>
      <c r="B154" t="s">
        <v>107</v>
      </c>
      <c r="C154" t="s">
        <v>320</v>
      </c>
      <c r="D154" s="8">
        <v>4.70858E-4</v>
      </c>
      <c r="E154" s="8">
        <v>6.4153300000000001E-4</v>
      </c>
      <c r="F154" s="8">
        <v>6.8956300000000002E-4</v>
      </c>
      <c r="G154" s="8">
        <v>6.74061E-4</v>
      </c>
      <c r="H154" s="8">
        <v>6.8749499999999999E-4</v>
      </c>
      <c r="I154" s="8">
        <v>7.0085700000000004E-4</v>
      </c>
      <c r="J154" s="8">
        <v>7.0678400000000001E-4</v>
      </c>
      <c r="K154" s="8">
        <v>7.0998399999999998E-4</v>
      </c>
      <c r="L154" s="8">
        <v>7.1193299999999999E-4</v>
      </c>
      <c r="M154" s="8">
        <v>7.1139900000000004E-4</v>
      </c>
      <c r="N154" s="8">
        <v>7.0867599999999999E-4</v>
      </c>
      <c r="O154">
        <v>0</v>
      </c>
      <c r="P154">
        <v>0</v>
      </c>
      <c r="Q154">
        <v>0</v>
      </c>
      <c r="R154" t="s">
        <v>243</v>
      </c>
    </row>
    <row r="155" spans="1:18" x14ac:dyDescent="0.3">
      <c r="A155" t="s">
        <v>259</v>
      </c>
      <c r="B155" t="s">
        <v>107</v>
      </c>
      <c r="C155" t="s">
        <v>321</v>
      </c>
      <c r="D155" s="8">
        <v>4.86613E-4</v>
      </c>
      <c r="E155" s="8">
        <v>6.5914399999999996E-4</v>
      </c>
      <c r="F155" s="8">
        <v>7.0843700000000002E-4</v>
      </c>
      <c r="G155" s="8">
        <v>6.9222299999999995E-4</v>
      </c>
      <c r="H155" s="8">
        <v>7.0561599999999995E-4</v>
      </c>
      <c r="I155" s="8">
        <v>7.2055999999999997E-4</v>
      </c>
      <c r="J155" s="8">
        <v>7.2629599999999997E-4</v>
      </c>
      <c r="K155" s="8">
        <v>7.2926800000000004E-4</v>
      </c>
      <c r="L155" s="8">
        <v>7.3110799999999995E-4</v>
      </c>
      <c r="M155" s="8">
        <v>7.3022099999999997E-4</v>
      </c>
      <c r="N155" s="8">
        <v>7.2697099999999998E-4</v>
      </c>
      <c r="O155">
        <v>0</v>
      </c>
      <c r="P155">
        <v>0</v>
      </c>
      <c r="Q155">
        <v>0</v>
      </c>
      <c r="R155" t="s">
        <v>243</v>
      </c>
    </row>
    <row r="156" spans="1:18" x14ac:dyDescent="0.3">
      <c r="A156" t="s">
        <v>259</v>
      </c>
      <c r="B156" t="s">
        <v>107</v>
      </c>
      <c r="C156" t="s">
        <v>322</v>
      </c>
      <c r="D156" s="8">
        <v>5.0211199999999998E-4</v>
      </c>
      <c r="E156" s="8">
        <v>6.7849800000000004E-4</v>
      </c>
      <c r="F156" s="8">
        <v>7.2881200000000001E-4</v>
      </c>
      <c r="G156" s="8">
        <v>7.1372199999999997E-4</v>
      </c>
      <c r="H156" s="8">
        <v>7.2733699999999999E-4</v>
      </c>
      <c r="I156" s="8">
        <v>7.4206900000000004E-4</v>
      </c>
      <c r="J156" s="8">
        <v>7.4792999999999995E-4</v>
      </c>
      <c r="K156" s="8">
        <v>7.5071299999999997E-4</v>
      </c>
      <c r="L156" s="8">
        <v>7.5218599999999996E-4</v>
      </c>
      <c r="M156" s="8">
        <v>7.5090599999999997E-4</v>
      </c>
      <c r="N156" s="8">
        <v>7.4738099999999998E-4</v>
      </c>
      <c r="O156">
        <v>0</v>
      </c>
      <c r="P156">
        <v>0</v>
      </c>
      <c r="Q156">
        <v>0</v>
      </c>
      <c r="R156" t="s">
        <v>243</v>
      </c>
    </row>
    <row r="157" spans="1:18" x14ac:dyDescent="0.3">
      <c r="A157" t="s">
        <v>259</v>
      </c>
      <c r="B157" t="s">
        <v>107</v>
      </c>
      <c r="C157" t="s">
        <v>323</v>
      </c>
      <c r="D157" s="8">
        <v>5.22179E-4</v>
      </c>
      <c r="E157" s="8">
        <v>7.0386199999999998E-4</v>
      </c>
      <c r="F157" s="8">
        <v>7.5563200000000001E-4</v>
      </c>
      <c r="G157" s="8">
        <v>7.3827799999999998E-4</v>
      </c>
      <c r="H157" s="8">
        <v>7.5230700000000002E-4</v>
      </c>
      <c r="I157" s="8">
        <v>7.6928800000000002E-4</v>
      </c>
      <c r="J157" s="8">
        <v>7.7499299999999997E-4</v>
      </c>
      <c r="K157" s="8">
        <v>7.7783799999999999E-4</v>
      </c>
      <c r="L157" s="8">
        <v>7.7947499999999996E-4</v>
      </c>
      <c r="M157" s="8">
        <v>7.7824299999999997E-4</v>
      </c>
      <c r="N157" s="8">
        <v>7.7450900000000005E-4</v>
      </c>
      <c r="O157">
        <v>0</v>
      </c>
      <c r="P157">
        <v>0</v>
      </c>
      <c r="Q157">
        <v>0</v>
      </c>
      <c r="R157" t="s">
        <v>243</v>
      </c>
    </row>
    <row r="158" spans="1:18" x14ac:dyDescent="0.3">
      <c r="A158" t="s">
        <v>259</v>
      </c>
      <c r="B158" t="s">
        <v>354</v>
      </c>
      <c r="C158" t="s">
        <v>253</v>
      </c>
      <c r="D158" s="8">
        <v>2.5390800000000001E-5</v>
      </c>
      <c r="E158" s="8">
        <v>2.3649E-5</v>
      </c>
      <c r="F158" s="8">
        <v>3.3456900000000001E-5</v>
      </c>
      <c r="G158" s="8">
        <v>4.4381300000000001E-5</v>
      </c>
      <c r="H158" s="8">
        <v>4.4968600000000002E-5</v>
      </c>
      <c r="I158" s="8">
        <v>4.4380900000000001E-5</v>
      </c>
      <c r="J158" s="8">
        <v>4.7503899999999998E-5</v>
      </c>
      <c r="K158" s="8">
        <v>5.1478699999999999E-5</v>
      </c>
      <c r="L158" s="8">
        <v>5.5450800000000001E-5</v>
      </c>
      <c r="M158" s="8">
        <v>5.98418E-5</v>
      </c>
      <c r="N158" s="8">
        <v>6.4303199999999998E-5</v>
      </c>
      <c r="O158">
        <v>0</v>
      </c>
      <c r="P158">
        <v>0</v>
      </c>
      <c r="Q158">
        <v>0</v>
      </c>
      <c r="R158" t="s">
        <v>243</v>
      </c>
    </row>
    <row r="159" spans="1:18" x14ac:dyDescent="0.3">
      <c r="A159" t="s">
        <v>259</v>
      </c>
      <c r="B159" t="s">
        <v>354</v>
      </c>
      <c r="C159" t="s">
        <v>254</v>
      </c>
      <c r="D159">
        <v>6.2879400000000002E-2</v>
      </c>
      <c r="E159">
        <v>5.0280489999999997E-2</v>
      </c>
      <c r="F159">
        <v>4.8300399999999903E-2</v>
      </c>
      <c r="G159">
        <v>4.1990199999999998E-2</v>
      </c>
      <c r="H159">
        <v>4.1236545999999999E-2</v>
      </c>
      <c r="I159">
        <v>3.9964888896999999E-2</v>
      </c>
      <c r="J159">
        <v>3.9735378809999999E-2</v>
      </c>
      <c r="K159">
        <v>3.9590264139999998E-2</v>
      </c>
      <c r="L159">
        <v>3.9487004800000003E-2</v>
      </c>
      <c r="M159">
        <v>3.9211194300000002E-2</v>
      </c>
      <c r="N159">
        <v>3.8933720099999999E-2</v>
      </c>
      <c r="O159">
        <v>0</v>
      </c>
      <c r="P159">
        <v>0</v>
      </c>
      <c r="Q159">
        <v>0</v>
      </c>
      <c r="R159" t="s">
        <v>243</v>
      </c>
    </row>
    <row r="160" spans="1:18" x14ac:dyDescent="0.3">
      <c r="A160" t="s">
        <v>259</v>
      </c>
      <c r="B160" t="s">
        <v>354</v>
      </c>
      <c r="C160" t="s">
        <v>255</v>
      </c>
      <c r="D160">
        <v>9.7115899999999894E-2</v>
      </c>
      <c r="E160">
        <v>2.4843221999999901E-2</v>
      </c>
      <c r="F160">
        <v>2.91373799999999E-2</v>
      </c>
      <c r="G160">
        <v>3.2188300000000003E-2</v>
      </c>
      <c r="H160">
        <v>3.4983224E-2</v>
      </c>
      <c r="I160">
        <v>3.4978459668300002E-2</v>
      </c>
      <c r="J160">
        <v>3.7239941808999998E-2</v>
      </c>
      <c r="K160">
        <v>4.0133254549999997E-2</v>
      </c>
      <c r="L160">
        <v>4.3060017800000003E-2</v>
      </c>
      <c r="M160">
        <v>4.6391110009999903E-2</v>
      </c>
      <c r="N160">
        <v>4.9920906190000003E-2</v>
      </c>
      <c r="O160">
        <v>0</v>
      </c>
      <c r="P160">
        <v>0</v>
      </c>
      <c r="Q160">
        <v>0</v>
      </c>
      <c r="R160" t="s">
        <v>243</v>
      </c>
    </row>
    <row r="161" spans="1:18" x14ac:dyDescent="0.3">
      <c r="A161" t="s">
        <v>259</v>
      </c>
      <c r="B161" t="s">
        <v>354</v>
      </c>
      <c r="C161" t="s">
        <v>355</v>
      </c>
      <c r="D161" s="8">
        <v>8.9379600000000002E-7</v>
      </c>
      <c r="E161" s="8">
        <v>1.1246199999999999E-6</v>
      </c>
      <c r="F161" s="8">
        <v>1.5666E-6</v>
      </c>
      <c r="G161" s="8">
        <v>1.4378400000000001E-6</v>
      </c>
      <c r="H161" s="8">
        <v>1.9232699999999999E-6</v>
      </c>
      <c r="I161" s="8">
        <v>1.29947E-6</v>
      </c>
      <c r="J161" s="8">
        <v>1.2955999999999999E-6</v>
      </c>
      <c r="K161" s="8">
        <v>1.43375E-6</v>
      </c>
      <c r="L161" s="8">
        <v>1.5678700000000001E-6</v>
      </c>
      <c r="M161" s="8">
        <v>1.6834700000000001E-6</v>
      </c>
      <c r="N161" s="8">
        <v>1.7816400000000001E-6</v>
      </c>
      <c r="O161">
        <v>0</v>
      </c>
      <c r="P161">
        <v>0</v>
      </c>
      <c r="Q161">
        <v>0</v>
      </c>
      <c r="R161" t="s">
        <v>243</v>
      </c>
    </row>
    <row r="162" spans="1:18" x14ac:dyDescent="0.3">
      <c r="A162" t="s">
        <v>259</v>
      </c>
      <c r="B162" t="s">
        <v>354</v>
      </c>
      <c r="C162" t="s">
        <v>356</v>
      </c>
      <c r="D162" s="8">
        <v>7.1245899999999997E-6</v>
      </c>
      <c r="E162" s="8">
        <v>1.8531700000000001E-5</v>
      </c>
      <c r="F162" s="8">
        <v>2.3116899999999999E-5</v>
      </c>
      <c r="G162" s="8">
        <v>2.3402699999999999E-5</v>
      </c>
      <c r="H162" s="8">
        <v>2.2710000000000001E-5</v>
      </c>
      <c r="I162" s="8">
        <v>2.2133999999999998E-5</v>
      </c>
      <c r="J162" s="8">
        <v>2.2686800000000001E-5</v>
      </c>
      <c r="K162" s="8">
        <v>2.3107599999999999E-5</v>
      </c>
      <c r="L162" s="8">
        <v>2.3451800000000001E-5</v>
      </c>
      <c r="M162" s="8">
        <v>2.3819200000000001E-5</v>
      </c>
      <c r="N162" s="8">
        <v>2.4116899999999999E-5</v>
      </c>
      <c r="O162">
        <v>0</v>
      </c>
      <c r="P162">
        <v>0</v>
      </c>
      <c r="Q162">
        <v>0</v>
      </c>
      <c r="R162" t="s">
        <v>243</v>
      </c>
    </row>
    <row r="163" spans="1:18" x14ac:dyDescent="0.3">
      <c r="A163" t="s">
        <v>259</v>
      </c>
      <c r="B163" t="s">
        <v>354</v>
      </c>
      <c r="C163" t="s">
        <v>357</v>
      </c>
      <c r="D163" s="8">
        <v>1.5245599999999999E-6</v>
      </c>
      <c r="E163" s="8">
        <v>2.1379899999999998E-6</v>
      </c>
      <c r="F163" s="8">
        <v>2.80246E-6</v>
      </c>
      <c r="G163" s="8">
        <v>2.6913200000000001E-6</v>
      </c>
      <c r="H163" s="8">
        <v>2.68998E-6</v>
      </c>
      <c r="I163" s="8">
        <v>2.5530700000000002E-6</v>
      </c>
      <c r="J163" s="8">
        <v>2.5725400000000002E-6</v>
      </c>
      <c r="K163" s="8">
        <v>2.69862E-6</v>
      </c>
      <c r="L163" s="8">
        <v>2.8198300000000001E-6</v>
      </c>
      <c r="M163" s="8">
        <v>2.9842000000000002E-6</v>
      </c>
      <c r="N163" s="8">
        <v>3.1666899999999998E-6</v>
      </c>
      <c r="O163">
        <v>0</v>
      </c>
      <c r="P163">
        <v>0</v>
      </c>
      <c r="Q163">
        <v>0</v>
      </c>
      <c r="R163" t="s">
        <v>243</v>
      </c>
    </row>
    <row r="164" spans="1:18" x14ac:dyDescent="0.3">
      <c r="A164" t="s">
        <v>259</v>
      </c>
      <c r="B164" t="s">
        <v>354</v>
      </c>
      <c r="C164" t="s">
        <v>358</v>
      </c>
      <c r="D164" s="8">
        <v>1.9506699999999998E-6</v>
      </c>
      <c r="E164" s="8">
        <v>2.89743E-6</v>
      </c>
      <c r="F164" s="8">
        <v>3.68387E-6</v>
      </c>
      <c r="G164" s="8">
        <v>3.4751699999999998E-6</v>
      </c>
      <c r="H164" s="8">
        <v>3.5601200000000001E-6</v>
      </c>
      <c r="I164" s="8">
        <v>3.3166000000000001E-6</v>
      </c>
      <c r="J164" s="8">
        <v>3.3643499999999998E-6</v>
      </c>
      <c r="K164" s="8">
        <v>3.5849799999999999E-6</v>
      </c>
      <c r="L164" s="8">
        <v>3.7996200000000001E-6</v>
      </c>
      <c r="M164" s="8">
        <v>4.0246499999999997E-6</v>
      </c>
      <c r="N164" s="8">
        <v>4.2129599999999999E-6</v>
      </c>
      <c r="O164">
        <v>0</v>
      </c>
      <c r="P164">
        <v>0</v>
      </c>
      <c r="Q164">
        <v>0</v>
      </c>
      <c r="R164" t="s">
        <v>243</v>
      </c>
    </row>
    <row r="165" spans="1:18" x14ac:dyDescent="0.3">
      <c r="A165" t="s">
        <v>259</v>
      </c>
      <c r="B165" t="s">
        <v>354</v>
      </c>
      <c r="C165" t="s">
        <v>359</v>
      </c>
      <c r="D165" s="8">
        <v>2.3383900000000001E-6</v>
      </c>
      <c r="E165" s="8">
        <v>3.7667100000000001E-6</v>
      </c>
      <c r="F165" s="8">
        <v>4.5630399999999996E-6</v>
      </c>
      <c r="G165" s="8">
        <v>4.1576900000000002E-6</v>
      </c>
      <c r="H165" s="8">
        <v>4.3293600000000002E-6</v>
      </c>
      <c r="I165" s="8">
        <v>4.1181399999999998E-6</v>
      </c>
      <c r="J165" s="8">
        <v>4.2179599999999998E-6</v>
      </c>
      <c r="K165" s="8">
        <v>4.4660500000000002E-6</v>
      </c>
      <c r="L165" s="8">
        <v>4.6828899999999998E-6</v>
      </c>
      <c r="M165" s="8">
        <v>4.86253E-6</v>
      </c>
      <c r="N165" s="8">
        <v>5.0802199999999998E-6</v>
      </c>
      <c r="O165">
        <v>0</v>
      </c>
      <c r="P165">
        <v>0</v>
      </c>
      <c r="Q165">
        <v>0</v>
      </c>
      <c r="R165" t="s">
        <v>243</v>
      </c>
    </row>
    <row r="166" spans="1:18" x14ac:dyDescent="0.3">
      <c r="A166" t="s">
        <v>259</v>
      </c>
      <c r="B166" t="s">
        <v>354</v>
      </c>
      <c r="C166" t="s">
        <v>360</v>
      </c>
      <c r="D166" s="8">
        <v>2.7392500000000001E-6</v>
      </c>
      <c r="E166" s="8">
        <v>4.5637E-6</v>
      </c>
      <c r="F166" s="8">
        <v>5.4945100000000004E-6</v>
      </c>
      <c r="G166" s="8">
        <v>4.8627699999999999E-6</v>
      </c>
      <c r="H166" s="8">
        <v>5.2080599999999999E-6</v>
      </c>
      <c r="I166" s="8">
        <v>4.972E-6</v>
      </c>
      <c r="J166" s="8">
        <v>5.1276400000000001E-6</v>
      </c>
      <c r="K166" s="8">
        <v>5.3175299999999999E-6</v>
      </c>
      <c r="L166" s="8">
        <v>5.5165200000000002E-6</v>
      </c>
      <c r="M166" s="8">
        <v>5.8102300000000003E-6</v>
      </c>
      <c r="N166" s="8">
        <v>6.0303399999999999E-6</v>
      </c>
      <c r="O166">
        <v>0</v>
      </c>
      <c r="P166">
        <v>0</v>
      </c>
      <c r="Q166">
        <v>0</v>
      </c>
      <c r="R166" t="s">
        <v>243</v>
      </c>
    </row>
    <row r="167" spans="1:18" x14ac:dyDescent="0.3">
      <c r="A167" t="s">
        <v>259</v>
      </c>
      <c r="B167" t="s">
        <v>354</v>
      </c>
      <c r="C167" t="s">
        <v>361</v>
      </c>
      <c r="D167" s="8">
        <v>3.1953600000000001E-6</v>
      </c>
      <c r="E167" s="8">
        <v>5.4949399999999999E-6</v>
      </c>
      <c r="F167" s="8">
        <v>6.4313499999999998E-6</v>
      </c>
      <c r="G167" s="8">
        <v>5.8062899999999999E-6</v>
      </c>
      <c r="H167" s="8">
        <v>6.2734099999999998E-6</v>
      </c>
      <c r="I167" s="8">
        <v>5.9504699999999996E-6</v>
      </c>
      <c r="J167" s="8">
        <v>6.0329000000000003E-6</v>
      </c>
      <c r="K167" s="8">
        <v>6.3432399999999999E-6</v>
      </c>
      <c r="L167" s="8">
        <v>6.59543E-6</v>
      </c>
      <c r="M167" s="8">
        <v>6.8162400000000003E-6</v>
      </c>
      <c r="N167" s="8">
        <v>7.1001300000000004E-6</v>
      </c>
      <c r="O167">
        <v>0</v>
      </c>
      <c r="P167">
        <v>0</v>
      </c>
      <c r="Q167">
        <v>0</v>
      </c>
      <c r="R167" t="s">
        <v>243</v>
      </c>
    </row>
    <row r="168" spans="1:18" x14ac:dyDescent="0.3">
      <c r="A168" t="s">
        <v>259</v>
      </c>
      <c r="B168" t="s">
        <v>354</v>
      </c>
      <c r="C168" t="s">
        <v>362</v>
      </c>
      <c r="D168" s="8">
        <v>3.7450999999999999E-6</v>
      </c>
      <c r="E168" s="8">
        <v>6.69559E-6</v>
      </c>
      <c r="F168" s="8">
        <v>7.6332300000000004E-6</v>
      </c>
      <c r="G168" s="8">
        <v>6.9967500000000004E-6</v>
      </c>
      <c r="H168" s="8">
        <v>7.4985399999999997E-6</v>
      </c>
      <c r="I168" s="8">
        <v>7.22146E-6</v>
      </c>
      <c r="J168" s="8">
        <v>7.3788600000000004E-6</v>
      </c>
      <c r="K168" s="8">
        <v>7.6208599999999999E-6</v>
      </c>
      <c r="L168" s="8">
        <v>7.8758E-6</v>
      </c>
      <c r="M168" s="8">
        <v>8.1366700000000008E-6</v>
      </c>
      <c r="N168" s="8">
        <v>8.3970299999999998E-6</v>
      </c>
      <c r="O168">
        <v>0</v>
      </c>
      <c r="P168">
        <v>0</v>
      </c>
      <c r="Q168">
        <v>0</v>
      </c>
      <c r="R168" t="s">
        <v>243</v>
      </c>
    </row>
    <row r="169" spans="1:18" x14ac:dyDescent="0.3">
      <c r="A169" t="s">
        <v>259</v>
      </c>
      <c r="B169" t="s">
        <v>354</v>
      </c>
      <c r="C169" t="s">
        <v>363</v>
      </c>
      <c r="D169" s="8">
        <v>4.4616099999999996E-6</v>
      </c>
      <c r="E169" s="8">
        <v>8.3031899999999997E-6</v>
      </c>
      <c r="F169" s="8">
        <v>9.7218900000000002E-6</v>
      </c>
      <c r="G169" s="8">
        <v>9.1154099999999999E-6</v>
      </c>
      <c r="H169" s="8">
        <v>9.4196300000000008E-6</v>
      </c>
      <c r="I169" s="8">
        <v>9.0406699999999993E-6</v>
      </c>
      <c r="J169" s="8">
        <v>9.2807499999999992E-6</v>
      </c>
      <c r="K169" s="8">
        <v>9.5955899999999994E-6</v>
      </c>
      <c r="L169" s="8">
        <v>9.7723199999999993E-6</v>
      </c>
      <c r="M169" s="8">
        <v>1.0061099999999999E-5</v>
      </c>
      <c r="N169" s="8">
        <v>1.02614E-5</v>
      </c>
      <c r="O169">
        <v>0</v>
      </c>
      <c r="P169">
        <v>0</v>
      </c>
      <c r="Q169">
        <v>0</v>
      </c>
      <c r="R169" t="s">
        <v>243</v>
      </c>
    </row>
    <row r="170" spans="1:18" x14ac:dyDescent="0.3">
      <c r="A170" t="s">
        <v>259</v>
      </c>
      <c r="B170" t="s">
        <v>354</v>
      </c>
      <c r="C170" t="s">
        <v>364</v>
      </c>
      <c r="D170" s="8">
        <v>5.4843000000000002E-6</v>
      </c>
      <c r="E170" s="8">
        <v>1.08819E-5</v>
      </c>
      <c r="F170" s="8">
        <v>1.4009600000000001E-5</v>
      </c>
      <c r="G170" s="8">
        <v>1.4310299999999999E-5</v>
      </c>
      <c r="H170" s="8">
        <v>1.39861E-5</v>
      </c>
      <c r="I170" s="8">
        <v>1.3295899999999999E-5</v>
      </c>
      <c r="J170" s="8">
        <v>1.34584E-5</v>
      </c>
      <c r="K170" s="8">
        <v>1.3508499999999999E-5</v>
      </c>
      <c r="L170" s="8">
        <v>1.36147E-5</v>
      </c>
      <c r="M170" s="8">
        <v>1.37428E-5</v>
      </c>
      <c r="N170" s="8">
        <v>1.39145E-5</v>
      </c>
      <c r="O170">
        <v>0</v>
      </c>
      <c r="P170">
        <v>0</v>
      </c>
      <c r="Q170">
        <v>0</v>
      </c>
      <c r="R170" t="s">
        <v>243</v>
      </c>
    </row>
    <row r="171" spans="1:18" x14ac:dyDescent="0.3">
      <c r="A171" t="s">
        <v>259</v>
      </c>
      <c r="B171" t="s">
        <v>354</v>
      </c>
      <c r="C171" t="s">
        <v>365</v>
      </c>
      <c r="D171" s="8">
        <v>6.3950400000000005E-4</v>
      </c>
      <c r="E171">
        <v>2.7837199999999999E-3</v>
      </c>
      <c r="F171">
        <v>2.2740299999999998E-3</v>
      </c>
      <c r="G171">
        <v>1.50391E-3</v>
      </c>
      <c r="H171">
        <v>1.6018E-3</v>
      </c>
      <c r="I171">
        <v>1.4442599999999999E-3</v>
      </c>
      <c r="J171">
        <v>1.42873E-3</v>
      </c>
      <c r="K171">
        <v>1.41986E-3</v>
      </c>
      <c r="L171">
        <v>1.41326E-3</v>
      </c>
      <c r="M171">
        <v>1.38445E-3</v>
      </c>
      <c r="N171">
        <v>1.3571900000000001E-3</v>
      </c>
      <c r="O171">
        <v>0</v>
      </c>
      <c r="P171">
        <v>0</v>
      </c>
      <c r="Q171">
        <v>0</v>
      </c>
      <c r="R171" t="s">
        <v>243</v>
      </c>
    </row>
    <row r="172" spans="1:18" x14ac:dyDescent="0.3">
      <c r="A172" t="s">
        <v>259</v>
      </c>
      <c r="B172" t="s">
        <v>354</v>
      </c>
      <c r="C172" t="s">
        <v>366</v>
      </c>
      <c r="D172" s="8">
        <v>3.3535500000000002E-4</v>
      </c>
      <c r="E172">
        <v>1.1184999999999999E-3</v>
      </c>
      <c r="F172">
        <v>1.00102E-3</v>
      </c>
      <c r="G172" s="8">
        <v>6.7456899999999997E-4</v>
      </c>
      <c r="H172" s="8">
        <v>6.5698899999999997E-4</v>
      </c>
      <c r="I172" s="8">
        <v>6.2961799999999997E-4</v>
      </c>
      <c r="J172" s="8">
        <v>6.1352200000000003E-4</v>
      </c>
      <c r="K172" s="8">
        <v>6.0018500000000004E-4</v>
      </c>
      <c r="L172" s="8">
        <v>5.8923700000000005E-4</v>
      </c>
      <c r="M172" s="8">
        <v>5.7961199999999997E-4</v>
      </c>
      <c r="N172" s="8">
        <v>5.7059700000000005E-4</v>
      </c>
      <c r="O172">
        <v>0</v>
      </c>
      <c r="P172">
        <v>0</v>
      </c>
      <c r="Q172">
        <v>0</v>
      </c>
      <c r="R172" t="s">
        <v>243</v>
      </c>
    </row>
    <row r="173" spans="1:18" x14ac:dyDescent="0.3">
      <c r="A173" t="s">
        <v>259</v>
      </c>
      <c r="B173" t="s">
        <v>354</v>
      </c>
      <c r="C173" t="s">
        <v>367</v>
      </c>
      <c r="D173" s="8">
        <v>5.4995900000000004E-4</v>
      </c>
      <c r="E173">
        <v>2.2990799999999998E-3</v>
      </c>
      <c r="F173">
        <v>1.9494899999999999E-3</v>
      </c>
      <c r="G173">
        <v>1.2942100000000001E-3</v>
      </c>
      <c r="H173">
        <v>1.2783899999999999E-3</v>
      </c>
      <c r="I173">
        <v>1.2330900000000001E-3</v>
      </c>
      <c r="J173">
        <v>1.21149E-3</v>
      </c>
      <c r="K173">
        <v>1.19225E-3</v>
      </c>
      <c r="L173">
        <v>1.1778699999999999E-3</v>
      </c>
      <c r="M173">
        <v>1.1686000000000001E-3</v>
      </c>
      <c r="N173">
        <v>1.16182E-3</v>
      </c>
      <c r="O173">
        <v>0</v>
      </c>
      <c r="P173">
        <v>0</v>
      </c>
      <c r="Q173">
        <v>0</v>
      </c>
      <c r="R173" t="s">
        <v>243</v>
      </c>
    </row>
    <row r="174" spans="1:18" x14ac:dyDescent="0.3">
      <c r="A174" t="s">
        <v>259</v>
      </c>
      <c r="B174" t="s">
        <v>354</v>
      </c>
      <c r="C174" t="s">
        <v>368</v>
      </c>
      <c r="D174" s="8">
        <v>5.1121499999999998E-4</v>
      </c>
      <c r="E174">
        <v>2.0935099999999998E-3</v>
      </c>
      <c r="F174">
        <v>1.80561E-3</v>
      </c>
      <c r="G174">
        <v>1.2113099999999999E-3</v>
      </c>
      <c r="H174">
        <v>1.2001900000000001E-3</v>
      </c>
      <c r="I174">
        <v>1.14981E-3</v>
      </c>
      <c r="J174">
        <v>1.12838E-3</v>
      </c>
      <c r="K174">
        <v>1.1143399999999999E-3</v>
      </c>
      <c r="L174">
        <v>1.1042700000000001E-3</v>
      </c>
      <c r="M174">
        <v>1.0958700000000001E-3</v>
      </c>
      <c r="N174">
        <v>1.08647E-3</v>
      </c>
      <c r="O174">
        <v>0</v>
      </c>
      <c r="P174">
        <v>0</v>
      </c>
      <c r="Q174">
        <v>0</v>
      </c>
      <c r="R174" t="s">
        <v>243</v>
      </c>
    </row>
    <row r="175" spans="1:18" x14ac:dyDescent="0.3">
      <c r="A175" t="s">
        <v>259</v>
      </c>
      <c r="B175" t="s">
        <v>354</v>
      </c>
      <c r="C175" t="s">
        <v>369</v>
      </c>
      <c r="D175" s="8">
        <v>4.8379199999999998E-4</v>
      </c>
      <c r="E175">
        <v>1.92745E-3</v>
      </c>
      <c r="F175">
        <v>1.6972000000000001E-3</v>
      </c>
      <c r="G175">
        <v>1.1544000000000001E-3</v>
      </c>
      <c r="H175">
        <v>1.14624E-3</v>
      </c>
      <c r="I175">
        <v>1.1011899999999999E-3</v>
      </c>
      <c r="J175">
        <v>1.0810800000000001E-3</v>
      </c>
      <c r="K175">
        <v>1.06628E-3</v>
      </c>
      <c r="L175">
        <v>1.05429E-3</v>
      </c>
      <c r="M175">
        <v>1.0420099999999999E-3</v>
      </c>
      <c r="N175">
        <v>1.03264E-3</v>
      </c>
      <c r="O175">
        <v>0</v>
      </c>
      <c r="P175">
        <v>0</v>
      </c>
      <c r="Q175">
        <v>0</v>
      </c>
      <c r="R175" t="s">
        <v>243</v>
      </c>
    </row>
    <row r="176" spans="1:18" x14ac:dyDescent="0.3">
      <c r="A176" t="s">
        <v>259</v>
      </c>
      <c r="B176" t="s">
        <v>354</v>
      </c>
      <c r="C176" t="s">
        <v>370</v>
      </c>
      <c r="D176" s="8">
        <v>4.6061600000000001E-4</v>
      </c>
      <c r="E176">
        <v>1.8123E-3</v>
      </c>
      <c r="F176">
        <v>1.6061000000000001E-3</v>
      </c>
      <c r="G176">
        <v>1.10559E-3</v>
      </c>
      <c r="H176">
        <v>1.10311E-3</v>
      </c>
      <c r="I176">
        <v>1.0592399999999999E-3</v>
      </c>
      <c r="J176">
        <v>1.0400800000000001E-3</v>
      </c>
      <c r="K176">
        <v>1.02148E-3</v>
      </c>
      <c r="L176">
        <v>1.00775E-3</v>
      </c>
      <c r="M176" s="8">
        <v>9.988690000000001E-4</v>
      </c>
      <c r="N176" s="8">
        <v>9.8850700000000001E-4</v>
      </c>
      <c r="O176">
        <v>0</v>
      </c>
      <c r="P176">
        <v>0</v>
      </c>
      <c r="Q176">
        <v>0</v>
      </c>
      <c r="R176" t="s">
        <v>243</v>
      </c>
    </row>
    <row r="177" spans="1:18" x14ac:dyDescent="0.3">
      <c r="A177" t="s">
        <v>259</v>
      </c>
      <c r="B177" t="s">
        <v>354</v>
      </c>
      <c r="C177" t="s">
        <v>371</v>
      </c>
      <c r="D177" s="8">
        <v>4.3870299999999998E-4</v>
      </c>
      <c r="E177">
        <v>1.70583E-3</v>
      </c>
      <c r="F177">
        <v>1.5311999999999999E-3</v>
      </c>
      <c r="G177">
        <v>1.0514700000000001E-3</v>
      </c>
      <c r="H177">
        <v>1.04981E-3</v>
      </c>
      <c r="I177">
        <v>1.00556E-3</v>
      </c>
      <c r="J177" s="8">
        <v>9.8283000000000008E-4</v>
      </c>
      <c r="K177" s="8">
        <v>9.6795699999999998E-4</v>
      </c>
      <c r="L177" s="8">
        <v>9.5533200000000003E-4</v>
      </c>
      <c r="M177" s="8">
        <v>9.4324100000000004E-4</v>
      </c>
      <c r="N177" s="8">
        <v>9.3408E-4</v>
      </c>
      <c r="O177">
        <v>0</v>
      </c>
      <c r="P177">
        <v>0</v>
      </c>
      <c r="Q177">
        <v>0</v>
      </c>
      <c r="R177" t="s">
        <v>243</v>
      </c>
    </row>
    <row r="178" spans="1:18" x14ac:dyDescent="0.3">
      <c r="A178" t="s">
        <v>259</v>
      </c>
      <c r="B178" t="s">
        <v>354</v>
      </c>
      <c r="C178" t="s">
        <v>372</v>
      </c>
      <c r="D178" s="8">
        <v>4.1681699999999999E-4</v>
      </c>
      <c r="E178">
        <v>1.59768E-3</v>
      </c>
      <c r="F178">
        <v>1.4520500000000001E-3</v>
      </c>
      <c r="G178" s="8">
        <v>9.959089999999999E-4</v>
      </c>
      <c r="H178" s="8">
        <v>9.9163399999999992E-4</v>
      </c>
      <c r="I178" s="8">
        <v>9.5183900000000001E-4</v>
      </c>
      <c r="J178" s="8">
        <v>9.3082799999999997E-4</v>
      </c>
      <c r="K178" s="8">
        <v>9.13381E-4</v>
      </c>
      <c r="L178" s="8">
        <v>9.0029300000000004E-4</v>
      </c>
      <c r="M178" s="8">
        <v>8.8878600000000002E-4</v>
      </c>
      <c r="N178" s="8">
        <v>8.7845499999999999E-4</v>
      </c>
      <c r="O178">
        <v>0</v>
      </c>
      <c r="P178">
        <v>0</v>
      </c>
      <c r="Q178">
        <v>0</v>
      </c>
      <c r="R178" t="s">
        <v>243</v>
      </c>
    </row>
    <row r="179" spans="1:18" x14ac:dyDescent="0.3">
      <c r="A179" t="s">
        <v>259</v>
      </c>
      <c r="B179" t="s">
        <v>354</v>
      </c>
      <c r="C179" t="s">
        <v>373</v>
      </c>
      <c r="D179" s="8">
        <v>3.9351000000000002E-4</v>
      </c>
      <c r="E179">
        <v>1.4857500000000001E-3</v>
      </c>
      <c r="F179">
        <v>1.3446E-3</v>
      </c>
      <c r="G179" s="8">
        <v>9.1967100000000005E-4</v>
      </c>
      <c r="H179" s="8">
        <v>9.0796500000000005E-4</v>
      </c>
      <c r="I179" s="8">
        <v>8.69869E-4</v>
      </c>
      <c r="J179" s="8">
        <v>8.5038900000000001E-4</v>
      </c>
      <c r="K179" s="8">
        <v>8.3456000000000003E-4</v>
      </c>
      <c r="L179" s="8">
        <v>8.2012399999999998E-4</v>
      </c>
      <c r="M179" s="8">
        <v>8.0901300000000003E-4</v>
      </c>
      <c r="N179" s="8">
        <v>7.9768799999999996E-4</v>
      </c>
      <c r="O179">
        <v>0</v>
      </c>
      <c r="P179">
        <v>0</v>
      </c>
      <c r="Q179">
        <v>0</v>
      </c>
      <c r="R179" t="s">
        <v>243</v>
      </c>
    </row>
    <row r="180" spans="1:18" x14ac:dyDescent="0.3">
      <c r="A180" t="s">
        <v>259</v>
      </c>
      <c r="B180" t="s">
        <v>354</v>
      </c>
      <c r="C180" t="s">
        <v>374</v>
      </c>
      <c r="D180" s="8">
        <v>3.67122E-4</v>
      </c>
      <c r="E180">
        <v>1.35341E-3</v>
      </c>
      <c r="F180">
        <v>1.19184E-3</v>
      </c>
      <c r="G180" s="8">
        <v>7.9709599999999996E-4</v>
      </c>
      <c r="H180" s="8">
        <v>7.7756699999999995E-4</v>
      </c>
      <c r="I180" s="8">
        <v>7.4236300000000001E-4</v>
      </c>
      <c r="J180" s="8">
        <v>7.2245100000000004E-4</v>
      </c>
      <c r="K180" s="8">
        <v>7.048E-4</v>
      </c>
      <c r="L180" s="8">
        <v>6.9109900000000003E-4</v>
      </c>
      <c r="M180" s="8">
        <v>6.7903899999999999E-4</v>
      </c>
      <c r="N180" s="8">
        <v>6.6850700000000004E-4</v>
      </c>
      <c r="O180">
        <v>0</v>
      </c>
      <c r="P180">
        <v>0</v>
      </c>
      <c r="Q180">
        <v>0</v>
      </c>
      <c r="R180" t="s">
        <v>243</v>
      </c>
    </row>
    <row r="181" spans="1:18" x14ac:dyDescent="0.3">
      <c r="A181" t="s">
        <v>259</v>
      </c>
      <c r="B181" t="s">
        <v>354</v>
      </c>
      <c r="C181" t="s">
        <v>375</v>
      </c>
      <c r="D181">
        <v>4.1294844999999998E-3</v>
      </c>
      <c r="E181">
        <v>3.1048828899999902E-3</v>
      </c>
      <c r="F181">
        <v>3.6675111299999999E-3</v>
      </c>
      <c r="G181">
        <v>3.4440891599999998E-3</v>
      </c>
      <c r="H181">
        <v>4.2335099600000004E-3</v>
      </c>
      <c r="I181">
        <v>3.4983813170000001E-3</v>
      </c>
      <c r="J181">
        <v>3.7574326499999998E-3</v>
      </c>
      <c r="K181">
        <v>3.9513778499999999E-3</v>
      </c>
      <c r="L181">
        <v>4.1018564899999999E-3</v>
      </c>
      <c r="M181">
        <v>4.2509805899999999E-3</v>
      </c>
      <c r="N181">
        <v>4.3725770199999998E-3</v>
      </c>
      <c r="O181">
        <v>0</v>
      </c>
      <c r="P181">
        <v>0</v>
      </c>
      <c r="Q181">
        <v>0</v>
      </c>
      <c r="R181" t="s">
        <v>243</v>
      </c>
    </row>
    <row r="182" spans="1:18" x14ac:dyDescent="0.3">
      <c r="A182" t="s">
        <v>259</v>
      </c>
      <c r="B182" t="s">
        <v>354</v>
      </c>
      <c r="C182" t="s">
        <v>376</v>
      </c>
      <c r="D182">
        <v>1.27682045E-2</v>
      </c>
      <c r="E182">
        <v>1.8512017450000001E-2</v>
      </c>
      <c r="F182">
        <v>1.8039732499999999E-2</v>
      </c>
      <c r="G182">
        <v>1.7217080699999901E-2</v>
      </c>
      <c r="H182">
        <v>1.58892871E-2</v>
      </c>
      <c r="I182">
        <v>1.480627122E-2</v>
      </c>
      <c r="J182">
        <v>1.4020862199999999E-2</v>
      </c>
      <c r="K182">
        <v>1.3393086199999999E-2</v>
      </c>
      <c r="L182">
        <v>1.28166498E-2</v>
      </c>
      <c r="M182">
        <v>1.2267281790000001E-2</v>
      </c>
      <c r="N182">
        <v>1.17303714899999E-2</v>
      </c>
      <c r="O182">
        <v>0</v>
      </c>
      <c r="P182">
        <v>0</v>
      </c>
      <c r="Q182">
        <v>0</v>
      </c>
      <c r="R182" t="s">
        <v>243</v>
      </c>
    </row>
    <row r="183" spans="1:18" x14ac:dyDescent="0.3">
      <c r="A183" t="s">
        <v>259</v>
      </c>
      <c r="B183" t="s">
        <v>354</v>
      </c>
      <c r="C183" t="s">
        <v>377</v>
      </c>
      <c r="D183">
        <v>6.0964137E-3</v>
      </c>
      <c r="E183">
        <v>5.3460977399999998E-3</v>
      </c>
      <c r="F183">
        <v>5.8864549E-3</v>
      </c>
      <c r="G183">
        <v>5.7070145700000002E-3</v>
      </c>
      <c r="H183">
        <v>5.5047378000000003E-3</v>
      </c>
      <c r="I183">
        <v>5.4935282289999996E-3</v>
      </c>
      <c r="J183">
        <v>5.6660161299999998E-3</v>
      </c>
      <c r="K183">
        <v>5.7470670099999998E-3</v>
      </c>
      <c r="L183">
        <v>5.7816134199999997E-3</v>
      </c>
      <c r="M183">
        <v>5.8974735699999998E-3</v>
      </c>
      <c r="N183">
        <v>6.0196047500000001E-3</v>
      </c>
      <c r="O183">
        <v>0</v>
      </c>
      <c r="P183">
        <v>0</v>
      </c>
      <c r="Q183">
        <v>0</v>
      </c>
      <c r="R183" t="s">
        <v>243</v>
      </c>
    </row>
    <row r="184" spans="1:18" x14ac:dyDescent="0.3">
      <c r="A184" t="s">
        <v>259</v>
      </c>
      <c r="B184" t="s">
        <v>354</v>
      </c>
      <c r="C184" t="s">
        <v>378</v>
      </c>
      <c r="D184">
        <v>7.1539639999999996E-3</v>
      </c>
      <c r="E184">
        <v>6.7836860099999997E-3</v>
      </c>
      <c r="F184">
        <v>7.2232689600000002E-3</v>
      </c>
      <c r="G184">
        <v>6.8902299100000002E-3</v>
      </c>
      <c r="H184">
        <v>6.6824293800000004E-3</v>
      </c>
      <c r="I184">
        <v>6.4885157369999899E-3</v>
      </c>
      <c r="J184">
        <v>6.61315292999999E-3</v>
      </c>
      <c r="K184">
        <v>6.73749989E-3</v>
      </c>
      <c r="L184">
        <v>6.8017267199999999E-3</v>
      </c>
      <c r="M184">
        <v>6.8964466199999998E-3</v>
      </c>
      <c r="N184">
        <v>6.9398852399999997E-3</v>
      </c>
      <c r="O184">
        <v>0</v>
      </c>
      <c r="P184">
        <v>0</v>
      </c>
      <c r="Q184">
        <v>0</v>
      </c>
      <c r="R184" t="s">
        <v>243</v>
      </c>
    </row>
    <row r="185" spans="1:18" x14ac:dyDescent="0.3">
      <c r="A185" t="s">
        <v>259</v>
      </c>
      <c r="B185" t="s">
        <v>354</v>
      </c>
      <c r="C185" t="s">
        <v>379</v>
      </c>
      <c r="D185">
        <v>7.9723716E-3</v>
      </c>
      <c r="E185">
        <v>8.2259322899999997E-3</v>
      </c>
      <c r="F185">
        <v>8.3940146100000002E-3</v>
      </c>
      <c r="G185">
        <v>7.8046065599999999E-3</v>
      </c>
      <c r="H185">
        <v>7.5942943000000002E-3</v>
      </c>
      <c r="I185">
        <v>7.3923876269999999E-3</v>
      </c>
      <c r="J185">
        <v>7.4887607799999896E-3</v>
      </c>
      <c r="K185">
        <v>7.56593526E-3</v>
      </c>
      <c r="L185">
        <v>7.5633338600000002E-3</v>
      </c>
      <c r="M185">
        <v>7.5547288699999897E-3</v>
      </c>
      <c r="N185">
        <v>7.5561176200000003E-3</v>
      </c>
      <c r="O185">
        <v>0</v>
      </c>
      <c r="P185">
        <v>0</v>
      </c>
      <c r="Q185">
        <v>0</v>
      </c>
      <c r="R185" t="s">
        <v>243</v>
      </c>
    </row>
    <row r="186" spans="1:18" x14ac:dyDescent="0.3">
      <c r="A186" t="s">
        <v>259</v>
      </c>
      <c r="B186" t="s">
        <v>354</v>
      </c>
      <c r="C186" t="s">
        <v>380</v>
      </c>
      <c r="D186">
        <v>8.7017450999999999E-3</v>
      </c>
      <c r="E186">
        <v>9.3898496399999996E-3</v>
      </c>
      <c r="F186">
        <v>9.4876843000000002E-3</v>
      </c>
      <c r="G186">
        <v>8.6536583600000001E-3</v>
      </c>
      <c r="H186">
        <v>8.5086970800000005E-3</v>
      </c>
      <c r="I186">
        <v>8.2321148869999999E-3</v>
      </c>
      <c r="J186">
        <v>8.2891788399999996E-3</v>
      </c>
      <c r="K186">
        <v>8.2494131599999999E-3</v>
      </c>
      <c r="L186">
        <v>8.1745640099999996E-3</v>
      </c>
      <c r="M186">
        <v>8.1816837599999904E-3</v>
      </c>
      <c r="N186">
        <v>8.1185457799999999E-3</v>
      </c>
      <c r="O186">
        <v>0</v>
      </c>
      <c r="P186">
        <v>0</v>
      </c>
      <c r="Q186">
        <v>0</v>
      </c>
      <c r="R186" t="s">
        <v>243</v>
      </c>
    </row>
    <row r="187" spans="1:18" x14ac:dyDescent="0.3">
      <c r="A187" t="s">
        <v>259</v>
      </c>
      <c r="B187" t="s">
        <v>354</v>
      </c>
      <c r="C187" t="s">
        <v>381</v>
      </c>
      <c r="D187">
        <v>9.4148628999999994E-3</v>
      </c>
      <c r="E187">
        <v>1.0588923809999999E-2</v>
      </c>
      <c r="F187">
        <v>1.04584323999999E-2</v>
      </c>
      <c r="G187">
        <v>9.66009013E-3</v>
      </c>
      <c r="H187">
        <v>9.4804187100000006E-3</v>
      </c>
      <c r="I187">
        <v>9.0712853869999999E-3</v>
      </c>
      <c r="J187">
        <v>8.9748237800000002E-3</v>
      </c>
      <c r="K187">
        <v>8.9509885500000004E-3</v>
      </c>
      <c r="L187">
        <v>8.8440910099999992E-3</v>
      </c>
      <c r="M187">
        <v>8.7367803599999998E-3</v>
      </c>
      <c r="N187">
        <v>8.6403896399999992E-3</v>
      </c>
      <c r="O187">
        <v>0</v>
      </c>
      <c r="P187">
        <v>0</v>
      </c>
      <c r="Q187">
        <v>0</v>
      </c>
      <c r="R187" t="s">
        <v>243</v>
      </c>
    </row>
    <row r="188" spans="1:18" x14ac:dyDescent="0.3">
      <c r="A188" t="s">
        <v>259</v>
      </c>
      <c r="B188" t="s">
        <v>354</v>
      </c>
      <c r="C188" t="s">
        <v>382</v>
      </c>
      <c r="D188">
        <v>1.01404989999999E-2</v>
      </c>
      <c r="E188">
        <v>1.192236298E-2</v>
      </c>
      <c r="F188">
        <v>1.15457444E-2</v>
      </c>
      <c r="G188">
        <v>1.0753868180000001E-2</v>
      </c>
      <c r="H188">
        <v>1.044315149E-2</v>
      </c>
      <c r="I188">
        <v>9.9951656959999993E-3</v>
      </c>
      <c r="J188">
        <v>9.8346618E-3</v>
      </c>
      <c r="K188">
        <v>9.6784867400000005E-3</v>
      </c>
      <c r="L188">
        <v>9.4985189299999998E-3</v>
      </c>
      <c r="M188">
        <v>9.3360727799999994E-3</v>
      </c>
      <c r="N188">
        <v>9.1545184699999994E-3</v>
      </c>
      <c r="O188">
        <v>0</v>
      </c>
      <c r="P188">
        <v>0</v>
      </c>
      <c r="Q188">
        <v>0</v>
      </c>
      <c r="R188" t="s">
        <v>243</v>
      </c>
    </row>
    <row r="189" spans="1:18" x14ac:dyDescent="0.3">
      <c r="A189" t="s">
        <v>259</v>
      </c>
      <c r="B189" t="s">
        <v>354</v>
      </c>
      <c r="C189" t="s">
        <v>383</v>
      </c>
      <c r="D189">
        <v>1.0915333899999999E-2</v>
      </c>
      <c r="E189">
        <v>1.340748862E-2</v>
      </c>
      <c r="F189">
        <v>1.3098848600000001E-2</v>
      </c>
      <c r="G189">
        <v>1.23241510899999E-2</v>
      </c>
      <c r="H189">
        <v>1.1690386400000001E-2</v>
      </c>
      <c r="I189">
        <v>1.1075925017000001E-2</v>
      </c>
      <c r="J189">
        <v>1.08015439E-2</v>
      </c>
      <c r="K189">
        <v>1.056737428E-2</v>
      </c>
      <c r="L189">
        <v>1.026420275E-2</v>
      </c>
      <c r="M189">
        <v>1.0018065499999999E-2</v>
      </c>
      <c r="N189">
        <v>9.7321426099999993E-3</v>
      </c>
      <c r="O189">
        <v>0</v>
      </c>
      <c r="P189">
        <v>0</v>
      </c>
      <c r="Q189">
        <v>0</v>
      </c>
      <c r="R189" t="s">
        <v>243</v>
      </c>
    </row>
    <row r="190" spans="1:18" x14ac:dyDescent="0.3">
      <c r="A190" t="s">
        <v>259</v>
      </c>
      <c r="B190" t="s">
        <v>354</v>
      </c>
      <c r="C190" t="s">
        <v>384</v>
      </c>
      <c r="D190">
        <v>1.17770128E-2</v>
      </c>
      <c r="E190">
        <v>1.525432369E-2</v>
      </c>
      <c r="F190">
        <v>1.5363587200000001E-2</v>
      </c>
      <c r="G190">
        <v>1.4870821399999999E-2</v>
      </c>
      <c r="H190">
        <v>1.374948845E-2</v>
      </c>
      <c r="I190">
        <v>1.2839684677E-2</v>
      </c>
      <c r="J190">
        <v>1.2274483699999899E-2</v>
      </c>
      <c r="K190">
        <v>1.1789047299999999E-2</v>
      </c>
      <c r="L190">
        <v>1.134486388E-2</v>
      </c>
      <c r="M190">
        <v>1.0929272510000001E-2</v>
      </c>
      <c r="N190">
        <v>1.052740867E-2</v>
      </c>
      <c r="O190">
        <v>0</v>
      </c>
      <c r="P190">
        <v>0</v>
      </c>
      <c r="Q190">
        <v>0</v>
      </c>
      <c r="R190" t="s">
        <v>243</v>
      </c>
    </row>
    <row r="191" spans="1:18" x14ac:dyDescent="0.3">
      <c r="A191" t="s">
        <v>259</v>
      </c>
      <c r="B191" t="s">
        <v>354</v>
      </c>
      <c r="C191" t="s">
        <v>385</v>
      </c>
      <c r="D191" s="8">
        <v>3.8411100000000002E-4</v>
      </c>
      <c r="E191">
        <v>1.66052E-3</v>
      </c>
      <c r="F191">
        <v>1.3629499999999999E-3</v>
      </c>
      <c r="G191" s="8">
        <v>9.0179599999999996E-4</v>
      </c>
      <c r="H191" s="8">
        <v>9.4547700000000001E-4</v>
      </c>
      <c r="I191" s="8">
        <v>7.9198599999999995E-4</v>
      </c>
      <c r="J191" s="8">
        <v>6.7100199999999997E-4</v>
      </c>
      <c r="K191" s="8">
        <v>6.5724999999999996E-4</v>
      </c>
      <c r="L191" s="8">
        <v>6.4478300000000001E-4</v>
      </c>
      <c r="M191" s="8">
        <v>6.3360999999999995E-4</v>
      </c>
      <c r="N191" s="8">
        <v>6.2268899999999995E-4</v>
      </c>
      <c r="O191">
        <v>0</v>
      </c>
      <c r="P191">
        <v>0</v>
      </c>
      <c r="Q191">
        <v>0</v>
      </c>
      <c r="R191" t="s">
        <v>243</v>
      </c>
    </row>
    <row r="192" spans="1:18" x14ac:dyDescent="0.3">
      <c r="A192" t="s">
        <v>259</v>
      </c>
      <c r="B192" t="s">
        <v>354</v>
      </c>
      <c r="C192" t="s">
        <v>386</v>
      </c>
      <c r="D192" s="8">
        <v>2.0190599999999999E-4</v>
      </c>
      <c r="E192" s="8">
        <v>6.7655799999999996E-4</v>
      </c>
      <c r="F192" s="8">
        <v>6.0247000000000002E-4</v>
      </c>
      <c r="G192" s="8">
        <v>4.0562299999999998E-4</v>
      </c>
      <c r="H192" s="8">
        <v>3.9505200000000001E-4</v>
      </c>
      <c r="I192" s="8">
        <v>3.78594E-4</v>
      </c>
      <c r="J192" s="8">
        <v>3.6891499999999999E-4</v>
      </c>
      <c r="K192" s="8">
        <v>3.6089599999999998E-4</v>
      </c>
      <c r="L192" s="8">
        <v>3.5431200000000002E-4</v>
      </c>
      <c r="M192" s="8">
        <v>3.4852499999999997E-4</v>
      </c>
      <c r="N192" s="8">
        <v>3.43104E-4</v>
      </c>
      <c r="O192">
        <v>0</v>
      </c>
      <c r="P192">
        <v>0</v>
      </c>
      <c r="Q192">
        <v>0</v>
      </c>
      <c r="R192" t="s">
        <v>243</v>
      </c>
    </row>
    <row r="193" spans="1:18" x14ac:dyDescent="0.3">
      <c r="A193" t="s">
        <v>259</v>
      </c>
      <c r="B193" t="s">
        <v>354</v>
      </c>
      <c r="C193" t="s">
        <v>387</v>
      </c>
      <c r="D193" s="8">
        <v>3.3136199999999998E-4</v>
      </c>
      <c r="E193">
        <v>1.3816799999999999E-3</v>
      </c>
      <c r="F193">
        <v>1.17381E-3</v>
      </c>
      <c r="G193" s="8">
        <v>7.7963100000000003E-4</v>
      </c>
      <c r="H193" s="8">
        <v>7.7010000000000002E-4</v>
      </c>
      <c r="I193" s="8">
        <v>7.4281499999999997E-4</v>
      </c>
      <c r="J193" s="8">
        <v>6.7781299999999998E-4</v>
      </c>
      <c r="K193" s="8">
        <v>6.6304600000000003E-4</v>
      </c>
      <c r="L193" s="8">
        <v>6.4986500000000001E-4</v>
      </c>
      <c r="M193" s="8">
        <v>6.3829299999999996E-4</v>
      </c>
      <c r="N193" s="8">
        <v>6.2715399999999999E-4</v>
      </c>
      <c r="O193">
        <v>0</v>
      </c>
      <c r="P193">
        <v>0</v>
      </c>
      <c r="Q193">
        <v>0</v>
      </c>
      <c r="R193" t="s">
        <v>243</v>
      </c>
    </row>
    <row r="194" spans="1:18" x14ac:dyDescent="0.3">
      <c r="A194" t="s">
        <v>259</v>
      </c>
      <c r="B194" t="s">
        <v>354</v>
      </c>
      <c r="C194" t="s">
        <v>388</v>
      </c>
      <c r="D194" s="8">
        <v>3.0829099999999998E-4</v>
      </c>
      <c r="E194">
        <v>1.2615199999999999E-3</v>
      </c>
      <c r="F194">
        <v>1.08881E-3</v>
      </c>
      <c r="G194" s="8">
        <v>7.3061600000000001E-4</v>
      </c>
      <c r="H194" s="8">
        <v>7.2391000000000003E-4</v>
      </c>
      <c r="I194" s="8">
        <v>6.9351999999999999E-4</v>
      </c>
      <c r="J194" s="8">
        <v>6.8059700000000002E-4</v>
      </c>
      <c r="K194" s="8">
        <v>6.6740699999999996E-4</v>
      </c>
      <c r="L194" s="8">
        <v>6.54271E-4</v>
      </c>
      <c r="M194" s="8">
        <v>6.42586E-4</v>
      </c>
      <c r="N194" s="8">
        <v>6.3115700000000003E-4</v>
      </c>
      <c r="O194">
        <v>0</v>
      </c>
      <c r="P194">
        <v>0</v>
      </c>
      <c r="Q194">
        <v>0</v>
      </c>
      <c r="R194" t="s">
        <v>243</v>
      </c>
    </row>
    <row r="195" spans="1:18" x14ac:dyDescent="0.3">
      <c r="A195" t="s">
        <v>259</v>
      </c>
      <c r="B195" t="s">
        <v>354</v>
      </c>
      <c r="C195" t="s">
        <v>389</v>
      </c>
      <c r="D195" s="8">
        <v>2.9188100000000002E-4</v>
      </c>
      <c r="E195">
        <v>1.16362E-3</v>
      </c>
      <c r="F195">
        <v>1.0243299999999999E-3</v>
      </c>
      <c r="G195" s="8">
        <v>6.9675599999999998E-4</v>
      </c>
      <c r="H195" s="8">
        <v>6.9183000000000005E-4</v>
      </c>
      <c r="I195" s="8">
        <v>6.6463899999999996E-4</v>
      </c>
      <c r="J195" s="8">
        <v>6.5249899999999996E-4</v>
      </c>
      <c r="K195" s="8">
        <v>6.4356799999999996E-4</v>
      </c>
      <c r="L195" s="8">
        <v>6.3633099999999996E-4</v>
      </c>
      <c r="M195" s="8">
        <v>6.28917E-4</v>
      </c>
      <c r="N195" s="8">
        <v>6.2326500000000002E-4</v>
      </c>
      <c r="O195">
        <v>0</v>
      </c>
      <c r="P195">
        <v>0</v>
      </c>
      <c r="Q195">
        <v>0</v>
      </c>
      <c r="R195" t="s">
        <v>243</v>
      </c>
    </row>
    <row r="196" spans="1:18" x14ac:dyDescent="0.3">
      <c r="A196" t="s">
        <v>259</v>
      </c>
      <c r="B196" t="s">
        <v>354</v>
      </c>
      <c r="C196" t="s">
        <v>390</v>
      </c>
      <c r="D196" s="8">
        <v>2.7794499999999998E-4</v>
      </c>
      <c r="E196">
        <v>1.0953200000000001E-3</v>
      </c>
      <c r="F196" s="8">
        <v>9.6986999999999996E-4</v>
      </c>
      <c r="G196" s="8">
        <v>6.6758599999999996E-4</v>
      </c>
      <c r="H196" s="8">
        <v>6.6609000000000004E-4</v>
      </c>
      <c r="I196" s="8">
        <v>6.39597E-4</v>
      </c>
      <c r="J196" s="8">
        <v>6.28029E-4</v>
      </c>
      <c r="K196" s="8">
        <v>6.1679699999999998E-4</v>
      </c>
      <c r="L196" s="8">
        <v>6.0851000000000004E-4</v>
      </c>
      <c r="M196" s="8">
        <v>6.0314600000000004E-4</v>
      </c>
      <c r="N196" s="8">
        <v>5.9688899999999997E-4</v>
      </c>
      <c r="O196">
        <v>0</v>
      </c>
      <c r="P196">
        <v>0</v>
      </c>
      <c r="Q196">
        <v>0</v>
      </c>
      <c r="R196" t="s">
        <v>243</v>
      </c>
    </row>
    <row r="197" spans="1:18" x14ac:dyDescent="0.3">
      <c r="A197" t="s">
        <v>259</v>
      </c>
      <c r="B197" t="s">
        <v>354</v>
      </c>
      <c r="C197" t="s">
        <v>391</v>
      </c>
      <c r="D197" s="8">
        <v>2.6473799999999999E-4</v>
      </c>
      <c r="E197">
        <v>1.0318300000000001E-3</v>
      </c>
      <c r="F197" s="8">
        <v>9.2490400000000005E-4</v>
      </c>
      <c r="G197" s="8">
        <v>6.3510200000000002E-4</v>
      </c>
      <c r="H197" s="8">
        <v>6.3410300000000001E-4</v>
      </c>
      <c r="I197" s="8">
        <v>6.07378E-4</v>
      </c>
      <c r="J197" s="8">
        <v>5.9364599999999997E-4</v>
      </c>
      <c r="K197" s="8">
        <v>5.8466200000000001E-4</v>
      </c>
      <c r="L197" s="8">
        <v>5.7703599999999996E-4</v>
      </c>
      <c r="M197" s="8">
        <v>5.6973400000000002E-4</v>
      </c>
      <c r="N197" s="8">
        <v>5.6420000000000005E-4</v>
      </c>
      <c r="O197">
        <v>0</v>
      </c>
      <c r="P197">
        <v>0</v>
      </c>
      <c r="Q197">
        <v>0</v>
      </c>
      <c r="R197" t="s">
        <v>243</v>
      </c>
    </row>
    <row r="198" spans="1:18" x14ac:dyDescent="0.3">
      <c r="A198" t="s">
        <v>259</v>
      </c>
      <c r="B198" t="s">
        <v>354</v>
      </c>
      <c r="C198" t="s">
        <v>392</v>
      </c>
      <c r="D198" s="8">
        <v>2.5150500000000001E-4</v>
      </c>
      <c r="E198" s="8">
        <v>9.6705300000000005E-4</v>
      </c>
      <c r="F198" s="8">
        <v>8.7721900000000005E-4</v>
      </c>
      <c r="G198" s="8">
        <v>6.0162099999999999E-4</v>
      </c>
      <c r="H198" s="8">
        <v>5.9903799999999998E-4</v>
      </c>
      <c r="I198" s="8">
        <v>5.7499799999999996E-4</v>
      </c>
      <c r="J198" s="8">
        <v>5.6230600000000005E-4</v>
      </c>
      <c r="K198" s="8">
        <v>5.5176599999999998E-4</v>
      </c>
      <c r="L198" s="8">
        <v>5.4385999999999996E-4</v>
      </c>
      <c r="M198" s="8">
        <v>5.3690900000000002E-4</v>
      </c>
      <c r="N198" s="8">
        <v>5.3066799999999998E-4</v>
      </c>
      <c r="O198">
        <v>0</v>
      </c>
      <c r="P198">
        <v>0</v>
      </c>
      <c r="Q198">
        <v>0</v>
      </c>
      <c r="R198" t="s">
        <v>243</v>
      </c>
    </row>
    <row r="199" spans="1:18" x14ac:dyDescent="0.3">
      <c r="A199" t="s">
        <v>259</v>
      </c>
      <c r="B199" t="s">
        <v>354</v>
      </c>
      <c r="C199" t="s">
        <v>393</v>
      </c>
      <c r="D199" s="8">
        <v>2.3736800000000001E-4</v>
      </c>
      <c r="E199" s="8">
        <v>8.9969799999999999E-4</v>
      </c>
      <c r="F199" s="8">
        <v>8.1221199999999998E-4</v>
      </c>
      <c r="G199" s="8">
        <v>5.5546100000000004E-4</v>
      </c>
      <c r="H199" s="8">
        <v>5.4839099999999996E-4</v>
      </c>
      <c r="I199" s="8">
        <v>5.2538200000000002E-4</v>
      </c>
      <c r="J199" s="8">
        <v>5.1361699999999996E-4</v>
      </c>
      <c r="K199" s="8">
        <v>5.0405600000000001E-4</v>
      </c>
      <c r="L199" s="8">
        <v>4.9533699999999999E-4</v>
      </c>
      <c r="M199" s="8">
        <v>4.8862700000000005E-4</v>
      </c>
      <c r="N199" s="8">
        <v>4.81786E-4</v>
      </c>
      <c r="O199">
        <v>0</v>
      </c>
      <c r="P199">
        <v>0</v>
      </c>
      <c r="Q199">
        <v>0</v>
      </c>
      <c r="R199" t="s">
        <v>243</v>
      </c>
    </row>
    <row r="200" spans="1:18" x14ac:dyDescent="0.3">
      <c r="A200" t="s">
        <v>259</v>
      </c>
      <c r="B200" t="s">
        <v>354</v>
      </c>
      <c r="C200" t="s">
        <v>394</v>
      </c>
      <c r="D200" s="8">
        <v>2.2130899999999999E-4</v>
      </c>
      <c r="E200" s="8">
        <v>8.1965399999999996E-4</v>
      </c>
      <c r="F200" s="8">
        <v>7.19281E-4</v>
      </c>
      <c r="G200" s="8">
        <v>4.8077500000000002E-4</v>
      </c>
      <c r="H200" s="8">
        <v>4.6899600000000001E-4</v>
      </c>
      <c r="I200" s="8">
        <v>4.47763E-4</v>
      </c>
      <c r="J200" s="8">
        <v>4.3575299999999999E-4</v>
      </c>
      <c r="K200" s="8">
        <v>4.2510600000000002E-4</v>
      </c>
      <c r="L200" s="8">
        <v>4.1684300000000002E-4</v>
      </c>
      <c r="M200" s="8">
        <v>4.0956800000000002E-4</v>
      </c>
      <c r="N200" s="8">
        <v>4.0321600000000002E-4</v>
      </c>
      <c r="O200">
        <v>0</v>
      </c>
      <c r="P200">
        <v>0</v>
      </c>
      <c r="Q200">
        <v>0</v>
      </c>
      <c r="R200" t="s">
        <v>243</v>
      </c>
    </row>
    <row r="201" spans="1:18" x14ac:dyDescent="0.3">
      <c r="A201" t="s">
        <v>259</v>
      </c>
      <c r="B201" t="s">
        <v>354</v>
      </c>
      <c r="C201" t="s">
        <v>395</v>
      </c>
      <c r="D201">
        <v>1.08986E-2</v>
      </c>
      <c r="E201">
        <v>3.2856299999999999E-3</v>
      </c>
      <c r="F201">
        <v>2.47664E-3</v>
      </c>
      <c r="G201">
        <v>1.31467E-3</v>
      </c>
      <c r="H201">
        <v>1.4002400000000001E-3</v>
      </c>
      <c r="I201">
        <v>1.26252E-3</v>
      </c>
      <c r="J201">
        <v>1.24895E-3</v>
      </c>
      <c r="K201">
        <v>1.2411900000000001E-3</v>
      </c>
      <c r="L201">
        <v>1.2368699999999999E-3</v>
      </c>
      <c r="M201">
        <v>1.2300499999999999E-3</v>
      </c>
      <c r="N201">
        <v>1.2216900000000001E-3</v>
      </c>
      <c r="O201">
        <v>0</v>
      </c>
      <c r="P201">
        <v>0</v>
      </c>
      <c r="Q201">
        <v>0</v>
      </c>
      <c r="R201" t="s">
        <v>243</v>
      </c>
    </row>
    <row r="202" spans="1:18" x14ac:dyDescent="0.3">
      <c r="A202" t="s">
        <v>259</v>
      </c>
      <c r="B202" t="s">
        <v>354</v>
      </c>
      <c r="C202" t="s">
        <v>396</v>
      </c>
      <c r="D202">
        <v>1.34465E-3</v>
      </c>
      <c r="E202" s="8">
        <v>1.8542100000000001E-4</v>
      </c>
      <c r="F202" s="8">
        <v>1.6827199999999999E-4</v>
      </c>
      <c r="G202" s="8">
        <v>8.69628E-5</v>
      </c>
      <c r="H202" s="8">
        <v>8.4696499999999998E-5</v>
      </c>
      <c r="I202" s="8">
        <v>8.1167899999999999E-5</v>
      </c>
      <c r="J202" s="8">
        <v>1.2196E-5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243</v>
      </c>
    </row>
    <row r="203" spans="1:18" x14ac:dyDescent="0.3">
      <c r="A203" t="s">
        <v>259</v>
      </c>
      <c r="B203" t="s">
        <v>354</v>
      </c>
      <c r="C203" t="s">
        <v>397</v>
      </c>
      <c r="D203">
        <v>6.5338100000000001E-3</v>
      </c>
      <c r="E203">
        <v>1.7552799999999999E-3</v>
      </c>
      <c r="F203">
        <v>1.4428799999999999E-3</v>
      </c>
      <c r="G203" s="8">
        <v>7.5207599999999996E-4</v>
      </c>
      <c r="H203" s="8">
        <v>7.4288100000000003E-4</v>
      </c>
      <c r="I203" s="8">
        <v>7.1655999999999998E-4</v>
      </c>
      <c r="J203" s="8">
        <v>7.0400499999999995E-4</v>
      </c>
      <c r="K203" s="8">
        <v>6.9282800000000004E-4</v>
      </c>
      <c r="L203" s="8">
        <v>6.8446800000000003E-4</v>
      </c>
      <c r="M203" s="8">
        <v>6.7908300000000003E-4</v>
      </c>
      <c r="N203" s="8">
        <v>6.7514300000000001E-4</v>
      </c>
      <c r="O203">
        <v>0</v>
      </c>
      <c r="P203">
        <v>0</v>
      </c>
      <c r="Q203">
        <v>0</v>
      </c>
      <c r="R203" t="s">
        <v>243</v>
      </c>
    </row>
    <row r="204" spans="1:18" x14ac:dyDescent="0.3">
      <c r="A204" t="s">
        <v>259</v>
      </c>
      <c r="B204" t="s">
        <v>354</v>
      </c>
      <c r="C204" t="s">
        <v>398</v>
      </c>
      <c r="D204">
        <v>5.1293900000000002E-3</v>
      </c>
      <c r="E204">
        <v>1.2973500000000001E-3</v>
      </c>
      <c r="F204">
        <v>1.11111E-3</v>
      </c>
      <c r="G204" s="8">
        <v>5.9394000000000005E-4</v>
      </c>
      <c r="H204" s="8">
        <v>5.8848799999999997E-4</v>
      </c>
      <c r="I204" s="8">
        <v>5.6378299999999999E-4</v>
      </c>
      <c r="J204" s="8">
        <v>5.5327800000000004E-4</v>
      </c>
      <c r="K204" s="8">
        <v>5.4639300000000005E-4</v>
      </c>
      <c r="L204" s="8">
        <v>5.4145300000000001E-4</v>
      </c>
      <c r="M204" s="8">
        <v>5.37335E-4</v>
      </c>
      <c r="N204" s="8">
        <v>5.32728E-4</v>
      </c>
      <c r="O204">
        <v>0</v>
      </c>
      <c r="P204">
        <v>0</v>
      </c>
      <c r="Q204">
        <v>0</v>
      </c>
      <c r="R204" t="s">
        <v>243</v>
      </c>
    </row>
    <row r="205" spans="1:18" x14ac:dyDescent="0.3">
      <c r="A205" t="s">
        <v>259</v>
      </c>
      <c r="B205" t="s">
        <v>354</v>
      </c>
      <c r="C205" t="s">
        <v>399</v>
      </c>
      <c r="D205">
        <v>4.2826499999999998E-3</v>
      </c>
      <c r="E205" s="8">
        <v>9.9620799999999995E-4</v>
      </c>
      <c r="F205" s="8">
        <v>9.0270499999999996E-4</v>
      </c>
      <c r="G205" s="8">
        <v>5.0189099999999997E-4</v>
      </c>
      <c r="H205" s="8">
        <v>4.9834200000000003E-4</v>
      </c>
      <c r="I205" s="8">
        <v>4.7875599999999999E-4</v>
      </c>
      <c r="J205" s="8">
        <v>4.70011E-4</v>
      </c>
      <c r="K205" s="8">
        <v>4.6357800000000003E-4</v>
      </c>
      <c r="L205" s="8">
        <v>4.5836500000000002E-4</v>
      </c>
      <c r="M205" s="8">
        <v>4.53024E-4</v>
      </c>
      <c r="N205" s="8">
        <v>4.4895299999999998E-4</v>
      </c>
      <c r="O205">
        <v>0</v>
      </c>
      <c r="P205">
        <v>0</v>
      </c>
      <c r="Q205">
        <v>0</v>
      </c>
      <c r="R205" t="s">
        <v>243</v>
      </c>
    </row>
    <row r="206" spans="1:18" x14ac:dyDescent="0.3">
      <c r="A206" t="s">
        <v>259</v>
      </c>
      <c r="B206" t="s">
        <v>354</v>
      </c>
      <c r="C206" t="s">
        <v>400</v>
      </c>
      <c r="D206">
        <v>3.6526000000000002E-3</v>
      </c>
      <c r="E206" s="8">
        <v>8.1949699999999998E-4</v>
      </c>
      <c r="F206" s="8">
        <v>7.5188900000000005E-4</v>
      </c>
      <c r="G206" s="8">
        <v>4.3236700000000002E-4</v>
      </c>
      <c r="H206" s="8">
        <v>4.3139799999999999E-4</v>
      </c>
      <c r="I206" s="8">
        <v>4.1424000000000002E-4</v>
      </c>
      <c r="J206" s="8">
        <v>4.0674800000000002E-4</v>
      </c>
      <c r="K206" s="8">
        <v>3.9947300000000002E-4</v>
      </c>
      <c r="L206" s="8">
        <v>3.9410600000000002E-4</v>
      </c>
      <c r="M206" s="8">
        <v>3.9063200000000002E-4</v>
      </c>
      <c r="N206" s="8">
        <v>3.8657999999999997E-4</v>
      </c>
      <c r="O206">
        <v>0</v>
      </c>
      <c r="P206">
        <v>0</v>
      </c>
      <c r="Q206">
        <v>0</v>
      </c>
      <c r="R206" t="s">
        <v>243</v>
      </c>
    </row>
    <row r="207" spans="1:18" x14ac:dyDescent="0.3">
      <c r="A207" t="s">
        <v>259</v>
      </c>
      <c r="B207" t="s">
        <v>354</v>
      </c>
      <c r="C207" t="s">
        <v>401</v>
      </c>
      <c r="D207">
        <v>3.1230099999999998E-3</v>
      </c>
      <c r="E207" s="8">
        <v>6.7726400000000001E-4</v>
      </c>
      <c r="F207" s="8">
        <v>6.4285299999999998E-4</v>
      </c>
      <c r="G207" s="8">
        <v>3.6440399999999998E-4</v>
      </c>
      <c r="H207" s="8">
        <v>3.6382999999999999E-4</v>
      </c>
      <c r="I207" s="8">
        <v>3.4849600000000001E-4</v>
      </c>
      <c r="J207" s="8">
        <v>3.4061699999999998E-4</v>
      </c>
      <c r="K207" s="8">
        <v>3.3546299999999998E-4</v>
      </c>
      <c r="L207" s="8">
        <v>3.3108699999999998E-4</v>
      </c>
      <c r="M207" s="8">
        <v>3.2689699999999998E-4</v>
      </c>
      <c r="N207" s="8">
        <v>3.2372199999999997E-4</v>
      </c>
      <c r="O207">
        <v>0</v>
      </c>
      <c r="P207">
        <v>0</v>
      </c>
      <c r="Q207">
        <v>0</v>
      </c>
      <c r="R207" t="s">
        <v>243</v>
      </c>
    </row>
    <row r="208" spans="1:18" x14ac:dyDescent="0.3">
      <c r="A208" t="s">
        <v>259</v>
      </c>
      <c r="B208" t="s">
        <v>354</v>
      </c>
      <c r="C208" t="s">
        <v>402</v>
      </c>
      <c r="D208">
        <v>2.6529000000000001E-3</v>
      </c>
      <c r="E208" s="8">
        <v>5.5184099999999996E-4</v>
      </c>
      <c r="F208" s="8">
        <v>5.4103599999999995E-4</v>
      </c>
      <c r="G208" s="8">
        <v>3.0363500000000002E-4</v>
      </c>
      <c r="H208" s="8">
        <v>3.0233099999999998E-4</v>
      </c>
      <c r="I208" s="8">
        <v>2.9019899999999999E-4</v>
      </c>
      <c r="J208" s="8">
        <v>2.8379300000000001E-4</v>
      </c>
      <c r="K208" s="8">
        <v>2.7847400000000002E-4</v>
      </c>
      <c r="L208" s="8">
        <v>2.7448300000000001E-4</v>
      </c>
      <c r="M208" s="8">
        <v>2.7097500000000001E-4</v>
      </c>
      <c r="N208" s="8">
        <v>2.6782500000000002E-4</v>
      </c>
      <c r="O208">
        <v>0</v>
      </c>
      <c r="P208">
        <v>0</v>
      </c>
      <c r="Q208">
        <v>0</v>
      </c>
      <c r="R208" t="s">
        <v>243</v>
      </c>
    </row>
    <row r="209" spans="1:18" x14ac:dyDescent="0.3">
      <c r="A209" t="s">
        <v>259</v>
      </c>
      <c r="B209" t="s">
        <v>354</v>
      </c>
      <c r="C209" t="s">
        <v>403</v>
      </c>
      <c r="D209">
        <v>2.2116700000000002E-3</v>
      </c>
      <c r="E209" s="8">
        <v>4.4047500000000001E-4</v>
      </c>
      <c r="F209" s="8">
        <v>4.2265E-4</v>
      </c>
      <c r="G209" s="8">
        <v>2.3331299999999999E-4</v>
      </c>
      <c r="H209" s="8">
        <v>2.3034299999999999E-4</v>
      </c>
      <c r="I209" s="8">
        <v>2.20678E-4</v>
      </c>
      <c r="J209" s="8">
        <v>2.1573600000000001E-4</v>
      </c>
      <c r="K209" s="8">
        <v>2.11721E-4</v>
      </c>
      <c r="L209" s="8">
        <v>2.0805800000000001E-4</v>
      </c>
      <c r="M209" s="8">
        <v>2.0524000000000001E-4</v>
      </c>
      <c r="N209" s="8">
        <v>2.0236700000000001E-4</v>
      </c>
      <c r="O209">
        <v>0</v>
      </c>
      <c r="P209">
        <v>0</v>
      </c>
      <c r="Q209">
        <v>0</v>
      </c>
      <c r="R209" t="s">
        <v>243</v>
      </c>
    </row>
    <row r="210" spans="1:18" x14ac:dyDescent="0.3">
      <c r="A210" t="s">
        <v>259</v>
      </c>
      <c r="B210" t="s">
        <v>354</v>
      </c>
      <c r="C210" t="s">
        <v>404</v>
      </c>
      <c r="D210">
        <v>1.77966E-3</v>
      </c>
      <c r="E210" s="8">
        <v>3.3058099999999998E-4</v>
      </c>
      <c r="F210" s="8">
        <v>2.8870300000000002E-4</v>
      </c>
      <c r="G210" s="8">
        <v>1.4695299999999999E-4</v>
      </c>
      <c r="H210" s="8">
        <v>1.4335300000000001E-4</v>
      </c>
      <c r="I210" s="8">
        <v>1.3686199999999999E-4</v>
      </c>
      <c r="J210" s="8">
        <v>1.3319199999999999E-4</v>
      </c>
      <c r="K210" s="8">
        <v>1.29937E-4</v>
      </c>
      <c r="L210" s="8">
        <v>1.2741099999999999E-4</v>
      </c>
      <c r="M210" s="8">
        <v>1.2518800000000001E-4</v>
      </c>
      <c r="N210" s="8">
        <v>1.1527900000000001E-4</v>
      </c>
      <c r="O210">
        <v>0</v>
      </c>
      <c r="P210">
        <v>0</v>
      </c>
      <c r="Q210">
        <v>0</v>
      </c>
      <c r="R210" t="s">
        <v>243</v>
      </c>
    </row>
    <row r="211" spans="1:18" x14ac:dyDescent="0.3">
      <c r="A211" t="s">
        <v>259</v>
      </c>
      <c r="B211" t="s">
        <v>354</v>
      </c>
      <c r="C211" t="s">
        <v>405</v>
      </c>
      <c r="D211">
        <v>2.3501310000000001E-3</v>
      </c>
      <c r="E211">
        <v>1.8412463039999901E-3</v>
      </c>
      <c r="F211">
        <v>2.4473877520000001E-3</v>
      </c>
      <c r="G211">
        <v>2.3315117069999999E-3</v>
      </c>
      <c r="H211">
        <v>3.10065963799999E-3</v>
      </c>
      <c r="I211">
        <v>2.5560696870000001E-3</v>
      </c>
      <c r="J211">
        <v>2.7506525600000001E-3</v>
      </c>
      <c r="K211">
        <v>2.916532419E-3</v>
      </c>
      <c r="L211">
        <v>3.0635010749999999E-3</v>
      </c>
      <c r="M211">
        <v>3.2130257190000002E-3</v>
      </c>
      <c r="N211">
        <v>3.3506500989999898E-3</v>
      </c>
      <c r="O211">
        <v>0</v>
      </c>
      <c r="P211">
        <v>0</v>
      </c>
      <c r="Q211">
        <v>0</v>
      </c>
      <c r="R211" t="s">
        <v>243</v>
      </c>
    </row>
    <row r="212" spans="1:18" x14ac:dyDescent="0.3">
      <c r="A212" t="s">
        <v>259</v>
      </c>
      <c r="B212" t="s">
        <v>354</v>
      </c>
      <c r="C212" t="s">
        <v>406</v>
      </c>
      <c r="D212">
        <v>7.9517099999999903E-3</v>
      </c>
      <c r="E212">
        <v>1.3097990229E-2</v>
      </c>
      <c r="F212">
        <v>1.38401354499999E-2</v>
      </c>
      <c r="G212">
        <v>1.3171128819999999E-2</v>
      </c>
      <c r="H212">
        <v>1.281418699E-2</v>
      </c>
      <c r="I212">
        <v>1.2103019309999999E-2</v>
      </c>
      <c r="J212">
        <v>1.16098523599999E-2</v>
      </c>
      <c r="K212">
        <v>1.124556128E-2</v>
      </c>
      <c r="L212">
        <v>1.089954883E-2</v>
      </c>
      <c r="M212">
        <v>1.0591123444000001E-2</v>
      </c>
      <c r="N212">
        <v>1.0307508288000001E-2</v>
      </c>
      <c r="O212">
        <v>0</v>
      </c>
      <c r="P212">
        <v>0</v>
      </c>
      <c r="Q212">
        <v>0</v>
      </c>
      <c r="R212" t="s">
        <v>243</v>
      </c>
    </row>
    <row r="213" spans="1:18" x14ac:dyDescent="0.3">
      <c r="A213" t="s">
        <v>259</v>
      </c>
      <c r="B213" t="s">
        <v>354</v>
      </c>
      <c r="C213" t="s">
        <v>407</v>
      </c>
      <c r="D213">
        <v>3.5326659999999899E-3</v>
      </c>
      <c r="E213">
        <v>3.2397308799999901E-3</v>
      </c>
      <c r="F213">
        <v>4.0014221090000001E-3</v>
      </c>
      <c r="G213">
        <v>3.9326334159999997E-3</v>
      </c>
      <c r="H213">
        <v>4.0624774819999999E-3</v>
      </c>
      <c r="I213">
        <v>4.07914895E-3</v>
      </c>
      <c r="J213">
        <v>4.2332952159999998E-3</v>
      </c>
      <c r="K213">
        <v>4.340320973E-3</v>
      </c>
      <c r="L213">
        <v>4.425270375E-3</v>
      </c>
      <c r="M213">
        <v>4.5807313139999998E-3</v>
      </c>
      <c r="N213">
        <v>4.75565385599999E-3</v>
      </c>
      <c r="O213">
        <v>0</v>
      </c>
      <c r="P213">
        <v>0</v>
      </c>
      <c r="Q213">
        <v>0</v>
      </c>
      <c r="R213" t="s">
        <v>243</v>
      </c>
    </row>
    <row r="214" spans="1:18" x14ac:dyDescent="0.3">
      <c r="A214" t="s">
        <v>259</v>
      </c>
      <c r="B214" t="s">
        <v>354</v>
      </c>
      <c r="C214" t="s">
        <v>408</v>
      </c>
      <c r="D214">
        <v>4.1878430000000001E-3</v>
      </c>
      <c r="E214">
        <v>4.168912068E-3</v>
      </c>
      <c r="F214">
        <v>4.9660615860000002E-3</v>
      </c>
      <c r="G214">
        <v>4.7928978839999999E-3</v>
      </c>
      <c r="H214">
        <v>4.9720744499999999E-3</v>
      </c>
      <c r="I214">
        <v>4.8615584109999999E-3</v>
      </c>
      <c r="J214">
        <v>4.9951908320000002E-3</v>
      </c>
      <c r="K214">
        <v>5.1554822789999996E-3</v>
      </c>
      <c r="L214">
        <v>5.2833510349999998E-3</v>
      </c>
      <c r="M214">
        <v>5.4440066749999903E-3</v>
      </c>
      <c r="N214">
        <v>5.5770901180000002E-3</v>
      </c>
      <c r="O214">
        <v>0</v>
      </c>
      <c r="P214">
        <v>0</v>
      </c>
      <c r="Q214">
        <v>0</v>
      </c>
      <c r="R214" t="s">
        <v>243</v>
      </c>
    </row>
    <row r="215" spans="1:18" x14ac:dyDescent="0.3">
      <c r="A215" t="s">
        <v>259</v>
      </c>
      <c r="B215" t="s">
        <v>354</v>
      </c>
      <c r="C215" t="s">
        <v>409</v>
      </c>
      <c r="D215">
        <v>4.7052789999999997E-3</v>
      </c>
      <c r="E215">
        <v>5.128683171E-3</v>
      </c>
      <c r="F215">
        <v>5.830000995E-3</v>
      </c>
      <c r="G215">
        <v>5.469470469E-3</v>
      </c>
      <c r="H215">
        <v>5.6887193929999998E-3</v>
      </c>
      <c r="I215">
        <v>5.5850884260000002E-3</v>
      </c>
      <c r="J215">
        <v>5.712970625E-3</v>
      </c>
      <c r="K215">
        <v>5.8527310390000002E-3</v>
      </c>
      <c r="L215">
        <v>5.9405986219999898E-3</v>
      </c>
      <c r="M215">
        <v>6.0304710559999997E-3</v>
      </c>
      <c r="N215">
        <v>6.144651016E-3</v>
      </c>
      <c r="O215">
        <v>0</v>
      </c>
      <c r="P215">
        <v>0</v>
      </c>
      <c r="Q215">
        <v>0</v>
      </c>
      <c r="R215" t="s">
        <v>243</v>
      </c>
    </row>
    <row r="216" spans="1:18" x14ac:dyDescent="0.3">
      <c r="A216" t="s">
        <v>259</v>
      </c>
      <c r="B216" t="s">
        <v>354</v>
      </c>
      <c r="C216" t="s">
        <v>410</v>
      </c>
      <c r="D216">
        <v>5.1747199999999998E-3</v>
      </c>
      <c r="E216">
        <v>5.9251510479999998E-3</v>
      </c>
      <c r="F216">
        <v>6.6545137199999996E-3</v>
      </c>
      <c r="G216">
        <v>6.1074504600000003E-3</v>
      </c>
      <c r="H216">
        <v>6.4188155919999998E-3</v>
      </c>
      <c r="I216">
        <v>6.2692464559999999E-3</v>
      </c>
      <c r="J216">
        <v>6.3824267090000003E-3</v>
      </c>
      <c r="K216">
        <v>6.4408113099999904E-3</v>
      </c>
      <c r="L216">
        <v>6.4800377339999998E-3</v>
      </c>
      <c r="M216">
        <v>6.5985934610000001E-3</v>
      </c>
      <c r="N216">
        <v>6.6718763010000003E-3</v>
      </c>
      <c r="O216">
        <v>0</v>
      </c>
      <c r="P216">
        <v>0</v>
      </c>
      <c r="Q216">
        <v>0</v>
      </c>
      <c r="R216" t="s">
        <v>243</v>
      </c>
    </row>
    <row r="217" spans="1:18" x14ac:dyDescent="0.3">
      <c r="A217" t="s">
        <v>259</v>
      </c>
      <c r="B217" t="s">
        <v>354</v>
      </c>
      <c r="C217" t="s">
        <v>411</v>
      </c>
      <c r="D217">
        <v>5.6417810000000002E-3</v>
      </c>
      <c r="E217">
        <v>6.7681198370000001E-3</v>
      </c>
      <c r="F217">
        <v>7.4015643199999998E-3</v>
      </c>
      <c r="G217">
        <v>6.8766650820000002E-3</v>
      </c>
      <c r="H217">
        <v>7.2081993279999998E-3</v>
      </c>
      <c r="I217">
        <v>6.9658949629999899E-3</v>
      </c>
      <c r="J217">
        <v>6.9689882259999997E-3</v>
      </c>
      <c r="K217">
        <v>7.0572387939999998E-3</v>
      </c>
      <c r="L217">
        <v>7.082105208E-3</v>
      </c>
      <c r="M217">
        <v>7.1150561289999997E-3</v>
      </c>
      <c r="N217">
        <v>7.1736684849999996E-3</v>
      </c>
      <c r="O217">
        <v>0</v>
      </c>
      <c r="P217">
        <v>0</v>
      </c>
      <c r="Q217">
        <v>0</v>
      </c>
      <c r="R217" t="s">
        <v>243</v>
      </c>
    </row>
    <row r="218" spans="1:18" x14ac:dyDescent="0.3">
      <c r="A218" t="s">
        <v>259</v>
      </c>
      <c r="B218" t="s">
        <v>354</v>
      </c>
      <c r="C218" t="s">
        <v>412</v>
      </c>
      <c r="D218">
        <v>6.1257899999999999E-3</v>
      </c>
      <c r="E218">
        <v>7.734952382E-3</v>
      </c>
      <c r="F218">
        <v>8.2567262399999997E-3</v>
      </c>
      <c r="G218">
        <v>7.7297836949999903E-3</v>
      </c>
      <c r="H218">
        <v>8.0054217990000003E-3</v>
      </c>
      <c r="I218">
        <v>7.7485794970000004E-3</v>
      </c>
      <c r="J218">
        <v>7.7183836199999998E-3</v>
      </c>
      <c r="K218">
        <v>7.7108327589999999E-3</v>
      </c>
      <c r="L218">
        <v>7.6845852210000003E-3</v>
      </c>
      <c r="M218">
        <v>7.6831001260000004E-3</v>
      </c>
      <c r="N218">
        <v>7.6790261359999997E-3</v>
      </c>
      <c r="O218">
        <v>0</v>
      </c>
      <c r="P218">
        <v>0</v>
      </c>
      <c r="Q218">
        <v>0</v>
      </c>
      <c r="R218" t="s">
        <v>243</v>
      </c>
    </row>
    <row r="219" spans="1:18" x14ac:dyDescent="0.3">
      <c r="A219" t="s">
        <v>259</v>
      </c>
      <c r="B219" t="s">
        <v>354</v>
      </c>
      <c r="C219" t="s">
        <v>413</v>
      </c>
      <c r="D219">
        <v>6.6526899999999898E-3</v>
      </c>
      <c r="E219">
        <v>8.8525743699999996E-3</v>
      </c>
      <c r="F219">
        <v>9.5152345199999901E-3</v>
      </c>
      <c r="G219">
        <v>8.9885446299999994E-3</v>
      </c>
      <c r="H219">
        <v>9.0617004680000005E-3</v>
      </c>
      <c r="I219">
        <v>8.6864413599999895E-3</v>
      </c>
      <c r="J219">
        <v>8.5833341100000002E-3</v>
      </c>
      <c r="K219">
        <v>8.5282641139999994E-3</v>
      </c>
      <c r="L219">
        <v>8.4050434260000001E-3</v>
      </c>
      <c r="M219">
        <v>8.3432067340000002E-3</v>
      </c>
      <c r="N219">
        <v>8.2575359519999995E-3</v>
      </c>
      <c r="O219">
        <v>0</v>
      </c>
      <c r="P219">
        <v>0</v>
      </c>
      <c r="Q219">
        <v>0</v>
      </c>
      <c r="R219" t="s">
        <v>243</v>
      </c>
    </row>
    <row r="220" spans="1:18" x14ac:dyDescent="0.3">
      <c r="A220" t="s">
        <v>259</v>
      </c>
      <c r="B220" t="s">
        <v>354</v>
      </c>
      <c r="C220" t="s">
        <v>414</v>
      </c>
      <c r="D220">
        <v>7.25079E-3</v>
      </c>
      <c r="E220">
        <v>1.0311135709E-2</v>
      </c>
      <c r="F220">
        <v>1.14376303E-2</v>
      </c>
      <c r="G220">
        <v>1.11228238399999E-2</v>
      </c>
      <c r="H220">
        <v>1.086655506E-2</v>
      </c>
      <c r="I220">
        <v>1.026757184E-2</v>
      </c>
      <c r="J220">
        <v>9.9404986700000007E-3</v>
      </c>
      <c r="K220">
        <v>9.6824896500000007E-3</v>
      </c>
      <c r="L220">
        <v>9.443558619E-3</v>
      </c>
      <c r="M220">
        <v>9.2409467560000003E-3</v>
      </c>
      <c r="N220">
        <v>9.0621826609999998E-3</v>
      </c>
      <c r="O220">
        <v>0</v>
      </c>
      <c r="P220">
        <v>0</v>
      </c>
      <c r="Q220">
        <v>0</v>
      </c>
      <c r="R220" t="s">
        <v>243</v>
      </c>
    </row>
    <row r="221" spans="1:18" x14ac:dyDescent="0.3">
      <c r="A221" t="s">
        <v>259</v>
      </c>
      <c r="B221" t="s">
        <v>6</v>
      </c>
      <c r="C221" t="s">
        <v>261</v>
      </c>
      <c r="D221">
        <v>1.5038212000000001E-3</v>
      </c>
      <c r="E221">
        <v>4.2130309999999999E-3</v>
      </c>
      <c r="F221">
        <v>4.5486720000000001E-3</v>
      </c>
      <c r="G221">
        <v>4.3587210000000003E-3</v>
      </c>
      <c r="H221">
        <v>4.2806201999999998E-3</v>
      </c>
      <c r="I221">
        <v>4.3999208000000001E-3</v>
      </c>
      <c r="J221">
        <v>4.2605165700000001E-3</v>
      </c>
      <c r="K221">
        <v>4.1870299599999997E-3</v>
      </c>
      <c r="L221">
        <v>4.0873509999999899E-3</v>
      </c>
      <c r="M221">
        <v>3.9409178399999996E-3</v>
      </c>
      <c r="N221">
        <v>3.8023480900000002E-3</v>
      </c>
      <c r="O221">
        <v>0</v>
      </c>
      <c r="P221">
        <v>0</v>
      </c>
      <c r="Q221">
        <v>0</v>
      </c>
      <c r="R221" t="s">
        <v>243</v>
      </c>
    </row>
    <row r="222" spans="1:18" x14ac:dyDescent="0.3">
      <c r="A222" t="s">
        <v>259</v>
      </c>
      <c r="B222" t="s">
        <v>6</v>
      </c>
      <c r="C222" t="s">
        <v>262</v>
      </c>
      <c r="D222">
        <v>4.2223798063999902E-2</v>
      </c>
      <c r="E222">
        <v>6.3080802759999999E-2</v>
      </c>
      <c r="F222">
        <v>7.0654078790000005E-2</v>
      </c>
      <c r="G222">
        <v>6.4416002400000005E-2</v>
      </c>
      <c r="H222">
        <v>5.9133797689999899E-2</v>
      </c>
      <c r="I222">
        <v>5.8744097269999997E-2</v>
      </c>
      <c r="J222">
        <v>5.638561642E-2</v>
      </c>
      <c r="K222">
        <v>5.2372224469999999E-2</v>
      </c>
      <c r="L222">
        <v>4.3706968243999902E-2</v>
      </c>
      <c r="M222">
        <v>4.1514761505999899E-2</v>
      </c>
      <c r="N222">
        <v>3.9249884696999901E-2</v>
      </c>
      <c r="O222">
        <v>0</v>
      </c>
      <c r="P222">
        <v>0</v>
      </c>
      <c r="Q222">
        <v>0</v>
      </c>
      <c r="R222" t="s">
        <v>243</v>
      </c>
    </row>
    <row r="223" spans="1:18" x14ac:dyDescent="0.3">
      <c r="A223" t="s">
        <v>259</v>
      </c>
      <c r="B223" t="s">
        <v>6</v>
      </c>
      <c r="C223" t="s">
        <v>263</v>
      </c>
      <c r="D223">
        <v>7.7939202700000002E-2</v>
      </c>
      <c r="E223">
        <v>0.12928120399999901</v>
      </c>
      <c r="F223">
        <v>0.1336822</v>
      </c>
      <c r="G223">
        <v>0.123407512</v>
      </c>
      <c r="H223">
        <v>0.11525060299999999</v>
      </c>
      <c r="I223">
        <v>0.12267467458</v>
      </c>
      <c r="J223">
        <v>0.128594150799999</v>
      </c>
      <c r="K223">
        <v>0.12933658849999999</v>
      </c>
      <c r="L223">
        <v>0.129760243</v>
      </c>
      <c r="M223">
        <v>0.12943362329999999</v>
      </c>
      <c r="N223">
        <v>0.1285951018</v>
      </c>
      <c r="O223">
        <v>0</v>
      </c>
      <c r="P223">
        <v>0</v>
      </c>
      <c r="Q223">
        <v>0</v>
      </c>
      <c r="R223" t="s">
        <v>243</v>
      </c>
    </row>
    <row r="224" spans="1:18" x14ac:dyDescent="0.3">
      <c r="A224" t="s">
        <v>259</v>
      </c>
      <c r="B224" t="s">
        <v>6</v>
      </c>
      <c r="C224" t="s">
        <v>264</v>
      </c>
      <c r="D224" s="8">
        <v>2.3048354999999999E-4</v>
      </c>
      <c r="E224" s="8">
        <v>2.5785469999999998E-4</v>
      </c>
      <c r="F224" s="8">
        <v>5.1137457999999995E-4</v>
      </c>
      <c r="G224" s="8">
        <v>4.1649534000000001E-4</v>
      </c>
      <c r="H224" s="8">
        <v>4.2042399000000001E-4</v>
      </c>
      <c r="I224" s="8">
        <v>4.6355966999999998E-4</v>
      </c>
      <c r="J224" s="8">
        <v>5.7361114899999997E-4</v>
      </c>
      <c r="K224" s="8">
        <v>6.3208247999999999E-4</v>
      </c>
      <c r="L224" s="8">
        <v>6.60693049999999E-4</v>
      </c>
      <c r="M224" s="8">
        <v>6.6366967999999997E-4</v>
      </c>
      <c r="N224" s="8">
        <v>6.6815150000000003E-4</v>
      </c>
      <c r="O224">
        <v>0</v>
      </c>
      <c r="P224">
        <v>0</v>
      </c>
      <c r="Q224">
        <v>0</v>
      </c>
      <c r="R224" t="s">
        <v>243</v>
      </c>
    </row>
    <row r="225" spans="1:18" x14ac:dyDescent="0.3">
      <c r="A225" t="s">
        <v>259</v>
      </c>
      <c r="B225" t="s">
        <v>6</v>
      </c>
      <c r="C225" t="s">
        <v>265</v>
      </c>
      <c r="D225">
        <v>2.1240876E-3</v>
      </c>
      <c r="E225">
        <v>2.3563014999999901E-3</v>
      </c>
      <c r="F225">
        <v>4.5635290000000002E-3</v>
      </c>
      <c r="G225">
        <v>3.9916311000000003E-3</v>
      </c>
      <c r="H225">
        <v>3.7271212E-3</v>
      </c>
      <c r="I225">
        <v>4.33702359E-3</v>
      </c>
      <c r="J225">
        <v>5.0199822799999998E-3</v>
      </c>
      <c r="K225">
        <v>5.3988441999999904E-3</v>
      </c>
      <c r="L225">
        <v>5.5646762999999998E-3</v>
      </c>
      <c r="M225">
        <v>5.5430491999999996E-3</v>
      </c>
      <c r="N225">
        <v>5.5088613E-3</v>
      </c>
      <c r="O225">
        <v>0</v>
      </c>
      <c r="P225">
        <v>0</v>
      </c>
      <c r="Q225">
        <v>0</v>
      </c>
      <c r="R225" t="s">
        <v>243</v>
      </c>
    </row>
    <row r="226" spans="1:18" x14ac:dyDescent="0.3">
      <c r="A226" t="s">
        <v>259</v>
      </c>
      <c r="B226" t="s">
        <v>6</v>
      </c>
      <c r="C226" t="s">
        <v>266</v>
      </c>
      <c r="D226" s="8">
        <v>3.6734540000000002E-4</v>
      </c>
      <c r="E226" s="8">
        <v>4.3618139999999998E-4</v>
      </c>
      <c r="F226" s="8">
        <v>8.6509779999999995E-4</v>
      </c>
      <c r="G226" s="8">
        <v>7.2489679999999999E-4</v>
      </c>
      <c r="H226" s="8">
        <v>7.0819049999999999E-4</v>
      </c>
      <c r="I226" s="8">
        <v>7.8670009999999904E-4</v>
      </c>
      <c r="J226" s="8">
        <v>9.7252164E-4</v>
      </c>
      <c r="K226">
        <v>1.0741776499999999E-3</v>
      </c>
      <c r="L226">
        <v>1.1240426799999999E-3</v>
      </c>
      <c r="M226">
        <v>1.1319513000000001E-3</v>
      </c>
      <c r="N226">
        <v>1.1421426899999999E-3</v>
      </c>
      <c r="O226">
        <v>0</v>
      </c>
      <c r="P226">
        <v>0</v>
      </c>
      <c r="Q226">
        <v>0</v>
      </c>
      <c r="R226" t="s">
        <v>243</v>
      </c>
    </row>
    <row r="227" spans="1:18" x14ac:dyDescent="0.3">
      <c r="A227" t="s">
        <v>259</v>
      </c>
      <c r="B227" t="s">
        <v>6</v>
      </c>
      <c r="C227" t="s">
        <v>267</v>
      </c>
      <c r="D227" s="8">
        <v>4.9236549999999999E-4</v>
      </c>
      <c r="E227" s="8">
        <v>5.6380820000000002E-4</v>
      </c>
      <c r="F227">
        <v>1.1394029E-3</v>
      </c>
      <c r="G227" s="8">
        <v>9.7208239999999903E-4</v>
      </c>
      <c r="H227" s="8">
        <v>8.7907521999999901E-4</v>
      </c>
      <c r="I227">
        <v>1.0725594199999999E-3</v>
      </c>
      <c r="J227">
        <v>1.310222E-3</v>
      </c>
      <c r="K227">
        <v>1.43658765E-3</v>
      </c>
      <c r="L227">
        <v>1.4979791699999999E-3</v>
      </c>
      <c r="M227">
        <v>1.5017400099999901E-3</v>
      </c>
      <c r="N227">
        <v>1.50901052E-3</v>
      </c>
      <c r="O227">
        <v>0</v>
      </c>
      <c r="P227">
        <v>0</v>
      </c>
      <c r="Q227">
        <v>0</v>
      </c>
      <c r="R227" t="s">
        <v>243</v>
      </c>
    </row>
    <row r="228" spans="1:18" x14ac:dyDescent="0.3">
      <c r="A228" t="s">
        <v>259</v>
      </c>
      <c r="B228" t="s">
        <v>6</v>
      </c>
      <c r="C228" t="s">
        <v>268</v>
      </c>
      <c r="D228" s="8">
        <v>5.9186009999999997E-4</v>
      </c>
      <c r="E228" s="8">
        <v>6.7470479999999901E-4</v>
      </c>
      <c r="F228">
        <v>1.3755218999999901E-3</v>
      </c>
      <c r="G228">
        <v>1.1878129E-3</v>
      </c>
      <c r="H228">
        <v>1.07413085E-3</v>
      </c>
      <c r="I228">
        <v>1.3055129600000001E-3</v>
      </c>
      <c r="J228">
        <v>1.58747171999999E-3</v>
      </c>
      <c r="K228">
        <v>1.7399409299999999E-3</v>
      </c>
      <c r="L228">
        <v>1.8160751200000001E-3</v>
      </c>
      <c r="M228">
        <v>1.8234173799999999E-3</v>
      </c>
      <c r="N228">
        <v>1.83203143E-3</v>
      </c>
      <c r="O228">
        <v>0</v>
      </c>
      <c r="P228">
        <v>0</v>
      </c>
      <c r="Q228">
        <v>0</v>
      </c>
      <c r="R228" t="s">
        <v>243</v>
      </c>
    </row>
    <row r="229" spans="1:18" x14ac:dyDescent="0.3">
      <c r="A229" t="s">
        <v>259</v>
      </c>
      <c r="B229" t="s">
        <v>6</v>
      </c>
      <c r="C229" t="s">
        <v>269</v>
      </c>
      <c r="D229" s="8">
        <v>6.9483730000000001E-4</v>
      </c>
      <c r="E229" s="8">
        <v>7.9055320000000001E-4</v>
      </c>
      <c r="F229">
        <v>1.6053358000000001E-3</v>
      </c>
      <c r="G229">
        <v>1.3911449999999899E-3</v>
      </c>
      <c r="H229">
        <v>1.26722908E-3</v>
      </c>
      <c r="I229">
        <v>1.53995641E-3</v>
      </c>
      <c r="J229">
        <v>1.86644376E-3</v>
      </c>
      <c r="K229">
        <v>2.04204406E-3</v>
      </c>
      <c r="L229">
        <v>2.1334268300000001E-3</v>
      </c>
      <c r="M229">
        <v>2.1421595499999998E-3</v>
      </c>
      <c r="N229">
        <v>2.15021815E-3</v>
      </c>
      <c r="O229">
        <v>0</v>
      </c>
      <c r="P229">
        <v>0</v>
      </c>
      <c r="Q229">
        <v>0</v>
      </c>
      <c r="R229" t="s">
        <v>243</v>
      </c>
    </row>
    <row r="230" spans="1:18" x14ac:dyDescent="0.3">
      <c r="A230" t="s">
        <v>259</v>
      </c>
      <c r="B230" t="s">
        <v>6</v>
      </c>
      <c r="C230" t="s">
        <v>270</v>
      </c>
      <c r="D230" s="8">
        <v>8.0607949999999997E-4</v>
      </c>
      <c r="E230" s="8">
        <v>9.1286670000000005E-4</v>
      </c>
      <c r="F230">
        <v>1.8491683999999999E-3</v>
      </c>
      <c r="G230">
        <v>1.6094670999999899E-3</v>
      </c>
      <c r="H230">
        <v>1.4763192999999999E-3</v>
      </c>
      <c r="I230">
        <v>1.7886908300000001E-3</v>
      </c>
      <c r="J230">
        <v>2.15696594E-3</v>
      </c>
      <c r="K230">
        <v>2.3590838800000001E-3</v>
      </c>
      <c r="L230">
        <v>2.4598496999999999E-3</v>
      </c>
      <c r="M230">
        <v>2.4713498900000002E-3</v>
      </c>
      <c r="N230">
        <v>2.4808839700000002E-3</v>
      </c>
      <c r="O230">
        <v>0</v>
      </c>
      <c r="P230">
        <v>0</v>
      </c>
      <c r="Q230">
        <v>0</v>
      </c>
      <c r="R230" t="s">
        <v>243</v>
      </c>
    </row>
    <row r="231" spans="1:18" x14ac:dyDescent="0.3">
      <c r="A231" t="s">
        <v>259</v>
      </c>
      <c r="B231" t="s">
        <v>6</v>
      </c>
      <c r="C231" t="s">
        <v>271</v>
      </c>
      <c r="D231" s="8">
        <v>9.3851819999999904E-4</v>
      </c>
      <c r="E231">
        <v>1.0526625E-3</v>
      </c>
      <c r="F231">
        <v>2.1286414999999999E-3</v>
      </c>
      <c r="G231">
        <v>1.8508704999999901E-3</v>
      </c>
      <c r="H231">
        <v>1.7163677700000001E-3</v>
      </c>
      <c r="I231">
        <v>2.0723329399999998E-3</v>
      </c>
      <c r="J231">
        <v>2.4877958299999998E-3</v>
      </c>
      <c r="K231">
        <v>2.7157030300000002E-3</v>
      </c>
      <c r="L231">
        <v>2.8297263199999999E-3</v>
      </c>
      <c r="M231">
        <v>2.83827053E-3</v>
      </c>
      <c r="N231">
        <v>2.8413314999999901E-3</v>
      </c>
      <c r="O231">
        <v>0</v>
      </c>
      <c r="P231">
        <v>0</v>
      </c>
      <c r="Q231">
        <v>0</v>
      </c>
      <c r="R231" t="s">
        <v>243</v>
      </c>
    </row>
    <row r="232" spans="1:18" x14ac:dyDescent="0.3">
      <c r="A232" t="s">
        <v>259</v>
      </c>
      <c r="B232" t="s">
        <v>6</v>
      </c>
      <c r="C232" t="s">
        <v>272</v>
      </c>
      <c r="D232">
        <v>1.1016475999999901E-3</v>
      </c>
      <c r="E232">
        <v>1.2336463999999901E-3</v>
      </c>
      <c r="F232">
        <v>2.4776721999999998E-3</v>
      </c>
      <c r="G232">
        <v>2.1823652E-3</v>
      </c>
      <c r="H232">
        <v>2.0174556099999898E-3</v>
      </c>
      <c r="I232">
        <v>2.4270917099999999E-3</v>
      </c>
      <c r="J232">
        <v>2.9026578100000001E-3</v>
      </c>
      <c r="K232">
        <v>3.16048504E-3</v>
      </c>
      <c r="L232">
        <v>3.2840393499999998E-3</v>
      </c>
      <c r="M232">
        <v>3.28740623E-3</v>
      </c>
      <c r="N232">
        <v>3.28797550999999E-3</v>
      </c>
      <c r="O232">
        <v>0</v>
      </c>
      <c r="P232">
        <v>0</v>
      </c>
      <c r="Q232">
        <v>0</v>
      </c>
      <c r="R232" t="s">
        <v>243</v>
      </c>
    </row>
    <row r="233" spans="1:18" x14ac:dyDescent="0.3">
      <c r="A233" t="s">
        <v>259</v>
      </c>
      <c r="B233" t="s">
        <v>6</v>
      </c>
      <c r="C233" t="s">
        <v>273</v>
      </c>
      <c r="D233">
        <v>1.3697564000000001E-3</v>
      </c>
      <c r="E233">
        <v>1.5166452999999999E-3</v>
      </c>
      <c r="F233">
        <v>3.0136865E-3</v>
      </c>
      <c r="G233">
        <v>2.6232927E-3</v>
      </c>
      <c r="H233">
        <v>2.4576759999999998E-3</v>
      </c>
      <c r="I233">
        <v>2.9406241300000001E-3</v>
      </c>
      <c r="J233">
        <v>3.48937376E-3</v>
      </c>
      <c r="K233">
        <v>3.7938078600000002E-3</v>
      </c>
      <c r="L233">
        <v>3.9433372899999996E-3</v>
      </c>
      <c r="M233">
        <v>3.9515780699999996E-3</v>
      </c>
      <c r="N233">
        <v>3.9505562299999896E-3</v>
      </c>
      <c r="O233">
        <v>0</v>
      </c>
      <c r="P233">
        <v>0</v>
      </c>
      <c r="Q233">
        <v>0</v>
      </c>
      <c r="R233" t="s">
        <v>243</v>
      </c>
    </row>
    <row r="234" spans="1:18" x14ac:dyDescent="0.3">
      <c r="A234" t="s">
        <v>259</v>
      </c>
      <c r="B234" t="s">
        <v>6</v>
      </c>
      <c r="C234" t="s">
        <v>274</v>
      </c>
      <c r="D234" s="8">
        <v>5.0632489599999998E-6</v>
      </c>
      <c r="E234" s="8">
        <v>5.2378326999999997E-6</v>
      </c>
      <c r="F234" s="8">
        <v>5.3289751099999998E-6</v>
      </c>
      <c r="G234" s="8">
        <v>4.7633047699999999E-6</v>
      </c>
      <c r="H234" s="8">
        <v>7.4665897699999997E-6</v>
      </c>
      <c r="I234" s="8">
        <v>7.4872958479999996E-6</v>
      </c>
      <c r="J234" s="8">
        <v>7.5666457830000003E-6</v>
      </c>
      <c r="K234" s="8">
        <v>8.0582790550000004E-6</v>
      </c>
      <c r="L234" s="8">
        <v>8.4781610069999899E-6</v>
      </c>
      <c r="M234" s="8">
        <v>8.7396269499999999E-6</v>
      </c>
      <c r="N234" s="8">
        <v>8.9796594310000005E-6</v>
      </c>
      <c r="O234">
        <v>0</v>
      </c>
      <c r="P234">
        <v>0</v>
      </c>
      <c r="Q234">
        <v>0</v>
      </c>
      <c r="R234" t="s">
        <v>243</v>
      </c>
    </row>
    <row r="235" spans="1:18" x14ac:dyDescent="0.3">
      <c r="A235" t="s">
        <v>259</v>
      </c>
      <c r="B235" t="s">
        <v>6</v>
      </c>
      <c r="C235" t="s">
        <v>275</v>
      </c>
      <c r="D235" s="8">
        <v>4.48330982E-5</v>
      </c>
      <c r="E235" s="8">
        <v>4.5392922500000002E-5</v>
      </c>
      <c r="F235" s="8">
        <v>4.7309505200000002E-5</v>
      </c>
      <c r="G235" s="8">
        <v>4.4643188E-5</v>
      </c>
      <c r="H235" s="8">
        <v>5.5955996479999998E-5</v>
      </c>
      <c r="I235" s="8">
        <v>5.97571269E-5</v>
      </c>
      <c r="J235" s="8">
        <v>5.8891171559999899E-5</v>
      </c>
      <c r="K235" s="8">
        <v>6.0103754419999999E-5</v>
      </c>
      <c r="L235" s="8">
        <v>6.0501752109999899E-5</v>
      </c>
      <c r="M235" s="8">
        <v>5.9829128929999997E-5</v>
      </c>
      <c r="N235" s="8">
        <v>5.8838101480000003E-5</v>
      </c>
      <c r="O235">
        <v>0</v>
      </c>
      <c r="P235">
        <v>0</v>
      </c>
      <c r="Q235">
        <v>0</v>
      </c>
      <c r="R235" t="s">
        <v>243</v>
      </c>
    </row>
    <row r="236" spans="1:18" x14ac:dyDescent="0.3">
      <c r="A236" t="s">
        <v>259</v>
      </c>
      <c r="B236" t="s">
        <v>6</v>
      </c>
      <c r="C236" t="s">
        <v>276</v>
      </c>
      <c r="D236" s="8">
        <v>8.04505841E-6</v>
      </c>
      <c r="E236" s="8">
        <v>8.8199210400000001E-6</v>
      </c>
      <c r="F236" s="8">
        <v>9.01139910999999E-6</v>
      </c>
      <c r="G236" s="8">
        <v>8.2745263899999995E-6</v>
      </c>
      <c r="H236" s="8">
        <v>1.2210160609999901E-5</v>
      </c>
      <c r="I236" s="8">
        <v>1.2338527389999899E-5</v>
      </c>
      <c r="J236" s="8">
        <v>1.2469110196E-5</v>
      </c>
      <c r="K236" s="8">
        <v>1.3287334562E-5</v>
      </c>
      <c r="L236" s="8">
        <v>1.3943997121999999E-5</v>
      </c>
      <c r="M236" s="8">
        <v>1.43523609529999E-5</v>
      </c>
      <c r="N236" s="8">
        <v>1.4721278163E-5</v>
      </c>
      <c r="O236">
        <v>0</v>
      </c>
      <c r="P236">
        <v>0</v>
      </c>
      <c r="Q236">
        <v>0</v>
      </c>
      <c r="R236" t="s">
        <v>243</v>
      </c>
    </row>
    <row r="237" spans="1:18" x14ac:dyDescent="0.3">
      <c r="A237" t="s">
        <v>259</v>
      </c>
      <c r="B237" t="s">
        <v>6</v>
      </c>
      <c r="C237" t="s">
        <v>277</v>
      </c>
      <c r="D237" s="8">
        <v>1.0754232539999999E-5</v>
      </c>
      <c r="E237" s="8">
        <v>1.1364163889999901E-5</v>
      </c>
      <c r="F237" s="8">
        <v>1.18645446E-5</v>
      </c>
      <c r="G237" s="8">
        <v>1.1080079909999999E-5</v>
      </c>
      <c r="H237" s="8">
        <v>1.4862981889999899E-5</v>
      </c>
      <c r="I237" s="8">
        <v>1.6457745700000001E-5</v>
      </c>
      <c r="J237" s="8">
        <v>1.6536596896999999E-5</v>
      </c>
      <c r="K237" s="8">
        <v>1.7517882345E-5</v>
      </c>
      <c r="L237" s="8">
        <v>1.8241078499999998E-5</v>
      </c>
      <c r="M237" s="8">
        <v>1.8646897128999999E-5</v>
      </c>
      <c r="N237" s="8">
        <v>1.9003853119999999E-5</v>
      </c>
      <c r="O237">
        <v>0</v>
      </c>
      <c r="P237">
        <v>0</v>
      </c>
      <c r="Q237">
        <v>0</v>
      </c>
      <c r="R237" t="s">
        <v>243</v>
      </c>
    </row>
    <row r="238" spans="1:18" x14ac:dyDescent="0.3">
      <c r="A238" t="s">
        <v>259</v>
      </c>
      <c r="B238" t="s">
        <v>6</v>
      </c>
      <c r="C238" t="s">
        <v>278</v>
      </c>
      <c r="D238" s="8">
        <v>1.290037651E-5</v>
      </c>
      <c r="E238" s="8">
        <v>1.3562698299999901E-5</v>
      </c>
      <c r="F238" s="8">
        <v>1.431935387E-5</v>
      </c>
      <c r="G238" s="8">
        <v>1.3521753589999999E-5</v>
      </c>
      <c r="H238" s="8">
        <v>1.795083039E-5</v>
      </c>
      <c r="I238" s="8">
        <v>1.9808620500000001E-5</v>
      </c>
      <c r="J238" s="8">
        <v>1.9846823429999902E-5</v>
      </c>
      <c r="K238" s="8">
        <v>2.0984737301999999E-5</v>
      </c>
      <c r="L238" s="8">
        <v>2.1830607709999899E-5</v>
      </c>
      <c r="M238" s="8">
        <v>2.2299692489999999E-5</v>
      </c>
      <c r="N238" s="8">
        <v>2.2675767374999999E-5</v>
      </c>
      <c r="O238">
        <v>0</v>
      </c>
      <c r="P238">
        <v>0</v>
      </c>
      <c r="Q238">
        <v>0</v>
      </c>
      <c r="R238" t="s">
        <v>243</v>
      </c>
    </row>
    <row r="239" spans="1:18" x14ac:dyDescent="0.3">
      <c r="A239" t="s">
        <v>259</v>
      </c>
      <c r="B239" t="s">
        <v>6</v>
      </c>
      <c r="C239" t="s">
        <v>279</v>
      </c>
      <c r="D239" s="8">
        <v>1.5112355620000001E-5</v>
      </c>
      <c r="E239" s="8">
        <v>1.584647672E-5</v>
      </c>
      <c r="F239" s="8">
        <v>1.6706930039999999E-5</v>
      </c>
      <c r="G239" s="8">
        <v>1.5817551220000001E-5</v>
      </c>
      <c r="H239" s="8">
        <v>2.0978992240000001E-5</v>
      </c>
      <c r="I239" s="8">
        <v>2.3141927329999899E-5</v>
      </c>
      <c r="J239" s="8">
        <v>2.3153758629999999E-5</v>
      </c>
      <c r="K239" s="8">
        <v>2.4399827575999999E-5</v>
      </c>
      <c r="L239" s="8">
        <v>2.535970078E-5</v>
      </c>
      <c r="M239" s="8">
        <v>2.5851524750000001E-5</v>
      </c>
      <c r="N239" s="8">
        <v>2.6210963419999998E-5</v>
      </c>
      <c r="O239">
        <v>0</v>
      </c>
      <c r="P239">
        <v>0</v>
      </c>
      <c r="Q239">
        <v>0</v>
      </c>
      <c r="R239" t="s">
        <v>243</v>
      </c>
    </row>
    <row r="240" spans="1:18" x14ac:dyDescent="0.3">
      <c r="A240" t="s">
        <v>259</v>
      </c>
      <c r="B240" t="s">
        <v>6</v>
      </c>
      <c r="C240" t="s">
        <v>280</v>
      </c>
      <c r="D240" s="8">
        <v>1.7491123599999998E-5</v>
      </c>
      <c r="E240" s="8">
        <v>1.8243813739999999E-5</v>
      </c>
      <c r="F240" s="8">
        <v>1.923917741E-5</v>
      </c>
      <c r="G240" s="8">
        <v>1.8276333809999999E-5</v>
      </c>
      <c r="H240" s="8">
        <v>2.4211399459999999E-5</v>
      </c>
      <c r="I240" s="8">
        <v>2.663331743E-5</v>
      </c>
      <c r="J240" s="8">
        <v>2.6571948789999902E-5</v>
      </c>
      <c r="K240" s="8">
        <v>2.794504504E-5</v>
      </c>
      <c r="L240" s="8">
        <v>2.8938519039999999E-5</v>
      </c>
      <c r="M240" s="8">
        <v>2.945306897E-5</v>
      </c>
      <c r="N240" s="8">
        <v>2.9803620909999999E-5</v>
      </c>
      <c r="O240">
        <v>0</v>
      </c>
      <c r="P240">
        <v>0</v>
      </c>
      <c r="Q240">
        <v>0</v>
      </c>
      <c r="R240" t="s">
        <v>243</v>
      </c>
    </row>
    <row r="241" spans="1:18" x14ac:dyDescent="0.3">
      <c r="A241" t="s">
        <v>259</v>
      </c>
      <c r="B241" t="s">
        <v>6</v>
      </c>
      <c r="C241" t="s">
        <v>281</v>
      </c>
      <c r="D241" s="8">
        <v>2.03091258E-5</v>
      </c>
      <c r="E241" s="8">
        <v>2.09661183999999E-5</v>
      </c>
      <c r="F241" s="8">
        <v>2.2138805799999999E-5</v>
      </c>
      <c r="G241" s="8">
        <v>2.0987347999999999E-5</v>
      </c>
      <c r="H241" s="8">
        <v>2.7875406190000001E-5</v>
      </c>
      <c r="I241" s="8">
        <v>3.0563754489999901E-5</v>
      </c>
      <c r="J241" s="8">
        <v>3.0434277230000001E-5</v>
      </c>
      <c r="K241" s="8">
        <v>3.1886818370000001E-5</v>
      </c>
      <c r="L241" s="8">
        <v>3.2932057220000001E-5</v>
      </c>
      <c r="M241" s="8">
        <v>3.3386382009999902E-5</v>
      </c>
      <c r="N241" s="8">
        <v>3.3621097590000001E-5</v>
      </c>
      <c r="O241">
        <v>0</v>
      </c>
      <c r="P241">
        <v>0</v>
      </c>
      <c r="Q241">
        <v>0</v>
      </c>
      <c r="R241" t="s">
        <v>243</v>
      </c>
    </row>
    <row r="242" spans="1:18" x14ac:dyDescent="0.3">
      <c r="A242" t="s">
        <v>259</v>
      </c>
      <c r="B242" t="s">
        <v>6</v>
      </c>
      <c r="C242" t="s">
        <v>282</v>
      </c>
      <c r="D242" s="8">
        <v>2.37587645999999E-5</v>
      </c>
      <c r="E242" s="8">
        <v>2.4461722099999998E-5</v>
      </c>
      <c r="F242" s="8">
        <v>2.5757788599999999E-5</v>
      </c>
      <c r="G242" s="8">
        <v>2.4696683E-5</v>
      </c>
      <c r="H242" s="8">
        <v>3.2335489050000001E-5</v>
      </c>
      <c r="I242" s="8">
        <v>3.5373323730000003E-5</v>
      </c>
      <c r="J242" s="8">
        <v>3.5212729210000002E-5</v>
      </c>
      <c r="K242" s="8">
        <v>3.673959919E-5</v>
      </c>
      <c r="L242" s="8">
        <v>3.7749927569999902E-5</v>
      </c>
      <c r="M242" s="8">
        <v>3.80873348599999E-5</v>
      </c>
      <c r="N242" s="8">
        <v>3.8216908119999902E-5</v>
      </c>
      <c r="O242">
        <v>0</v>
      </c>
      <c r="P242">
        <v>0</v>
      </c>
      <c r="Q242">
        <v>0</v>
      </c>
      <c r="R242" t="s">
        <v>243</v>
      </c>
    </row>
    <row r="243" spans="1:18" x14ac:dyDescent="0.3">
      <c r="A243" t="s">
        <v>259</v>
      </c>
      <c r="B243" t="s">
        <v>6</v>
      </c>
      <c r="C243" t="s">
        <v>283</v>
      </c>
      <c r="D243" s="8">
        <v>2.9377459599999999E-5</v>
      </c>
      <c r="E243" s="8">
        <v>2.9862709100000001E-5</v>
      </c>
      <c r="F243" s="8">
        <v>3.1309023200000001E-5</v>
      </c>
      <c r="G243" s="8">
        <v>2.9606144000000001E-5</v>
      </c>
      <c r="H243" s="8">
        <v>3.8747145400000003E-5</v>
      </c>
      <c r="I243" s="8">
        <v>4.2208859339999997E-5</v>
      </c>
      <c r="J243" s="8">
        <v>4.1916599449999997E-5</v>
      </c>
      <c r="K243" s="8">
        <v>4.3535852229999999E-5</v>
      </c>
      <c r="L243" s="8">
        <v>4.4586681079999998E-5</v>
      </c>
      <c r="M243" s="8">
        <v>4.4836467839999999E-5</v>
      </c>
      <c r="N243" s="8">
        <v>4.4787936290000002E-5</v>
      </c>
      <c r="O243">
        <v>0</v>
      </c>
      <c r="P243">
        <v>0</v>
      </c>
      <c r="Q243">
        <v>0</v>
      </c>
      <c r="R243" t="s">
        <v>243</v>
      </c>
    </row>
    <row r="244" spans="1:18" x14ac:dyDescent="0.3">
      <c r="A244" t="s">
        <v>259</v>
      </c>
      <c r="B244" t="s">
        <v>6</v>
      </c>
      <c r="C244" t="s">
        <v>334</v>
      </c>
      <c r="D244">
        <v>6.9952900000000004E-3</v>
      </c>
      <c r="E244">
        <v>1.55733E-3</v>
      </c>
      <c r="F244">
        <v>1.51666E-3</v>
      </c>
      <c r="G244">
        <v>1.1232099999999999E-3</v>
      </c>
      <c r="H244">
        <v>1.1694639999999901E-3</v>
      </c>
      <c r="I244">
        <v>1.194198E-3</v>
      </c>
      <c r="J244">
        <v>1.2131749999999999E-3</v>
      </c>
      <c r="K244">
        <v>1.23354699999999E-3</v>
      </c>
      <c r="L244">
        <v>1.2528139999999899E-3</v>
      </c>
      <c r="M244">
        <v>1.264353E-3</v>
      </c>
      <c r="N244">
        <v>1.273333E-3</v>
      </c>
      <c r="O244">
        <v>0</v>
      </c>
      <c r="P244">
        <v>0</v>
      </c>
      <c r="Q244">
        <v>0</v>
      </c>
      <c r="R244" t="s">
        <v>243</v>
      </c>
    </row>
    <row r="245" spans="1:18" x14ac:dyDescent="0.3">
      <c r="A245" t="s">
        <v>259</v>
      </c>
      <c r="B245" t="s">
        <v>6</v>
      </c>
      <c r="C245" t="s">
        <v>335</v>
      </c>
      <c r="D245" s="8">
        <v>3.3235099999999999E-4</v>
      </c>
      <c r="E245" s="8">
        <v>6.6703899999999997E-5</v>
      </c>
      <c r="F245" s="8">
        <v>6.1206300000000004E-5</v>
      </c>
      <c r="G245" s="8">
        <v>4.1220400000000003E-5</v>
      </c>
      <c r="H245" s="8">
        <v>4.2287899999999999E-5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243</v>
      </c>
    </row>
    <row r="246" spans="1:18" x14ac:dyDescent="0.3">
      <c r="A246" t="s">
        <v>259</v>
      </c>
      <c r="B246" t="s">
        <v>6</v>
      </c>
      <c r="C246" t="s">
        <v>336</v>
      </c>
      <c r="D246">
        <v>3.9108399999999996E-3</v>
      </c>
      <c r="E246" s="8">
        <v>8.0191500000000005E-4</v>
      </c>
      <c r="F246" s="8">
        <v>7.7676000000000004E-4</v>
      </c>
      <c r="G246" s="8">
        <v>5.5647499999999996E-4</v>
      </c>
      <c r="H246" s="8">
        <v>5.7587600000000001E-4</v>
      </c>
      <c r="I246" s="8">
        <v>5.8938999999999997E-4</v>
      </c>
      <c r="J246" s="8">
        <v>5.9890659999999995E-4</v>
      </c>
      <c r="K246" s="8">
        <v>6.0902600000000003E-4</v>
      </c>
      <c r="L246" s="8">
        <v>6.18368E-4</v>
      </c>
      <c r="M246" s="8">
        <v>6.2405899999999897E-4</v>
      </c>
      <c r="N246" s="8">
        <v>6.2845100000000003E-4</v>
      </c>
      <c r="O246">
        <v>0</v>
      </c>
      <c r="P246">
        <v>0</v>
      </c>
      <c r="Q246">
        <v>0</v>
      </c>
      <c r="R246" t="s">
        <v>243</v>
      </c>
    </row>
    <row r="247" spans="1:18" x14ac:dyDescent="0.3">
      <c r="A247" t="s">
        <v>259</v>
      </c>
      <c r="B247" t="s">
        <v>6</v>
      </c>
      <c r="C247" t="s">
        <v>337</v>
      </c>
      <c r="D247">
        <v>2.68498E-3</v>
      </c>
      <c r="E247" s="8">
        <v>5.73031E-4</v>
      </c>
      <c r="F247" s="8">
        <v>5.3888899999999997E-4</v>
      </c>
      <c r="G247" s="8">
        <v>3.7733899999999997E-4</v>
      </c>
      <c r="H247" s="8">
        <v>3.87112E-4</v>
      </c>
      <c r="I247" s="8">
        <v>4.0055599999999999E-4</v>
      </c>
      <c r="J247" s="8">
        <v>4.0656829999999999E-4</v>
      </c>
      <c r="K247" s="8">
        <v>4.1302130000000001E-4</v>
      </c>
      <c r="L247" s="8">
        <v>4.1898160000000001E-4</v>
      </c>
      <c r="M247" s="8">
        <v>4.2244219999999999E-4</v>
      </c>
      <c r="N247" s="8">
        <v>4.2506500000000002E-4</v>
      </c>
      <c r="O247">
        <v>0</v>
      </c>
      <c r="P247">
        <v>0</v>
      </c>
      <c r="Q247">
        <v>0</v>
      </c>
      <c r="R247" t="s">
        <v>243</v>
      </c>
    </row>
    <row r="248" spans="1:18" x14ac:dyDescent="0.3">
      <c r="A248" t="s">
        <v>259</v>
      </c>
      <c r="B248" t="s">
        <v>6</v>
      </c>
      <c r="C248" t="s">
        <v>338</v>
      </c>
      <c r="D248">
        <v>2.1093499999999999E-3</v>
      </c>
      <c r="E248" s="8">
        <v>4.5038400000000002E-4</v>
      </c>
      <c r="F248" s="8">
        <v>4.1652699999999998E-4</v>
      </c>
      <c r="G248" s="8">
        <v>2.8696100000000002E-4</v>
      </c>
      <c r="H248" s="8">
        <v>2.9439199999999998E-4</v>
      </c>
      <c r="I248" s="8">
        <v>3.044729E-4</v>
      </c>
      <c r="J248" s="8">
        <v>3.089144E-4</v>
      </c>
      <c r="K248" s="8">
        <v>3.137875E-4</v>
      </c>
      <c r="L248" s="8">
        <v>3.1833689999999999E-4</v>
      </c>
      <c r="M248" s="8">
        <v>3.2100830000000001E-4</v>
      </c>
      <c r="N248" s="8">
        <v>3.2296229999999998E-4</v>
      </c>
      <c r="O248">
        <v>0</v>
      </c>
      <c r="P248">
        <v>0</v>
      </c>
      <c r="Q248">
        <v>0</v>
      </c>
      <c r="R248" t="s">
        <v>243</v>
      </c>
    </row>
    <row r="249" spans="1:18" x14ac:dyDescent="0.3">
      <c r="A249" t="s">
        <v>259</v>
      </c>
      <c r="B249" t="s">
        <v>6</v>
      </c>
      <c r="C249" t="s">
        <v>339</v>
      </c>
      <c r="D249">
        <v>1.7031800000000001E-3</v>
      </c>
      <c r="E249" s="8">
        <v>3.6250300000000002E-4</v>
      </c>
      <c r="F249" s="8">
        <v>3.3535900000000003E-4</v>
      </c>
      <c r="G249" s="8">
        <v>2.29912E-4</v>
      </c>
      <c r="H249" s="8">
        <v>2.3586599999999999E-4</v>
      </c>
      <c r="I249" s="8">
        <v>2.4425089999999998E-4</v>
      </c>
      <c r="J249" s="8">
        <v>2.4776360000000001E-4</v>
      </c>
      <c r="K249" s="8">
        <v>2.5159849999999899E-4</v>
      </c>
      <c r="L249" s="8">
        <v>2.5527039999999898E-4</v>
      </c>
      <c r="M249" s="8">
        <v>2.5739440000000001E-4</v>
      </c>
      <c r="N249" s="8">
        <v>2.5890739999999998E-4</v>
      </c>
      <c r="O249">
        <v>0</v>
      </c>
      <c r="P249">
        <v>0</v>
      </c>
      <c r="Q249">
        <v>0</v>
      </c>
      <c r="R249" t="s">
        <v>243</v>
      </c>
    </row>
    <row r="250" spans="1:18" x14ac:dyDescent="0.3">
      <c r="A250" t="s">
        <v>259</v>
      </c>
      <c r="B250" t="s">
        <v>6</v>
      </c>
      <c r="C250" t="s">
        <v>340</v>
      </c>
      <c r="D250">
        <v>1.3925599999999999E-3</v>
      </c>
      <c r="E250" s="8">
        <v>2.9641299999999998E-4</v>
      </c>
      <c r="F250" s="8">
        <v>2.7363099999999998E-4</v>
      </c>
      <c r="G250" s="8">
        <v>1.86398E-4</v>
      </c>
      <c r="H250" s="8">
        <v>1.9122510000000001E-4</v>
      </c>
      <c r="I250" s="8">
        <v>1.9817810000000001E-4</v>
      </c>
      <c r="J250" s="8">
        <v>2.0094420000000001E-4</v>
      </c>
      <c r="K250" s="8">
        <v>2.040477E-4</v>
      </c>
      <c r="L250" s="8">
        <v>2.069579E-4</v>
      </c>
      <c r="M250" s="8">
        <v>2.0868939999999999E-4</v>
      </c>
      <c r="N250" s="8">
        <v>2.09911999999999E-4</v>
      </c>
      <c r="O250">
        <v>0</v>
      </c>
      <c r="P250">
        <v>0</v>
      </c>
      <c r="Q250">
        <v>0</v>
      </c>
      <c r="R250" t="s">
        <v>243</v>
      </c>
    </row>
    <row r="251" spans="1:18" x14ac:dyDescent="0.3">
      <c r="A251" t="s">
        <v>259</v>
      </c>
      <c r="B251" t="s">
        <v>6</v>
      </c>
      <c r="C251" t="s">
        <v>341</v>
      </c>
      <c r="D251">
        <v>1.1287700000000001E-3</v>
      </c>
      <c r="E251" s="8">
        <v>2.4173400000000001E-4</v>
      </c>
      <c r="F251" s="8">
        <v>2.2223100000000001E-4</v>
      </c>
      <c r="G251" s="8">
        <v>1.5158200000000001E-4</v>
      </c>
      <c r="H251" s="8">
        <v>1.5550779999999999E-4</v>
      </c>
      <c r="I251" s="8">
        <v>1.613827E-4</v>
      </c>
      <c r="J251" s="8">
        <v>1.635935E-4</v>
      </c>
      <c r="K251" s="8">
        <v>1.660799E-4</v>
      </c>
      <c r="L251" s="8">
        <v>1.6843119999999999E-4</v>
      </c>
      <c r="M251" s="8">
        <v>1.697917E-4</v>
      </c>
      <c r="N251" s="8">
        <v>1.707101E-4</v>
      </c>
      <c r="O251">
        <v>0</v>
      </c>
      <c r="P251">
        <v>0</v>
      </c>
      <c r="Q251">
        <v>0</v>
      </c>
      <c r="R251" t="s">
        <v>243</v>
      </c>
    </row>
    <row r="252" spans="1:18" x14ac:dyDescent="0.3">
      <c r="A252" t="s">
        <v>259</v>
      </c>
      <c r="B252" t="s">
        <v>6</v>
      </c>
      <c r="C252" t="s">
        <v>342</v>
      </c>
      <c r="D252" s="8">
        <v>9.0049300000000004E-4</v>
      </c>
      <c r="E252" s="8">
        <v>1.91447E-4</v>
      </c>
      <c r="F252" s="8">
        <v>1.7624000000000001E-4</v>
      </c>
      <c r="G252" s="8">
        <v>1.17796E-4</v>
      </c>
      <c r="H252" s="8">
        <v>1.208468E-4</v>
      </c>
      <c r="I252" s="8">
        <v>1.253153E-4</v>
      </c>
      <c r="J252" s="8">
        <v>1.2704120000000001E-4</v>
      </c>
      <c r="K252" s="8">
        <v>1.187316E-4</v>
      </c>
      <c r="L252" s="8">
        <v>9.6991199999999997E-6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243</v>
      </c>
    </row>
    <row r="253" spans="1:18" x14ac:dyDescent="0.3">
      <c r="A253" t="s">
        <v>259</v>
      </c>
      <c r="B253" t="s">
        <v>6</v>
      </c>
      <c r="C253" t="s">
        <v>343</v>
      </c>
      <c r="D253" s="8">
        <v>6.5636100000000005E-4</v>
      </c>
      <c r="E253" s="8">
        <v>1.39648E-4</v>
      </c>
      <c r="F253" s="8">
        <v>1.2884699999999999E-4</v>
      </c>
      <c r="G253" s="8">
        <v>8.7693699999999997E-5</v>
      </c>
      <c r="H253" s="8">
        <v>9.0024200000000005E-5</v>
      </c>
      <c r="I253" s="8">
        <v>9.3457399999999997E-5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243</v>
      </c>
    </row>
    <row r="254" spans="1:18" x14ac:dyDescent="0.3">
      <c r="A254" t="s">
        <v>259</v>
      </c>
      <c r="B254" t="s">
        <v>6</v>
      </c>
      <c r="C254" t="s">
        <v>284</v>
      </c>
      <c r="D254">
        <v>1.8292607516400002E-2</v>
      </c>
      <c r="E254">
        <v>2.2343266656000001E-2</v>
      </c>
      <c r="F254">
        <v>2.1903591640000001E-2</v>
      </c>
      <c r="G254">
        <v>1.7903240300000001E-2</v>
      </c>
      <c r="H254">
        <v>1.7510828079999999E-2</v>
      </c>
      <c r="I254">
        <v>1.7253704294E-2</v>
      </c>
      <c r="J254">
        <v>1.7037935596999999E-2</v>
      </c>
      <c r="K254">
        <v>1.6701588781999999E-2</v>
      </c>
      <c r="L254">
        <v>1.6530506330999901E-2</v>
      </c>
      <c r="M254">
        <v>1.61730612569999E-2</v>
      </c>
      <c r="N254">
        <v>1.5768720620999901E-2</v>
      </c>
      <c r="O254">
        <v>0</v>
      </c>
      <c r="P254">
        <v>0</v>
      </c>
      <c r="Q254">
        <v>0</v>
      </c>
      <c r="R254" t="s">
        <v>243</v>
      </c>
    </row>
    <row r="255" spans="1:18" x14ac:dyDescent="0.3">
      <c r="A255" t="s">
        <v>259</v>
      </c>
      <c r="B255" t="s">
        <v>6</v>
      </c>
      <c r="C255" t="s">
        <v>285</v>
      </c>
      <c r="D255">
        <v>2.7422285326099999E-2</v>
      </c>
      <c r="E255">
        <v>3.2395854687999999E-2</v>
      </c>
      <c r="F255">
        <v>3.3236523060000002E-2</v>
      </c>
      <c r="G255">
        <v>2.7927431900000001E-2</v>
      </c>
      <c r="H255">
        <v>2.6690303349999899E-2</v>
      </c>
      <c r="I255">
        <v>2.65511405369999E-2</v>
      </c>
      <c r="J255">
        <v>2.54585392459999E-2</v>
      </c>
      <c r="K255">
        <v>2.4375485233999999E-2</v>
      </c>
      <c r="L255">
        <v>2.3632645400999901E-2</v>
      </c>
      <c r="M255">
        <v>2.2671974689999999E-2</v>
      </c>
      <c r="N255">
        <v>2.16656724489999E-2</v>
      </c>
      <c r="O255">
        <v>0</v>
      </c>
      <c r="P255">
        <v>0</v>
      </c>
      <c r="Q255">
        <v>0</v>
      </c>
      <c r="R255" t="s">
        <v>243</v>
      </c>
    </row>
    <row r="256" spans="1:18" x14ac:dyDescent="0.3">
      <c r="A256" t="s">
        <v>259</v>
      </c>
      <c r="B256" t="s">
        <v>6</v>
      </c>
      <c r="C256" t="s">
        <v>286</v>
      </c>
      <c r="D256">
        <v>2.08640821159E-2</v>
      </c>
      <c r="E256">
        <v>2.5108021070999999E-2</v>
      </c>
      <c r="F256">
        <v>2.535610864E-2</v>
      </c>
      <c r="G256">
        <v>2.1099583399999899E-2</v>
      </c>
      <c r="H256">
        <v>2.0369571560000001E-2</v>
      </c>
      <c r="I256">
        <v>2.0151905956999901E-2</v>
      </c>
      <c r="J256">
        <v>1.9639525904999899E-2</v>
      </c>
      <c r="K256">
        <v>1.9064407368999999E-2</v>
      </c>
      <c r="L256">
        <v>1.8714172017999998E-2</v>
      </c>
      <c r="M256">
        <v>1.8174864309000002E-2</v>
      </c>
      <c r="N256">
        <v>1.75960568119999E-2</v>
      </c>
      <c r="O256">
        <v>0</v>
      </c>
      <c r="P256">
        <v>0</v>
      </c>
      <c r="Q256">
        <v>0</v>
      </c>
      <c r="R256" t="s">
        <v>243</v>
      </c>
    </row>
    <row r="257" spans="1:18" x14ac:dyDescent="0.3">
      <c r="A257" t="s">
        <v>259</v>
      </c>
      <c r="B257" t="s">
        <v>6</v>
      </c>
      <c r="C257" t="s">
        <v>287</v>
      </c>
      <c r="D257">
        <v>2.21318411404E-2</v>
      </c>
      <c r="E257">
        <v>2.6223955253E-2</v>
      </c>
      <c r="F257">
        <v>2.676545726E-2</v>
      </c>
      <c r="G257">
        <v>2.2395842499999999E-2</v>
      </c>
      <c r="H257">
        <v>2.1373516099999899E-2</v>
      </c>
      <c r="I257">
        <v>2.1425756981000001E-2</v>
      </c>
      <c r="J257">
        <v>2.07539916689999E-2</v>
      </c>
      <c r="K257">
        <v>2.00572626499999E-2</v>
      </c>
      <c r="L257">
        <v>1.9613795234E-2</v>
      </c>
      <c r="M257">
        <v>1.8982883459E-2</v>
      </c>
      <c r="N257">
        <v>1.8319433499999999E-2</v>
      </c>
      <c r="O257">
        <v>0</v>
      </c>
      <c r="P257">
        <v>0</v>
      </c>
      <c r="Q257">
        <v>0</v>
      </c>
      <c r="R257" t="s">
        <v>243</v>
      </c>
    </row>
    <row r="258" spans="1:18" x14ac:dyDescent="0.3">
      <c r="A258" t="s">
        <v>259</v>
      </c>
      <c r="B258" t="s">
        <v>6</v>
      </c>
      <c r="C258" t="s">
        <v>288</v>
      </c>
      <c r="D258">
        <v>2.28353075574E-2</v>
      </c>
      <c r="E258">
        <v>2.69694494219999E-2</v>
      </c>
      <c r="F258">
        <v>2.7635274349999999E-2</v>
      </c>
      <c r="G258">
        <v>2.3181615999999999E-2</v>
      </c>
      <c r="H258">
        <v>2.2153917150000001E-2</v>
      </c>
      <c r="I258">
        <v>2.2144780018E-2</v>
      </c>
      <c r="J258">
        <v>2.1398736500999899E-2</v>
      </c>
      <c r="K258">
        <v>2.0646087249000002E-2</v>
      </c>
      <c r="L258">
        <v>2.0166481579999999E-2</v>
      </c>
      <c r="M258">
        <v>1.9496739446999999E-2</v>
      </c>
      <c r="N258">
        <v>1.8789989398999899E-2</v>
      </c>
      <c r="O258">
        <v>0</v>
      </c>
      <c r="P258">
        <v>0</v>
      </c>
      <c r="Q258">
        <v>0</v>
      </c>
      <c r="R258" t="s">
        <v>243</v>
      </c>
    </row>
    <row r="259" spans="1:18" x14ac:dyDescent="0.3">
      <c r="A259" t="s">
        <v>259</v>
      </c>
      <c r="B259" t="s">
        <v>6</v>
      </c>
      <c r="C259" t="s">
        <v>289</v>
      </c>
      <c r="D259">
        <v>2.3415186188199998E-2</v>
      </c>
      <c r="E259">
        <v>2.7621229486000001E-2</v>
      </c>
      <c r="F259">
        <v>2.8321933420000001E-2</v>
      </c>
      <c r="G259">
        <v>2.3773064100000001E-2</v>
      </c>
      <c r="H259">
        <v>2.2732784839999999E-2</v>
      </c>
      <c r="I259">
        <v>2.27211440359999E-2</v>
      </c>
      <c r="J259">
        <v>2.19265946089999E-2</v>
      </c>
      <c r="K259">
        <v>2.1128758527999999E-2</v>
      </c>
      <c r="L259">
        <v>2.0621853225999999E-2</v>
      </c>
      <c r="M259">
        <v>1.9918127622000001E-2</v>
      </c>
      <c r="N259">
        <v>1.9174746640999898E-2</v>
      </c>
      <c r="O259">
        <v>0</v>
      </c>
      <c r="P259">
        <v>0</v>
      </c>
      <c r="Q259">
        <v>0</v>
      </c>
      <c r="R259" t="s">
        <v>243</v>
      </c>
    </row>
    <row r="260" spans="1:18" x14ac:dyDescent="0.3">
      <c r="A260" t="s">
        <v>259</v>
      </c>
      <c r="B260" t="s">
        <v>6</v>
      </c>
      <c r="C260" t="s">
        <v>290</v>
      </c>
      <c r="D260">
        <v>2.39382269333E-2</v>
      </c>
      <c r="E260">
        <v>2.8215092675000001E-2</v>
      </c>
      <c r="F260">
        <v>2.894422374E-2</v>
      </c>
      <c r="G260">
        <v>2.4311627299999999E-2</v>
      </c>
      <c r="H260">
        <v>2.3252451170000001E-2</v>
      </c>
      <c r="I260">
        <v>2.3237668875999901E-2</v>
      </c>
      <c r="J260">
        <v>2.2397995539999899E-2</v>
      </c>
      <c r="K260">
        <v>2.1566096497999902E-2</v>
      </c>
      <c r="L260">
        <v>2.1026611388999999E-2</v>
      </c>
      <c r="M260">
        <v>2.0294987165E-2</v>
      </c>
      <c r="N260">
        <v>1.95219298719999E-2</v>
      </c>
      <c r="O260">
        <v>0</v>
      </c>
      <c r="P260">
        <v>0</v>
      </c>
      <c r="Q260">
        <v>0</v>
      </c>
      <c r="R260" t="s">
        <v>243</v>
      </c>
    </row>
    <row r="261" spans="1:18" x14ac:dyDescent="0.3">
      <c r="A261" t="s">
        <v>259</v>
      </c>
      <c r="B261" t="s">
        <v>6</v>
      </c>
      <c r="C261" t="s">
        <v>291</v>
      </c>
      <c r="D261">
        <v>2.4469844355199999E-2</v>
      </c>
      <c r="E261">
        <v>2.8808860994999901E-2</v>
      </c>
      <c r="F261">
        <v>2.956694587E-2</v>
      </c>
      <c r="G261">
        <v>2.4829849099999999E-2</v>
      </c>
      <c r="H261">
        <v>2.3747870859999898E-2</v>
      </c>
      <c r="I261">
        <v>2.3747730639999999E-2</v>
      </c>
      <c r="J261">
        <v>2.2868141735999901E-2</v>
      </c>
      <c r="K261">
        <v>2.1998117859999999E-2</v>
      </c>
      <c r="L261">
        <v>2.14301629399999E-2</v>
      </c>
      <c r="M261">
        <v>2.06630623099999E-2</v>
      </c>
      <c r="N261">
        <v>1.9851265787E-2</v>
      </c>
      <c r="O261">
        <v>0</v>
      </c>
      <c r="P261">
        <v>0</v>
      </c>
      <c r="Q261">
        <v>0</v>
      </c>
      <c r="R261" t="s">
        <v>243</v>
      </c>
    </row>
    <row r="262" spans="1:18" x14ac:dyDescent="0.3">
      <c r="A262" t="s">
        <v>259</v>
      </c>
      <c r="B262" t="s">
        <v>6</v>
      </c>
      <c r="C262" t="s">
        <v>292</v>
      </c>
      <c r="D262">
        <v>2.5031673007800001E-2</v>
      </c>
      <c r="E262">
        <v>2.9479738546000001E-2</v>
      </c>
      <c r="F262">
        <v>3.024950098E-2</v>
      </c>
      <c r="G262">
        <v>2.54506737999999E-2</v>
      </c>
      <c r="H262">
        <v>2.4339375180000001E-2</v>
      </c>
      <c r="I262">
        <v>2.4303678829999901E-2</v>
      </c>
      <c r="J262">
        <v>2.3387227465E-2</v>
      </c>
      <c r="K262">
        <v>2.2474266629999899E-2</v>
      </c>
      <c r="L262">
        <v>2.1868571457999999E-2</v>
      </c>
      <c r="M262">
        <v>2.1060960960999998E-2</v>
      </c>
      <c r="N262">
        <v>2.0212457447999901E-2</v>
      </c>
      <c r="O262">
        <v>0</v>
      </c>
      <c r="P262">
        <v>0</v>
      </c>
      <c r="Q262">
        <v>0</v>
      </c>
      <c r="R262" t="s">
        <v>243</v>
      </c>
    </row>
    <row r="263" spans="1:18" x14ac:dyDescent="0.3">
      <c r="A263" t="s">
        <v>259</v>
      </c>
      <c r="B263" t="s">
        <v>6</v>
      </c>
      <c r="C263" t="s">
        <v>293</v>
      </c>
      <c r="D263">
        <v>2.5805124290500001E-2</v>
      </c>
      <c r="E263">
        <v>3.0372988351E-2</v>
      </c>
      <c r="F263">
        <v>3.115566904E-2</v>
      </c>
      <c r="G263">
        <v>2.6164193199999901E-2</v>
      </c>
      <c r="H263">
        <v>2.5033115920000001E-2</v>
      </c>
      <c r="I263">
        <v>2.50038734509999E-2</v>
      </c>
      <c r="J263">
        <v>2.4035383649E-2</v>
      </c>
      <c r="K263">
        <v>2.3076957785000001E-2</v>
      </c>
      <c r="L263">
        <v>2.2438005155999901E-2</v>
      </c>
      <c r="M263">
        <v>2.15922814E-2</v>
      </c>
      <c r="N263">
        <v>2.0700155269999999E-2</v>
      </c>
      <c r="O263">
        <v>0</v>
      </c>
      <c r="P263">
        <v>0</v>
      </c>
      <c r="Q263">
        <v>0</v>
      </c>
      <c r="R263" t="s">
        <v>243</v>
      </c>
    </row>
    <row r="264" spans="1:18" x14ac:dyDescent="0.3">
      <c r="A264" t="s">
        <v>259</v>
      </c>
      <c r="B264" t="s">
        <v>6</v>
      </c>
      <c r="C264" t="s">
        <v>344</v>
      </c>
      <c r="D264" s="8">
        <v>2.0533499999999999E-5</v>
      </c>
      <c r="E264" s="8">
        <v>4.5349700000000002E-6</v>
      </c>
      <c r="F264" s="8">
        <v>4.4297799999999998E-6</v>
      </c>
      <c r="G264" s="8">
        <v>3.2897399999999999E-6</v>
      </c>
      <c r="H264" s="8">
        <v>3.42577999999999E-6</v>
      </c>
      <c r="I264" s="8">
        <v>3.4963790000000002E-6</v>
      </c>
      <c r="J264" s="8">
        <v>3.5529579999999998E-6</v>
      </c>
      <c r="K264" s="8">
        <v>3.6132829999999999E-6</v>
      </c>
      <c r="L264" s="8">
        <v>3.6685909999999901E-6</v>
      </c>
      <c r="M264" s="8">
        <v>3.70283999999999E-6</v>
      </c>
      <c r="N264" s="8">
        <v>3.7293800000000001E-6</v>
      </c>
      <c r="O264">
        <v>0</v>
      </c>
      <c r="P264">
        <v>0</v>
      </c>
      <c r="Q264">
        <v>0</v>
      </c>
      <c r="R264" t="s">
        <v>243</v>
      </c>
    </row>
    <row r="265" spans="1:18" x14ac:dyDescent="0.3">
      <c r="A265" t="s">
        <v>259</v>
      </c>
      <c r="B265" t="s">
        <v>6</v>
      </c>
      <c r="C265" t="s">
        <v>345</v>
      </c>
      <c r="D265" s="8">
        <v>1.74038E-6</v>
      </c>
      <c r="E265" s="8">
        <v>3.5318399999999999E-7</v>
      </c>
      <c r="F265" s="8">
        <v>3.2782399999999998E-7</v>
      </c>
      <c r="G265" s="8">
        <v>2.26594E-7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243</v>
      </c>
    </row>
    <row r="266" spans="1:18" x14ac:dyDescent="0.3">
      <c r="A266" t="s">
        <v>259</v>
      </c>
      <c r="B266" t="s">
        <v>6</v>
      </c>
      <c r="C266" t="s">
        <v>346</v>
      </c>
      <c r="D266" s="8">
        <v>1.28465E-5</v>
      </c>
      <c r="E266" s="8">
        <v>2.6562000000000001E-6</v>
      </c>
      <c r="F266" s="8">
        <v>2.5831700000000001E-6</v>
      </c>
      <c r="G266" s="8">
        <v>1.8663100000000001E-6</v>
      </c>
      <c r="H266" s="8">
        <v>1.9317070000000001E-6</v>
      </c>
      <c r="I266" s="8">
        <v>1.9759800000000001E-6</v>
      </c>
      <c r="J266" s="8">
        <v>2.0084659999999998E-6</v>
      </c>
      <c r="K266" s="8">
        <v>2.0427759999999999E-6</v>
      </c>
      <c r="L266" s="8">
        <v>2.0734669999999999E-6</v>
      </c>
      <c r="M266" s="8">
        <v>2.0928160000000001E-6</v>
      </c>
      <c r="N266" s="8">
        <v>2.107685E-6</v>
      </c>
      <c r="O266">
        <v>0</v>
      </c>
      <c r="P266">
        <v>0</v>
      </c>
      <c r="Q266">
        <v>0</v>
      </c>
      <c r="R266" t="s">
        <v>243</v>
      </c>
    </row>
    <row r="267" spans="1:18" x14ac:dyDescent="0.3">
      <c r="A267" t="s">
        <v>259</v>
      </c>
      <c r="B267" t="s">
        <v>6</v>
      </c>
      <c r="C267" t="s">
        <v>347</v>
      </c>
      <c r="D267" s="8">
        <v>9.48062E-6</v>
      </c>
      <c r="E267" s="8">
        <v>2.02297E-6</v>
      </c>
      <c r="F267" s="8">
        <v>1.9213000000000001E-6</v>
      </c>
      <c r="G267" s="8">
        <v>1.36368E-6</v>
      </c>
      <c r="H267" s="8">
        <v>1.3992399999999999E-6</v>
      </c>
      <c r="I267" s="8">
        <v>1.4470549999999999E-6</v>
      </c>
      <c r="J267" s="8">
        <v>1.4692109999999999E-6</v>
      </c>
      <c r="K267" s="8">
        <v>1.4927910000000001E-6</v>
      </c>
      <c r="L267" s="8">
        <v>1.51387E-6</v>
      </c>
      <c r="M267" s="8">
        <v>1.526571E-6</v>
      </c>
      <c r="N267" s="8">
        <v>1.5361410000000001E-6</v>
      </c>
      <c r="O267">
        <v>0</v>
      </c>
      <c r="P267">
        <v>0</v>
      </c>
      <c r="Q267">
        <v>0</v>
      </c>
      <c r="R267" t="s">
        <v>243</v>
      </c>
    </row>
    <row r="268" spans="1:18" x14ac:dyDescent="0.3">
      <c r="A268" t="s">
        <v>259</v>
      </c>
      <c r="B268" t="s">
        <v>6</v>
      </c>
      <c r="C268" t="s">
        <v>348</v>
      </c>
      <c r="D268" s="8">
        <v>7.7998100000000001E-6</v>
      </c>
      <c r="E268" s="8">
        <v>1.66561E-6</v>
      </c>
      <c r="F268" s="8">
        <v>1.56028E-6</v>
      </c>
      <c r="G268" s="8">
        <v>1.09383E-6</v>
      </c>
      <c r="H268" s="8">
        <v>1.122351E-6</v>
      </c>
      <c r="I268" s="8">
        <v>1.1601589999999899E-6</v>
      </c>
      <c r="J268" s="8">
        <v>1.177432E-6</v>
      </c>
      <c r="K268" s="8">
        <v>1.1962079999999899E-6</v>
      </c>
      <c r="L268" s="8">
        <v>1.213183E-6</v>
      </c>
      <c r="M268" s="8">
        <v>1.2235229999999901E-6</v>
      </c>
      <c r="N268" s="8">
        <v>1.231047E-6</v>
      </c>
      <c r="O268">
        <v>0</v>
      </c>
      <c r="P268">
        <v>0</v>
      </c>
      <c r="Q268">
        <v>0</v>
      </c>
      <c r="R268" t="s">
        <v>243</v>
      </c>
    </row>
    <row r="269" spans="1:18" x14ac:dyDescent="0.3">
      <c r="A269" t="s">
        <v>259</v>
      </c>
      <c r="B269" t="s">
        <v>6</v>
      </c>
      <c r="C269" t="s">
        <v>349</v>
      </c>
      <c r="D269" s="8">
        <v>6.5594100000000001E-6</v>
      </c>
      <c r="E269" s="8">
        <v>1.3981100000000001E-6</v>
      </c>
      <c r="F269" s="8">
        <v>1.30922E-6</v>
      </c>
      <c r="G269" s="8">
        <v>9.1255600000000001E-7</v>
      </c>
      <c r="H269" s="8">
        <v>9.3634899999999896E-7</v>
      </c>
      <c r="I269" s="8">
        <v>9.6911599999999998E-7</v>
      </c>
      <c r="J269" s="8">
        <v>9.8334199999999901E-7</v>
      </c>
      <c r="K269" s="8">
        <v>9.9873499999999998E-7</v>
      </c>
      <c r="L269" s="8">
        <v>1.0129999999999899E-6</v>
      </c>
      <c r="M269" s="8">
        <v>1.021565E-6</v>
      </c>
      <c r="N269" s="8">
        <v>1.0276309999999999E-6</v>
      </c>
      <c r="O269">
        <v>0</v>
      </c>
      <c r="P269">
        <v>0</v>
      </c>
      <c r="Q269">
        <v>0</v>
      </c>
      <c r="R269" t="s">
        <v>243</v>
      </c>
    </row>
    <row r="270" spans="1:18" x14ac:dyDescent="0.3">
      <c r="A270" t="s">
        <v>259</v>
      </c>
      <c r="B270" t="s">
        <v>6</v>
      </c>
      <c r="C270" t="s">
        <v>350</v>
      </c>
      <c r="D270" s="8">
        <v>5.5721999999999998E-6</v>
      </c>
      <c r="E270" s="8">
        <v>1.18703E-6</v>
      </c>
      <c r="F270" s="8">
        <v>1.11004E-6</v>
      </c>
      <c r="G270" s="8">
        <v>7.7041999999999999E-7</v>
      </c>
      <c r="H270" s="8">
        <v>7.9050699999999997E-7</v>
      </c>
      <c r="I270" s="8">
        <v>8.1880999999999996E-7</v>
      </c>
      <c r="J270" s="8">
        <v>8.3048299999999999E-7</v>
      </c>
      <c r="K270" s="8">
        <v>8.4345499999999998E-7</v>
      </c>
      <c r="L270" s="8">
        <v>8.5522299999999998E-7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243</v>
      </c>
    </row>
    <row r="271" spans="1:18" x14ac:dyDescent="0.3">
      <c r="A271" t="s">
        <v>259</v>
      </c>
      <c r="B271" t="s">
        <v>6</v>
      </c>
      <c r="C271" t="s">
        <v>351</v>
      </c>
      <c r="D271" s="8">
        <v>4.69988E-6</v>
      </c>
      <c r="E271" s="8">
        <v>1.0052200000000001E-6</v>
      </c>
      <c r="F271" s="8">
        <v>9.3782700000000005E-7</v>
      </c>
      <c r="G271" s="8">
        <v>6.5094300000000001E-7</v>
      </c>
      <c r="H271" s="8">
        <v>6.6791499999999998E-7</v>
      </c>
      <c r="I271" s="8">
        <v>6.9277699999999996E-7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243</v>
      </c>
    </row>
    <row r="272" spans="1:18" x14ac:dyDescent="0.3">
      <c r="A272" t="s">
        <v>259</v>
      </c>
      <c r="B272" t="s">
        <v>6</v>
      </c>
      <c r="C272" t="s">
        <v>352</v>
      </c>
      <c r="D272" s="8">
        <v>3.9126700000000003E-6</v>
      </c>
      <c r="E272" s="8">
        <v>8.3175999999999998E-7</v>
      </c>
      <c r="F272" s="8">
        <v>7.7806399999999997E-7</v>
      </c>
      <c r="G272" s="8">
        <v>5.3146600000000003E-7</v>
      </c>
      <c r="H272" s="8">
        <v>5.4532299999999999E-7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243</v>
      </c>
    </row>
    <row r="273" spans="1:18" x14ac:dyDescent="0.3">
      <c r="A273" t="s">
        <v>259</v>
      </c>
      <c r="B273" t="s">
        <v>6</v>
      </c>
      <c r="C273" t="s">
        <v>353</v>
      </c>
      <c r="D273" s="8">
        <v>3.0275799999999999E-6</v>
      </c>
      <c r="E273" s="8">
        <v>6.4367299999999997E-7</v>
      </c>
      <c r="F273" s="8">
        <v>6.0170299999999997E-7</v>
      </c>
      <c r="G273" s="8">
        <v>4.1816900000000002E-7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243</v>
      </c>
    </row>
    <row r="274" spans="1:18" x14ac:dyDescent="0.3">
      <c r="A274" t="s">
        <v>259</v>
      </c>
      <c r="B274" t="s">
        <v>6</v>
      </c>
      <c r="C274" t="s">
        <v>294</v>
      </c>
      <c r="D274">
        <v>1.16646071E-3</v>
      </c>
      <c r="E274">
        <v>1.522139879E-3</v>
      </c>
      <c r="F274">
        <v>1.5732023699999999E-3</v>
      </c>
      <c r="G274">
        <v>1.31487317E-3</v>
      </c>
      <c r="H274">
        <v>1.345806868E-3</v>
      </c>
      <c r="I274">
        <v>1.37569057799999E-3</v>
      </c>
      <c r="J274">
        <v>1.5052179179999999E-3</v>
      </c>
      <c r="K274">
        <v>1.584945799E-3</v>
      </c>
      <c r="L274">
        <v>1.6530768650000001E-3</v>
      </c>
      <c r="M274">
        <v>1.7060817559999999E-3</v>
      </c>
      <c r="N274">
        <v>1.7560756099999999E-3</v>
      </c>
      <c r="O274">
        <v>0</v>
      </c>
      <c r="P274">
        <v>0</v>
      </c>
      <c r="Q274">
        <v>0</v>
      </c>
      <c r="R274" t="s">
        <v>243</v>
      </c>
    </row>
    <row r="275" spans="1:18" x14ac:dyDescent="0.3">
      <c r="A275" t="s">
        <v>259</v>
      </c>
      <c r="B275" t="s">
        <v>6</v>
      </c>
      <c r="C275" t="s">
        <v>295</v>
      </c>
      <c r="D275">
        <v>6.7452947600000002E-3</v>
      </c>
      <c r="E275">
        <v>7.3529129299999899E-3</v>
      </c>
      <c r="F275">
        <v>7.8246233999999994E-3</v>
      </c>
      <c r="G275">
        <v>6.7914328000000003E-3</v>
      </c>
      <c r="H275">
        <v>6.6310300000000004E-3</v>
      </c>
      <c r="I275">
        <v>6.8507945799999997E-3</v>
      </c>
      <c r="J275">
        <v>6.8856899439999897E-3</v>
      </c>
      <c r="K275">
        <v>7.0023376899999998E-3</v>
      </c>
      <c r="L275">
        <v>7.0890180099999998E-3</v>
      </c>
      <c r="M275">
        <v>7.1070734199999899E-3</v>
      </c>
      <c r="N275">
        <v>7.1156016300000001E-3</v>
      </c>
      <c r="O275">
        <v>0</v>
      </c>
      <c r="P275">
        <v>0</v>
      </c>
      <c r="Q275">
        <v>0</v>
      </c>
      <c r="R275" t="s">
        <v>243</v>
      </c>
    </row>
    <row r="276" spans="1:18" x14ac:dyDescent="0.3">
      <c r="A276" t="s">
        <v>259</v>
      </c>
      <c r="B276" t="s">
        <v>6</v>
      </c>
      <c r="C276" t="s">
        <v>296</v>
      </c>
      <c r="D276">
        <v>1.7878377309999999E-3</v>
      </c>
      <c r="E276">
        <v>2.4154239799999999E-3</v>
      </c>
      <c r="F276">
        <v>2.5117021899999999E-3</v>
      </c>
      <c r="G276">
        <v>2.1524722099999999E-3</v>
      </c>
      <c r="H276">
        <v>2.114258623E-3</v>
      </c>
      <c r="I276">
        <v>2.1479908870000002E-3</v>
      </c>
      <c r="J276">
        <v>2.3135893729999998E-3</v>
      </c>
      <c r="K276">
        <v>2.4399030020000002E-3</v>
      </c>
      <c r="L276">
        <v>2.5437691E-3</v>
      </c>
      <c r="M276">
        <v>2.6258833830000001E-3</v>
      </c>
      <c r="N276">
        <v>2.7031089410000002E-3</v>
      </c>
      <c r="O276">
        <v>0</v>
      </c>
      <c r="P276">
        <v>0</v>
      </c>
      <c r="Q276">
        <v>0</v>
      </c>
      <c r="R276" t="s">
        <v>243</v>
      </c>
    </row>
    <row r="277" spans="1:18" x14ac:dyDescent="0.3">
      <c r="A277" t="s">
        <v>259</v>
      </c>
      <c r="B277" t="s">
        <v>6</v>
      </c>
      <c r="C277" t="s">
        <v>297</v>
      </c>
      <c r="D277">
        <v>2.3160024899999999E-3</v>
      </c>
      <c r="E277">
        <v>2.9890633099999898E-3</v>
      </c>
      <c r="F277">
        <v>3.1689135699999901E-3</v>
      </c>
      <c r="G277">
        <v>2.75433784E-3</v>
      </c>
      <c r="H277">
        <v>2.5314808469999901E-3</v>
      </c>
      <c r="I277">
        <v>2.7572471389999999E-3</v>
      </c>
      <c r="J277">
        <v>2.92967958799999E-3</v>
      </c>
      <c r="K277">
        <v>3.0718676839999902E-3</v>
      </c>
      <c r="L277">
        <v>3.1855550999999901E-3</v>
      </c>
      <c r="M277">
        <v>3.2700561E-3</v>
      </c>
      <c r="N277">
        <v>3.3496004299999999E-3</v>
      </c>
      <c r="O277">
        <v>0</v>
      </c>
      <c r="P277">
        <v>0</v>
      </c>
      <c r="Q277">
        <v>0</v>
      </c>
      <c r="R277" t="s">
        <v>243</v>
      </c>
    </row>
    <row r="278" spans="1:18" x14ac:dyDescent="0.3">
      <c r="A278" t="s">
        <v>259</v>
      </c>
      <c r="B278" t="s">
        <v>6</v>
      </c>
      <c r="C278" t="s">
        <v>298</v>
      </c>
      <c r="D278">
        <v>2.71155893E-3</v>
      </c>
      <c r="E278">
        <v>3.4476143199999999E-3</v>
      </c>
      <c r="F278">
        <v>3.6898179499999999E-3</v>
      </c>
      <c r="G278">
        <v>3.2341833800000001E-3</v>
      </c>
      <c r="H278">
        <v>2.9779864600000001E-3</v>
      </c>
      <c r="I278">
        <v>3.22033650599999E-3</v>
      </c>
      <c r="J278">
        <v>3.39591831699999E-3</v>
      </c>
      <c r="K278">
        <v>3.5543059759999998E-3</v>
      </c>
      <c r="L278">
        <v>3.6831917199999999E-3</v>
      </c>
      <c r="M278">
        <v>3.7783520399999899E-3</v>
      </c>
      <c r="N278">
        <v>3.8635919999999999E-3</v>
      </c>
      <c r="O278">
        <v>0</v>
      </c>
      <c r="P278">
        <v>0</v>
      </c>
      <c r="Q278">
        <v>0</v>
      </c>
      <c r="R278" t="s">
        <v>243</v>
      </c>
    </row>
    <row r="279" spans="1:18" x14ac:dyDescent="0.3">
      <c r="A279" t="s">
        <v>259</v>
      </c>
      <c r="B279" t="s">
        <v>6</v>
      </c>
      <c r="C279" t="s">
        <v>299</v>
      </c>
      <c r="D279">
        <v>3.0993266599999999E-3</v>
      </c>
      <c r="E279">
        <v>3.89026053E-3</v>
      </c>
      <c r="F279">
        <v>4.1599075600000004E-3</v>
      </c>
      <c r="G279">
        <v>3.65078959999999E-3</v>
      </c>
      <c r="H279">
        <v>3.3887125800000002E-3</v>
      </c>
      <c r="I279">
        <v>3.6528309559999998E-3</v>
      </c>
      <c r="J279">
        <v>3.8309042989999901E-3</v>
      </c>
      <c r="K279">
        <v>3.9975200469999899E-3</v>
      </c>
      <c r="L279">
        <v>4.1387335599999998E-3</v>
      </c>
      <c r="M279">
        <v>4.2377761999999996E-3</v>
      </c>
      <c r="N279">
        <v>4.3233329299999998E-3</v>
      </c>
      <c r="O279">
        <v>0</v>
      </c>
      <c r="P279">
        <v>0</v>
      </c>
      <c r="Q279">
        <v>0</v>
      </c>
      <c r="R279" t="s">
        <v>243</v>
      </c>
    </row>
    <row r="280" spans="1:18" x14ac:dyDescent="0.3">
      <c r="A280" t="s">
        <v>259</v>
      </c>
      <c r="B280" t="s">
        <v>6</v>
      </c>
      <c r="C280" t="s">
        <v>300</v>
      </c>
      <c r="D280">
        <v>3.4949101299999999E-3</v>
      </c>
      <c r="E280">
        <v>4.3203514099999897E-3</v>
      </c>
      <c r="F280">
        <v>4.6215526000000003E-3</v>
      </c>
      <c r="G280">
        <v>4.0623953500000002E-3</v>
      </c>
      <c r="H280">
        <v>3.8010035299999999E-3</v>
      </c>
      <c r="I280">
        <v>4.0775801329999998E-3</v>
      </c>
      <c r="J280">
        <v>4.2495160000000001E-3</v>
      </c>
      <c r="K280">
        <v>4.4251095580000004E-3</v>
      </c>
      <c r="L280">
        <v>4.5674525999999998E-3</v>
      </c>
      <c r="M280">
        <v>4.6694152799999899E-3</v>
      </c>
      <c r="N280">
        <v>4.7559215200000003E-3</v>
      </c>
      <c r="O280">
        <v>0</v>
      </c>
      <c r="P280">
        <v>0</v>
      </c>
      <c r="Q280">
        <v>0</v>
      </c>
      <c r="R280" t="s">
        <v>243</v>
      </c>
    </row>
    <row r="281" spans="1:18" x14ac:dyDescent="0.3">
      <c r="A281" t="s">
        <v>259</v>
      </c>
      <c r="B281" t="s">
        <v>6</v>
      </c>
      <c r="C281" t="s">
        <v>301</v>
      </c>
      <c r="D281">
        <v>3.9362027299999899E-3</v>
      </c>
      <c r="E281">
        <v>4.7688798400000003E-3</v>
      </c>
      <c r="F281">
        <v>5.1068652800000001E-3</v>
      </c>
      <c r="G281">
        <v>4.4776892899999997E-3</v>
      </c>
      <c r="H281">
        <v>4.2349659899999998E-3</v>
      </c>
      <c r="I281">
        <v>4.5218111819999903E-3</v>
      </c>
      <c r="J281">
        <v>4.6861125429999897E-3</v>
      </c>
      <c r="K281">
        <v>4.863154584E-3</v>
      </c>
      <c r="L281">
        <v>5.0078049999999997E-3</v>
      </c>
      <c r="M281">
        <v>5.1028351700000002E-3</v>
      </c>
      <c r="N281">
        <v>5.1787440800000004E-3</v>
      </c>
      <c r="O281">
        <v>0</v>
      </c>
      <c r="P281">
        <v>0</v>
      </c>
      <c r="Q281">
        <v>0</v>
      </c>
      <c r="R281" t="s">
        <v>243</v>
      </c>
    </row>
    <row r="282" spans="1:18" x14ac:dyDescent="0.3">
      <c r="A282" t="s">
        <v>259</v>
      </c>
      <c r="B282" t="s">
        <v>6</v>
      </c>
      <c r="C282" t="s">
        <v>302</v>
      </c>
      <c r="D282">
        <v>4.4384745200000001E-3</v>
      </c>
      <c r="E282">
        <v>5.28760259E-3</v>
      </c>
      <c r="F282">
        <v>5.6524661099999996E-3</v>
      </c>
      <c r="G282">
        <v>4.9856896899999996E-3</v>
      </c>
      <c r="H282">
        <v>4.7280673300000003E-3</v>
      </c>
      <c r="I282">
        <v>5.0205800599999999E-3</v>
      </c>
      <c r="J282">
        <v>5.1759998759999997E-3</v>
      </c>
      <c r="K282">
        <v>5.35049441E-3</v>
      </c>
      <c r="L282">
        <v>5.4876338999999899E-3</v>
      </c>
      <c r="M282">
        <v>5.5706396499999996E-3</v>
      </c>
      <c r="N282">
        <v>5.6386147299999903E-3</v>
      </c>
      <c r="O282">
        <v>0</v>
      </c>
      <c r="P282">
        <v>0</v>
      </c>
      <c r="Q282">
        <v>0</v>
      </c>
      <c r="R282" t="s">
        <v>243</v>
      </c>
    </row>
    <row r="283" spans="1:18" x14ac:dyDescent="0.3">
      <c r="A283" t="s">
        <v>259</v>
      </c>
      <c r="B283" t="s">
        <v>6</v>
      </c>
      <c r="C283" t="s">
        <v>303</v>
      </c>
      <c r="D283">
        <v>5.1737769700000002E-3</v>
      </c>
      <c r="E283">
        <v>5.9758883799999997E-3</v>
      </c>
      <c r="F283">
        <v>6.3730324899999996E-3</v>
      </c>
      <c r="G283">
        <v>5.5620986900000004E-3</v>
      </c>
      <c r="H283">
        <v>5.3495633500000002E-3</v>
      </c>
      <c r="I283">
        <v>5.6437310699999996E-3</v>
      </c>
      <c r="J283">
        <v>5.7729536179999897E-3</v>
      </c>
      <c r="K283">
        <v>5.9419218800000001E-3</v>
      </c>
      <c r="L283">
        <v>6.0762671400000001E-3</v>
      </c>
      <c r="M283">
        <v>6.1497635400000004E-3</v>
      </c>
      <c r="N283">
        <v>6.2050435399999999E-3</v>
      </c>
      <c r="O283">
        <v>0</v>
      </c>
      <c r="P283">
        <v>0</v>
      </c>
      <c r="Q283">
        <v>0</v>
      </c>
      <c r="R283" t="s">
        <v>243</v>
      </c>
    </row>
    <row r="284" spans="1:18" x14ac:dyDescent="0.3">
      <c r="A284" t="s">
        <v>259</v>
      </c>
      <c r="B284" t="s">
        <v>6</v>
      </c>
      <c r="C284" t="s">
        <v>304</v>
      </c>
      <c r="D284">
        <v>2.75889E-3</v>
      </c>
      <c r="E284">
        <v>3.0098899999999999E-3</v>
      </c>
      <c r="F284">
        <v>3.1467700000000001E-3</v>
      </c>
      <c r="G284">
        <v>2.92984E-3</v>
      </c>
      <c r="H284">
        <v>3.2341699999999902E-3</v>
      </c>
      <c r="I284">
        <v>3.2843310000000001E-3</v>
      </c>
      <c r="J284">
        <v>3.3263979999999999E-3</v>
      </c>
      <c r="K284">
        <v>3.424439E-3</v>
      </c>
      <c r="L284">
        <v>3.504409E-3</v>
      </c>
      <c r="M284">
        <v>3.5576000000000002E-3</v>
      </c>
      <c r="N284">
        <v>3.598609E-3</v>
      </c>
      <c r="O284">
        <v>0</v>
      </c>
      <c r="P284">
        <v>0</v>
      </c>
      <c r="Q284">
        <v>0</v>
      </c>
      <c r="R284" t="s">
        <v>243</v>
      </c>
    </row>
    <row r="285" spans="1:18" x14ac:dyDescent="0.3">
      <c r="A285" t="s">
        <v>259</v>
      </c>
      <c r="B285" t="s">
        <v>6</v>
      </c>
      <c r="C285" t="s">
        <v>305</v>
      </c>
      <c r="D285">
        <v>4.5079400000000002E-3</v>
      </c>
      <c r="E285">
        <v>4.6083299999999999E-3</v>
      </c>
      <c r="F285">
        <v>4.8293199999999998E-3</v>
      </c>
      <c r="G285">
        <v>4.5699299999999998E-3</v>
      </c>
      <c r="H285">
        <v>4.68893E-3</v>
      </c>
      <c r="I285">
        <v>4.8539499999999897E-3</v>
      </c>
      <c r="J285">
        <v>4.9190559999999998E-3</v>
      </c>
      <c r="K285">
        <v>4.9912689999999996E-3</v>
      </c>
      <c r="L285">
        <v>5.0559999999999997E-3</v>
      </c>
      <c r="M285">
        <v>5.0934719999999999E-3</v>
      </c>
      <c r="N285">
        <v>5.1173989999999999E-3</v>
      </c>
      <c r="O285">
        <v>0</v>
      </c>
      <c r="P285">
        <v>0</v>
      </c>
      <c r="Q285">
        <v>0</v>
      </c>
      <c r="R285" t="s">
        <v>243</v>
      </c>
    </row>
    <row r="286" spans="1:18" x14ac:dyDescent="0.3">
      <c r="A286" t="s">
        <v>259</v>
      </c>
      <c r="B286" t="s">
        <v>6</v>
      </c>
      <c r="C286" t="s">
        <v>306</v>
      </c>
      <c r="D286">
        <v>3.2956999999999999E-3</v>
      </c>
      <c r="E286">
        <v>3.5153300000000001E-3</v>
      </c>
      <c r="F286">
        <v>3.6705900000000001E-3</v>
      </c>
      <c r="G286">
        <v>3.4527400000000001E-3</v>
      </c>
      <c r="H286">
        <v>3.6261900000000001E-3</v>
      </c>
      <c r="I286">
        <v>3.7065689999999998E-3</v>
      </c>
      <c r="J286">
        <v>3.7655980000000002E-3</v>
      </c>
      <c r="K286">
        <v>3.8396339999999902E-3</v>
      </c>
      <c r="L286">
        <v>3.9024630000000001E-3</v>
      </c>
      <c r="M286">
        <v>3.9420849999999997E-3</v>
      </c>
      <c r="N286">
        <v>3.9720390000000001E-3</v>
      </c>
      <c r="O286">
        <v>0</v>
      </c>
      <c r="P286">
        <v>0</v>
      </c>
      <c r="Q286">
        <v>0</v>
      </c>
      <c r="R286" t="s">
        <v>243</v>
      </c>
    </row>
    <row r="287" spans="1:18" x14ac:dyDescent="0.3">
      <c r="A287" t="s">
        <v>259</v>
      </c>
      <c r="B287" t="s">
        <v>6</v>
      </c>
      <c r="C287" t="s">
        <v>307</v>
      </c>
      <c r="D287">
        <v>3.5692599999999999E-3</v>
      </c>
      <c r="E287">
        <v>3.70697E-3</v>
      </c>
      <c r="F287">
        <v>3.8833499999999998E-3</v>
      </c>
      <c r="G287">
        <v>3.6648000000000002E-3</v>
      </c>
      <c r="H287">
        <v>3.7756E-3</v>
      </c>
      <c r="I287">
        <v>3.90684E-3</v>
      </c>
      <c r="J287">
        <v>3.9660349999999997E-3</v>
      </c>
      <c r="K287">
        <v>4.0319459999999998E-3</v>
      </c>
      <c r="L287">
        <v>4.0898940000000002E-3</v>
      </c>
      <c r="M287">
        <v>4.1247760000000001E-3</v>
      </c>
      <c r="N287">
        <v>4.150918E-3</v>
      </c>
      <c r="O287">
        <v>0</v>
      </c>
      <c r="P287">
        <v>0</v>
      </c>
      <c r="Q287">
        <v>0</v>
      </c>
      <c r="R287" t="s">
        <v>243</v>
      </c>
    </row>
    <row r="288" spans="1:18" x14ac:dyDescent="0.3">
      <c r="A288" t="s">
        <v>259</v>
      </c>
      <c r="B288" t="s">
        <v>6</v>
      </c>
      <c r="C288" t="s">
        <v>308</v>
      </c>
      <c r="D288">
        <v>3.7147600000000001E-3</v>
      </c>
      <c r="E288">
        <v>3.8259100000000001E-3</v>
      </c>
      <c r="F288">
        <v>4.0129099999999997E-3</v>
      </c>
      <c r="G288">
        <v>3.79336E-3</v>
      </c>
      <c r="H288">
        <v>3.89799E-3</v>
      </c>
      <c r="I288">
        <v>4.0299200000000002E-3</v>
      </c>
      <c r="J288">
        <v>4.0896419999999897E-3</v>
      </c>
      <c r="K288">
        <v>4.1555059999999998E-3</v>
      </c>
      <c r="L288">
        <v>4.2147169999999998E-3</v>
      </c>
      <c r="M288">
        <v>4.2507619999999999E-3</v>
      </c>
      <c r="N288">
        <v>4.2769590000000003E-3</v>
      </c>
      <c r="O288">
        <v>0</v>
      </c>
      <c r="P288">
        <v>0</v>
      </c>
      <c r="Q288">
        <v>0</v>
      </c>
      <c r="R288" t="s">
        <v>243</v>
      </c>
    </row>
    <row r="289" spans="1:18" x14ac:dyDescent="0.3">
      <c r="A289" t="s">
        <v>259</v>
      </c>
      <c r="B289" t="s">
        <v>6</v>
      </c>
      <c r="C289" t="s">
        <v>309</v>
      </c>
      <c r="D289">
        <v>3.8279799999999999E-3</v>
      </c>
      <c r="E289">
        <v>3.9247099999999997E-3</v>
      </c>
      <c r="F289">
        <v>4.1141199999999998E-3</v>
      </c>
      <c r="G289">
        <v>3.8901399999999998E-3</v>
      </c>
      <c r="H289">
        <v>3.99374E-3</v>
      </c>
      <c r="I289">
        <v>4.1335899999999899E-3</v>
      </c>
      <c r="J289">
        <v>4.1941069999999999E-3</v>
      </c>
      <c r="K289">
        <v>4.2599179999999997E-3</v>
      </c>
      <c r="L289">
        <v>4.3208270000000002E-3</v>
      </c>
      <c r="M289">
        <v>4.3573750000000001E-3</v>
      </c>
      <c r="N289">
        <v>4.3832610000000003E-3</v>
      </c>
      <c r="O289">
        <v>0</v>
      </c>
      <c r="P289">
        <v>0</v>
      </c>
      <c r="Q289">
        <v>0</v>
      </c>
      <c r="R289" t="s">
        <v>243</v>
      </c>
    </row>
    <row r="290" spans="1:18" x14ac:dyDescent="0.3">
      <c r="A290" t="s">
        <v>259</v>
      </c>
      <c r="B290" t="s">
        <v>6</v>
      </c>
      <c r="C290" t="s">
        <v>310</v>
      </c>
      <c r="D290">
        <v>3.9244700000000002E-3</v>
      </c>
      <c r="E290">
        <v>4.0118699999999998E-3</v>
      </c>
      <c r="F290">
        <v>4.20521E-3</v>
      </c>
      <c r="G290">
        <v>3.97826E-3</v>
      </c>
      <c r="H290">
        <v>4.0826500000000002E-3</v>
      </c>
      <c r="I290">
        <v>4.2287499999999999E-3</v>
      </c>
      <c r="J290">
        <v>4.2888910000000004E-3</v>
      </c>
      <c r="K290">
        <v>4.3559169999999999E-3</v>
      </c>
      <c r="L290">
        <v>4.4167059999999899E-3</v>
      </c>
      <c r="M290">
        <v>4.4542430000000001E-3</v>
      </c>
      <c r="N290">
        <v>4.480604E-3</v>
      </c>
      <c r="O290">
        <v>0</v>
      </c>
      <c r="P290">
        <v>0</v>
      </c>
      <c r="Q290">
        <v>0</v>
      </c>
      <c r="R290" t="s">
        <v>243</v>
      </c>
    </row>
    <row r="291" spans="1:18" x14ac:dyDescent="0.3">
      <c r="A291" t="s">
        <v>259</v>
      </c>
      <c r="B291" t="s">
        <v>6</v>
      </c>
      <c r="C291" t="s">
        <v>311</v>
      </c>
      <c r="D291">
        <v>4.0179300000000003E-3</v>
      </c>
      <c r="E291">
        <v>4.0975100000000004E-3</v>
      </c>
      <c r="F291">
        <v>4.2959799999999996E-3</v>
      </c>
      <c r="G291">
        <v>4.0630600000000003E-3</v>
      </c>
      <c r="H291">
        <v>4.1691000000000002E-3</v>
      </c>
      <c r="I291">
        <v>4.3241599999999996E-3</v>
      </c>
      <c r="J291">
        <v>4.3845400000000001E-3</v>
      </c>
      <c r="K291">
        <v>4.4519599999999996E-3</v>
      </c>
      <c r="L291">
        <v>4.5136109999999998E-3</v>
      </c>
      <c r="M291">
        <v>4.550658E-3</v>
      </c>
      <c r="N291">
        <v>4.57555299999999E-3</v>
      </c>
      <c r="O291">
        <v>0</v>
      </c>
      <c r="P291">
        <v>0</v>
      </c>
      <c r="Q291">
        <v>0</v>
      </c>
      <c r="R291" t="s">
        <v>243</v>
      </c>
    </row>
    <row r="292" spans="1:18" x14ac:dyDescent="0.3">
      <c r="A292" t="s">
        <v>259</v>
      </c>
      <c r="B292" t="s">
        <v>6</v>
      </c>
      <c r="C292" t="s">
        <v>312</v>
      </c>
      <c r="D292">
        <v>4.1133300000000001E-3</v>
      </c>
      <c r="E292">
        <v>4.19338E-3</v>
      </c>
      <c r="F292">
        <v>4.3952699999999997E-3</v>
      </c>
      <c r="G292">
        <v>4.1646399999999998E-3</v>
      </c>
      <c r="H292">
        <v>4.27313E-3</v>
      </c>
      <c r="I292">
        <v>4.4286200000000003E-3</v>
      </c>
      <c r="J292">
        <v>4.4907910000000001E-3</v>
      </c>
      <c r="K292">
        <v>4.5588520000000004E-3</v>
      </c>
      <c r="L292">
        <v>4.6202299999999899E-3</v>
      </c>
      <c r="M292">
        <v>4.6566609999999899E-3</v>
      </c>
      <c r="N292">
        <v>4.6815110000000002E-3</v>
      </c>
      <c r="O292">
        <v>0</v>
      </c>
      <c r="P292">
        <v>0</v>
      </c>
      <c r="Q292">
        <v>0</v>
      </c>
      <c r="R292" t="s">
        <v>243</v>
      </c>
    </row>
    <row r="293" spans="1:18" x14ac:dyDescent="0.3">
      <c r="A293" t="s">
        <v>259</v>
      </c>
      <c r="B293" t="s">
        <v>6</v>
      </c>
      <c r="C293" t="s">
        <v>313</v>
      </c>
      <c r="D293">
        <v>4.2418200000000003E-3</v>
      </c>
      <c r="E293">
        <v>4.3205600000000002E-3</v>
      </c>
      <c r="F293">
        <v>4.52697E-3</v>
      </c>
      <c r="G293">
        <v>4.2814000000000003E-3</v>
      </c>
      <c r="H293">
        <v>4.3957900000000001E-3</v>
      </c>
      <c r="I293">
        <v>4.56085E-3</v>
      </c>
      <c r="J293">
        <v>4.6238620000000003E-3</v>
      </c>
      <c r="K293">
        <v>4.6941459999999997E-3</v>
      </c>
      <c r="L293">
        <v>4.7583E-3</v>
      </c>
      <c r="M293">
        <v>4.7968450000000001E-3</v>
      </c>
      <c r="N293">
        <v>4.8224380000000001E-3</v>
      </c>
      <c r="O293">
        <v>0</v>
      </c>
      <c r="P293">
        <v>0</v>
      </c>
      <c r="Q293">
        <v>0</v>
      </c>
      <c r="R293" t="s">
        <v>243</v>
      </c>
    </row>
    <row r="294" spans="1:18" x14ac:dyDescent="0.3">
      <c r="A294" t="s">
        <v>259</v>
      </c>
      <c r="B294" t="s">
        <v>6</v>
      </c>
      <c r="C294" t="s">
        <v>314</v>
      </c>
      <c r="D294" s="8">
        <v>6.4167299999999896E-4</v>
      </c>
      <c r="E294" s="8">
        <v>7.1440199999999896E-4</v>
      </c>
      <c r="F294" s="8">
        <v>7.13538E-4</v>
      </c>
      <c r="G294" s="8">
        <v>6.5540499999999996E-4</v>
      </c>
      <c r="H294" s="8">
        <v>6.9610970000000001E-4</v>
      </c>
      <c r="I294" s="8">
        <v>6.9686420000000002E-4</v>
      </c>
      <c r="J294" s="8">
        <v>7.0540640000000003E-4</v>
      </c>
      <c r="K294" s="8">
        <v>7.1927809999999999E-4</v>
      </c>
      <c r="L294" s="8">
        <v>7.2930979999999998E-4</v>
      </c>
      <c r="M294" s="8">
        <v>7.3429650000000001E-4</v>
      </c>
      <c r="N294" s="8">
        <v>7.3643339999999904E-4</v>
      </c>
      <c r="O294">
        <v>0</v>
      </c>
      <c r="P294">
        <v>0</v>
      </c>
      <c r="Q294">
        <v>0</v>
      </c>
      <c r="R294" t="s">
        <v>243</v>
      </c>
    </row>
    <row r="295" spans="1:18" x14ac:dyDescent="0.3">
      <c r="A295" t="s">
        <v>259</v>
      </c>
      <c r="B295" t="s">
        <v>6</v>
      </c>
      <c r="C295" t="s">
        <v>315</v>
      </c>
      <c r="D295">
        <v>1.105029E-3</v>
      </c>
      <c r="E295">
        <v>1.1284209999999999E-3</v>
      </c>
      <c r="F295">
        <v>1.1378479999999999E-3</v>
      </c>
      <c r="G295">
        <v>1.0634450000000001E-3</v>
      </c>
      <c r="H295">
        <v>1.0366716000000001E-3</v>
      </c>
      <c r="I295">
        <v>1.0585284999999999E-3</v>
      </c>
      <c r="J295">
        <v>1.0707380999999999E-3</v>
      </c>
      <c r="K295">
        <v>1.0695701E-3</v>
      </c>
      <c r="L295">
        <v>1.0689762E-3</v>
      </c>
      <c r="M295">
        <v>1.0645187E-3</v>
      </c>
      <c r="N295">
        <v>1.0572692000000001E-3</v>
      </c>
      <c r="O295">
        <v>0</v>
      </c>
      <c r="P295">
        <v>0</v>
      </c>
      <c r="Q295">
        <v>0</v>
      </c>
      <c r="R295" t="s">
        <v>243</v>
      </c>
    </row>
    <row r="296" spans="1:18" x14ac:dyDescent="0.3">
      <c r="A296" t="s">
        <v>259</v>
      </c>
      <c r="B296" t="s">
        <v>6</v>
      </c>
      <c r="C296" t="s">
        <v>316</v>
      </c>
      <c r="D296" s="8">
        <v>7.8465100000000003E-4</v>
      </c>
      <c r="E296" s="8">
        <v>8.5062799999999997E-4</v>
      </c>
      <c r="F296" s="8">
        <v>8.5248500000000005E-4</v>
      </c>
      <c r="G296" s="8">
        <v>7.9209099999999998E-4</v>
      </c>
      <c r="H296" s="8">
        <v>7.9633439999999905E-4</v>
      </c>
      <c r="I296" s="8">
        <v>8.0266099999999998E-4</v>
      </c>
      <c r="J296" s="8">
        <v>8.1422159999999897E-4</v>
      </c>
      <c r="K296" s="8">
        <v>8.1940110000000002E-4</v>
      </c>
      <c r="L296" s="8">
        <v>8.2282259999999995E-4</v>
      </c>
      <c r="M296" s="8">
        <v>8.2239010000000003E-4</v>
      </c>
      <c r="N296" s="8">
        <v>8.1971379999999996E-4</v>
      </c>
      <c r="O296">
        <v>0</v>
      </c>
      <c r="P296">
        <v>0</v>
      </c>
      <c r="Q296">
        <v>0</v>
      </c>
      <c r="R296" t="s">
        <v>243</v>
      </c>
    </row>
    <row r="297" spans="1:18" x14ac:dyDescent="0.3">
      <c r="A297" t="s">
        <v>259</v>
      </c>
      <c r="B297" t="s">
        <v>6</v>
      </c>
      <c r="C297" t="s">
        <v>317</v>
      </c>
      <c r="D297" s="8">
        <v>8.6054399999999998E-4</v>
      </c>
      <c r="E297" s="8">
        <v>9.0256400000000001E-4</v>
      </c>
      <c r="F297" s="8">
        <v>9.0917599999999895E-4</v>
      </c>
      <c r="G297" s="8">
        <v>8.4778499999999999E-4</v>
      </c>
      <c r="H297" s="8">
        <v>8.3224150000000001E-4</v>
      </c>
      <c r="I297" s="8">
        <v>8.5035690000000001E-4</v>
      </c>
      <c r="J297" s="8">
        <v>8.6167450000000005E-4</v>
      </c>
      <c r="K297" s="8">
        <v>8.6312789999999997E-4</v>
      </c>
      <c r="L297" s="8">
        <v>8.6421459999999996E-4</v>
      </c>
      <c r="M297" s="8">
        <v>8.617672E-4</v>
      </c>
      <c r="N297" s="8">
        <v>8.5743539999999995E-4</v>
      </c>
      <c r="O297">
        <v>0</v>
      </c>
      <c r="P297">
        <v>0</v>
      </c>
      <c r="Q297">
        <v>0</v>
      </c>
      <c r="R297" t="s">
        <v>243</v>
      </c>
    </row>
    <row r="298" spans="1:18" x14ac:dyDescent="0.3">
      <c r="A298" t="s">
        <v>259</v>
      </c>
      <c r="B298" t="s">
        <v>6</v>
      </c>
      <c r="C298" t="s">
        <v>318</v>
      </c>
      <c r="D298" s="8">
        <v>9.0119199999999999E-4</v>
      </c>
      <c r="E298" s="8">
        <v>9.3410699999999999E-4</v>
      </c>
      <c r="F298" s="8">
        <v>9.4263799999999998E-4</v>
      </c>
      <c r="G298" s="8">
        <v>8.8041399999999896E-4</v>
      </c>
      <c r="H298" s="8">
        <v>8.6087079999999996E-4</v>
      </c>
      <c r="I298" s="8">
        <v>8.782687E-4</v>
      </c>
      <c r="J298" s="8">
        <v>8.8964959999999896E-4</v>
      </c>
      <c r="K298" s="8">
        <v>8.9022600000000004E-4</v>
      </c>
      <c r="L298" s="8">
        <v>8.9098430000000004E-4</v>
      </c>
      <c r="M298" s="8">
        <v>8.8833149999999997E-4</v>
      </c>
      <c r="N298" s="8">
        <v>8.8360709999999896E-4</v>
      </c>
      <c r="O298">
        <v>0</v>
      </c>
      <c r="P298">
        <v>0</v>
      </c>
      <c r="Q298">
        <v>0</v>
      </c>
      <c r="R298" t="s">
        <v>243</v>
      </c>
    </row>
    <row r="299" spans="1:18" x14ac:dyDescent="0.3">
      <c r="A299" t="s">
        <v>259</v>
      </c>
      <c r="B299" t="s">
        <v>6</v>
      </c>
      <c r="C299" t="s">
        <v>319</v>
      </c>
      <c r="D299" s="8">
        <v>9.3246099999999999E-4</v>
      </c>
      <c r="E299" s="8">
        <v>9.5966599999999997E-4</v>
      </c>
      <c r="F299" s="8">
        <v>9.6796000000000002E-4</v>
      </c>
      <c r="G299" s="8">
        <v>9.0418499999999995E-4</v>
      </c>
      <c r="H299" s="8">
        <v>8.8263989999999896E-4</v>
      </c>
      <c r="I299" s="8">
        <v>9.0126059999999996E-4</v>
      </c>
      <c r="J299" s="8">
        <v>9.1276490000000003E-4</v>
      </c>
      <c r="K299" s="8">
        <v>9.1278500000000005E-4</v>
      </c>
      <c r="L299" s="8">
        <v>9.135193E-4</v>
      </c>
      <c r="M299" s="8">
        <v>9.1066489999999905E-4</v>
      </c>
      <c r="N299" s="8">
        <v>9.0559340000000003E-4</v>
      </c>
      <c r="O299">
        <v>0</v>
      </c>
      <c r="P299">
        <v>0</v>
      </c>
      <c r="Q299">
        <v>0</v>
      </c>
      <c r="R299" t="s">
        <v>243</v>
      </c>
    </row>
    <row r="300" spans="1:18" x14ac:dyDescent="0.3">
      <c r="A300" t="s">
        <v>259</v>
      </c>
      <c r="B300" t="s">
        <v>6</v>
      </c>
      <c r="C300" t="s">
        <v>320</v>
      </c>
      <c r="D300" s="8">
        <v>9.5854299999999996E-4</v>
      </c>
      <c r="E300" s="8">
        <v>9.8173800000000001E-4</v>
      </c>
      <c r="F300" s="8">
        <v>9.9018700000000001E-4</v>
      </c>
      <c r="G300" s="8">
        <v>9.2531299999999998E-4</v>
      </c>
      <c r="H300" s="8">
        <v>9.025274E-4</v>
      </c>
      <c r="I300" s="8">
        <v>9.221422E-4</v>
      </c>
      <c r="J300" s="8">
        <v>9.3352319999999997E-4</v>
      </c>
      <c r="K300" s="8">
        <v>9.3340800000000005E-4</v>
      </c>
      <c r="L300" s="8">
        <v>9.3381490000000002E-4</v>
      </c>
      <c r="M300" s="8">
        <v>9.3092069999999895E-4</v>
      </c>
      <c r="N300" s="8">
        <v>9.2571119999999905E-4</v>
      </c>
      <c r="O300">
        <v>0</v>
      </c>
      <c r="P300">
        <v>0</v>
      </c>
      <c r="Q300">
        <v>0</v>
      </c>
      <c r="R300" t="s">
        <v>243</v>
      </c>
    </row>
    <row r="301" spans="1:18" x14ac:dyDescent="0.3">
      <c r="A301" t="s">
        <v>259</v>
      </c>
      <c r="B301" t="s">
        <v>6</v>
      </c>
      <c r="C301" t="s">
        <v>321</v>
      </c>
      <c r="D301" s="8">
        <v>9.831289999999999E-4</v>
      </c>
      <c r="E301">
        <v>1.003084E-3</v>
      </c>
      <c r="F301">
        <v>1.011957E-3</v>
      </c>
      <c r="G301" s="8">
        <v>9.4533099999999999E-4</v>
      </c>
      <c r="H301" s="8">
        <v>9.2171739999999999E-4</v>
      </c>
      <c r="I301" s="8">
        <v>9.42997E-4</v>
      </c>
      <c r="J301" s="8">
        <v>9.5437799999999998E-4</v>
      </c>
      <c r="K301" s="8">
        <v>9.539978E-4</v>
      </c>
      <c r="L301" s="8">
        <v>9.5431059999999998E-4</v>
      </c>
      <c r="M301" s="8">
        <v>9.5107229999999996E-4</v>
      </c>
      <c r="N301" s="8">
        <v>9.4532480000000005E-4</v>
      </c>
      <c r="O301">
        <v>0</v>
      </c>
      <c r="P301">
        <v>0</v>
      </c>
      <c r="Q301">
        <v>0</v>
      </c>
      <c r="R301" t="s">
        <v>243</v>
      </c>
    </row>
    <row r="302" spans="1:18" x14ac:dyDescent="0.3">
      <c r="A302" t="s">
        <v>259</v>
      </c>
      <c r="B302" t="s">
        <v>6</v>
      </c>
      <c r="C302" t="s">
        <v>322</v>
      </c>
      <c r="D302">
        <v>1.007537E-3</v>
      </c>
      <c r="E302">
        <v>1.026739E-3</v>
      </c>
      <c r="F302">
        <v>1.0355189999999999E-3</v>
      </c>
      <c r="G302" s="8">
        <v>9.6909600000000002E-4</v>
      </c>
      <c r="H302" s="8">
        <v>9.4473889999999996E-4</v>
      </c>
      <c r="I302" s="8">
        <v>9.6578129999999997E-4</v>
      </c>
      <c r="J302" s="8">
        <v>9.7751710000000005E-4</v>
      </c>
      <c r="K302" s="8">
        <v>9.7690730000000005E-4</v>
      </c>
      <c r="L302" s="8">
        <v>9.7685000000000003E-4</v>
      </c>
      <c r="M302" s="8">
        <v>9.732257E-4</v>
      </c>
      <c r="N302" s="8">
        <v>9.6721669999999896E-4</v>
      </c>
      <c r="O302">
        <v>0</v>
      </c>
      <c r="P302">
        <v>0</v>
      </c>
      <c r="Q302">
        <v>0</v>
      </c>
      <c r="R302" t="s">
        <v>243</v>
      </c>
    </row>
    <row r="303" spans="1:18" x14ac:dyDescent="0.3">
      <c r="A303" t="s">
        <v>259</v>
      </c>
      <c r="B303" t="s">
        <v>6</v>
      </c>
      <c r="C303" t="s">
        <v>323</v>
      </c>
      <c r="D303">
        <v>1.039625E-3</v>
      </c>
      <c r="E303">
        <v>1.0579439999999999E-3</v>
      </c>
      <c r="F303">
        <v>1.066603E-3</v>
      </c>
      <c r="G303" s="8">
        <v>9.9630000000000009E-4</v>
      </c>
      <c r="H303" s="8">
        <v>9.7186569999999995E-4</v>
      </c>
      <c r="I303" s="8">
        <v>9.9462880000000006E-4</v>
      </c>
      <c r="J303">
        <v>1.0064796E-3</v>
      </c>
      <c r="K303">
        <v>1.0058975999999999E-3</v>
      </c>
      <c r="L303">
        <v>1.0060448E-3</v>
      </c>
      <c r="M303">
        <v>1.0025232E-3</v>
      </c>
      <c r="N303" s="8">
        <v>9.963324999999999E-4</v>
      </c>
      <c r="O303">
        <v>0</v>
      </c>
      <c r="P303">
        <v>0</v>
      </c>
      <c r="Q303">
        <v>0</v>
      </c>
      <c r="R303" t="s">
        <v>243</v>
      </c>
    </row>
    <row r="304" spans="1:18" x14ac:dyDescent="0.3">
      <c r="A304" t="s">
        <v>259</v>
      </c>
      <c r="B304" t="s">
        <v>415</v>
      </c>
      <c r="C304" t="s">
        <v>261</v>
      </c>
      <c r="D304" s="8">
        <v>1.6147199999999999E-4</v>
      </c>
      <c r="E304" s="8">
        <v>2.0796685599999999E-4</v>
      </c>
      <c r="F304" s="8">
        <v>3.1619090999999999E-4</v>
      </c>
      <c r="G304" s="8">
        <v>3.2576060000000001E-4</v>
      </c>
      <c r="H304" s="8">
        <v>4.2518782999999998E-4</v>
      </c>
      <c r="I304" s="8">
        <v>5.3444393199999997E-4</v>
      </c>
      <c r="J304" s="8">
        <v>6.2030860600000004E-4</v>
      </c>
      <c r="K304" s="8">
        <v>6.9418080899999999E-4</v>
      </c>
      <c r="L304" s="8">
        <v>7.2109146599999997E-4</v>
      </c>
      <c r="M304" s="8">
        <v>7.1594082300000005E-4</v>
      </c>
      <c r="N304" s="8">
        <v>6.9353506699999996E-4</v>
      </c>
      <c r="O304">
        <v>0</v>
      </c>
      <c r="P304">
        <v>0</v>
      </c>
      <c r="Q304">
        <v>0</v>
      </c>
      <c r="R304" t="s">
        <v>243</v>
      </c>
    </row>
    <row r="305" spans="1:18" x14ac:dyDescent="0.3">
      <c r="A305" t="s">
        <v>259</v>
      </c>
      <c r="B305" t="s">
        <v>415</v>
      </c>
      <c r="C305" t="s">
        <v>262</v>
      </c>
      <c r="D305">
        <v>4.4931724999999999E-2</v>
      </c>
      <c r="E305">
        <v>1.8955840000000002E-2</v>
      </c>
      <c r="F305">
        <v>1.2198687E-2</v>
      </c>
      <c r="G305">
        <v>9.00311899999999E-3</v>
      </c>
      <c r="H305">
        <v>7.7052029369999997E-3</v>
      </c>
      <c r="I305">
        <v>8.9308622901999903E-3</v>
      </c>
      <c r="J305">
        <v>9.5011049774999991E-3</v>
      </c>
      <c r="K305">
        <v>8.6580940206999902E-3</v>
      </c>
      <c r="L305">
        <v>8.1377480655999996E-3</v>
      </c>
      <c r="M305">
        <v>7.4873410546399902E-3</v>
      </c>
      <c r="N305">
        <v>6.7789869494999898E-3</v>
      </c>
      <c r="O305">
        <v>0</v>
      </c>
      <c r="P305">
        <v>0</v>
      </c>
      <c r="Q305">
        <v>0</v>
      </c>
      <c r="R305" t="s">
        <v>243</v>
      </c>
    </row>
    <row r="306" spans="1:18" x14ac:dyDescent="0.3">
      <c r="A306" t="s">
        <v>259</v>
      </c>
      <c r="B306" t="s">
        <v>415</v>
      </c>
      <c r="C306" t="s">
        <v>263</v>
      </c>
      <c r="D306">
        <v>7.2468819999999996E-3</v>
      </c>
      <c r="E306">
        <v>6.6931279999999996E-3</v>
      </c>
      <c r="F306">
        <v>7.8925060000000005E-3</v>
      </c>
      <c r="G306">
        <v>6.530442E-3</v>
      </c>
      <c r="H306">
        <v>7.7690685999999903E-3</v>
      </c>
      <c r="I306">
        <v>1.01959252519999E-2</v>
      </c>
      <c r="J306">
        <v>1.233926302E-2</v>
      </c>
      <c r="K306">
        <v>1.40663988599999E-2</v>
      </c>
      <c r="L306">
        <v>1.4990702470000001E-2</v>
      </c>
      <c r="M306">
        <v>1.54037505399999E-2</v>
      </c>
      <c r="N306">
        <v>1.54801318799999E-2</v>
      </c>
      <c r="O306">
        <v>0</v>
      </c>
      <c r="P306">
        <v>0</v>
      </c>
      <c r="Q306">
        <v>0</v>
      </c>
      <c r="R306" t="s">
        <v>243</v>
      </c>
    </row>
    <row r="307" spans="1:18" x14ac:dyDescent="0.3">
      <c r="A307" t="s">
        <v>259</v>
      </c>
      <c r="B307" t="s">
        <v>415</v>
      </c>
      <c r="C307" t="s">
        <v>324</v>
      </c>
      <c r="D307">
        <v>0</v>
      </c>
      <c r="E307">
        <v>0</v>
      </c>
      <c r="F307" s="8">
        <v>8.3884400000000003E-6</v>
      </c>
      <c r="G307" s="8">
        <v>3.8556699999999998E-6</v>
      </c>
      <c r="H307" s="8">
        <v>3.8001799999999999E-6</v>
      </c>
      <c r="I307" s="8">
        <v>3.923614E-6</v>
      </c>
      <c r="J307" s="8">
        <v>3.9334030000000002E-6</v>
      </c>
      <c r="K307" s="8">
        <v>3.918628E-6</v>
      </c>
      <c r="L307" s="8">
        <v>3.8155110000000002E-6</v>
      </c>
      <c r="M307" s="8">
        <v>3.667153E-6</v>
      </c>
      <c r="N307" s="8">
        <v>3.509813E-6</v>
      </c>
      <c r="O307">
        <v>0</v>
      </c>
      <c r="P307">
        <v>0</v>
      </c>
      <c r="Q307">
        <v>0</v>
      </c>
      <c r="R307" t="s">
        <v>243</v>
      </c>
    </row>
    <row r="308" spans="1:18" x14ac:dyDescent="0.3">
      <c r="A308" t="s">
        <v>259</v>
      </c>
      <c r="B308" t="s">
        <v>415</v>
      </c>
      <c r="C308" t="s">
        <v>325</v>
      </c>
      <c r="D308">
        <v>0</v>
      </c>
      <c r="E308">
        <v>0</v>
      </c>
      <c r="F308" s="8">
        <v>2.1580199999999999E-7</v>
      </c>
      <c r="G308" s="8">
        <v>7.95687E-8</v>
      </c>
      <c r="H308" s="8">
        <v>7.7032600000000004E-8</v>
      </c>
      <c r="I308" s="8">
        <v>7.6516900000000004E-8</v>
      </c>
      <c r="J308" s="8">
        <v>7.4560760000000005E-8</v>
      </c>
      <c r="K308" s="8">
        <v>7.2740149999999897E-8</v>
      </c>
      <c r="L308" s="8">
        <v>7.0020100000000006E-8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243</v>
      </c>
    </row>
    <row r="309" spans="1:18" x14ac:dyDescent="0.3">
      <c r="A309" t="s">
        <v>259</v>
      </c>
      <c r="B309" t="s">
        <v>415</v>
      </c>
      <c r="C309" t="s">
        <v>326</v>
      </c>
      <c r="D309">
        <v>0</v>
      </c>
      <c r="E309">
        <v>0</v>
      </c>
      <c r="F309" s="8">
        <v>3.9958199999999996E-6</v>
      </c>
      <c r="G309" s="8">
        <v>2.0187700000000001E-6</v>
      </c>
      <c r="H309" s="8">
        <v>2.0088369999999899E-6</v>
      </c>
      <c r="I309" s="8">
        <v>2.0564779999999999E-6</v>
      </c>
      <c r="J309" s="8">
        <v>2.0475930000000001E-6</v>
      </c>
      <c r="K309" s="8">
        <v>2.0300399999999999E-6</v>
      </c>
      <c r="L309" s="8">
        <v>1.9722439999999999E-6</v>
      </c>
      <c r="M309" s="8">
        <v>1.8932360000000001E-6</v>
      </c>
      <c r="N309" s="8">
        <v>1.81101E-6</v>
      </c>
      <c r="O309">
        <v>0</v>
      </c>
      <c r="P309">
        <v>0</v>
      </c>
      <c r="Q309">
        <v>0</v>
      </c>
      <c r="R309" t="s">
        <v>243</v>
      </c>
    </row>
    <row r="310" spans="1:18" x14ac:dyDescent="0.3">
      <c r="A310" t="s">
        <v>259</v>
      </c>
      <c r="B310" t="s">
        <v>415</v>
      </c>
      <c r="C310" t="s">
        <v>327</v>
      </c>
      <c r="D310">
        <v>0</v>
      </c>
      <c r="E310">
        <v>0</v>
      </c>
      <c r="F310" s="8">
        <v>2.75206E-6</v>
      </c>
      <c r="G310" s="8">
        <v>1.4095E-6</v>
      </c>
      <c r="H310" s="8">
        <v>1.396428E-6</v>
      </c>
      <c r="I310" s="8">
        <v>1.4245460000000001E-6</v>
      </c>
      <c r="J310" s="8">
        <v>1.4160769999999899E-6</v>
      </c>
      <c r="K310" s="8">
        <v>1.4016850000000001E-6</v>
      </c>
      <c r="L310" s="8">
        <v>1.3604229999999999E-6</v>
      </c>
      <c r="M310" s="8">
        <v>1.3052659999999999E-6</v>
      </c>
      <c r="N310" s="8">
        <v>1.2483139999999999E-6</v>
      </c>
      <c r="O310">
        <v>0</v>
      </c>
      <c r="P310">
        <v>0</v>
      </c>
      <c r="Q310">
        <v>0</v>
      </c>
      <c r="R310" t="s">
        <v>243</v>
      </c>
    </row>
    <row r="311" spans="1:18" x14ac:dyDescent="0.3">
      <c r="A311" t="s">
        <v>259</v>
      </c>
      <c r="B311" t="s">
        <v>415</v>
      </c>
      <c r="C311" t="s">
        <v>328</v>
      </c>
      <c r="D311">
        <v>0</v>
      </c>
      <c r="E311">
        <v>0</v>
      </c>
      <c r="F311" s="8">
        <v>2.0582399999999999E-6</v>
      </c>
      <c r="G311" s="8">
        <v>1.05713E-6</v>
      </c>
      <c r="H311" s="8">
        <v>1.0441999999999899E-6</v>
      </c>
      <c r="I311" s="8">
        <v>1.0621219999999999E-6</v>
      </c>
      <c r="J311" s="8">
        <v>1.052474E-6</v>
      </c>
      <c r="K311" s="8">
        <v>1.0399180000000001E-6</v>
      </c>
      <c r="L311" s="8">
        <v>1.0087819999999999E-6</v>
      </c>
      <c r="M311" s="8">
        <v>9.6744099999999991E-7</v>
      </c>
      <c r="N311" s="8">
        <v>9.2482799999999995E-7</v>
      </c>
      <c r="O311">
        <v>0</v>
      </c>
      <c r="P311">
        <v>0</v>
      </c>
      <c r="Q311">
        <v>0</v>
      </c>
      <c r="R311" t="s">
        <v>243</v>
      </c>
    </row>
    <row r="312" spans="1:18" x14ac:dyDescent="0.3">
      <c r="A312" t="s">
        <v>259</v>
      </c>
      <c r="B312" t="s">
        <v>415</v>
      </c>
      <c r="C312" t="s">
        <v>329</v>
      </c>
      <c r="D312">
        <v>0</v>
      </c>
      <c r="E312">
        <v>0</v>
      </c>
      <c r="F312" s="8">
        <v>1.6011100000000001E-6</v>
      </c>
      <c r="G312" s="8">
        <v>8.1387399999999997E-7</v>
      </c>
      <c r="H312" s="8">
        <v>8.0090899999999996E-7</v>
      </c>
      <c r="I312" s="8">
        <v>8.1202399999999899E-7</v>
      </c>
      <c r="J312" s="8">
        <v>8.0330760000000004E-7</v>
      </c>
      <c r="K312" s="8">
        <v>7.9236399999999999E-7</v>
      </c>
      <c r="L312" s="8">
        <v>7.6795900000000003E-7</v>
      </c>
      <c r="M312" s="8">
        <v>7.3614900000000001E-7</v>
      </c>
      <c r="N312" s="8">
        <v>7.0362099999999997E-7</v>
      </c>
      <c r="O312">
        <v>0</v>
      </c>
      <c r="P312">
        <v>0</v>
      </c>
      <c r="Q312">
        <v>0</v>
      </c>
      <c r="R312" t="s">
        <v>243</v>
      </c>
    </row>
    <row r="313" spans="1:18" x14ac:dyDescent="0.3">
      <c r="A313" t="s">
        <v>259</v>
      </c>
      <c r="B313" t="s">
        <v>415</v>
      </c>
      <c r="C313" t="s">
        <v>330</v>
      </c>
      <c r="D313">
        <v>0</v>
      </c>
      <c r="E313">
        <v>0</v>
      </c>
      <c r="F313" s="8">
        <v>1.26465E-6</v>
      </c>
      <c r="G313" s="8">
        <v>6.2745599999999998E-7</v>
      </c>
      <c r="H313" s="8">
        <v>6.1524599999999995E-7</v>
      </c>
      <c r="I313" s="8">
        <v>6.2218800000000004E-7</v>
      </c>
      <c r="J313" s="8">
        <v>6.1426689999999999E-7</v>
      </c>
      <c r="K313" s="8">
        <v>6.0506619999999898E-7</v>
      </c>
      <c r="L313" s="8">
        <v>5.8576599999999998E-7</v>
      </c>
      <c r="M313" s="8">
        <v>5.6107469999999898E-7</v>
      </c>
      <c r="N313" s="8">
        <v>5.3618400000000003E-7</v>
      </c>
      <c r="O313">
        <v>0</v>
      </c>
      <c r="P313">
        <v>0</v>
      </c>
      <c r="Q313">
        <v>0</v>
      </c>
      <c r="R313" t="s">
        <v>243</v>
      </c>
    </row>
    <row r="314" spans="1:18" x14ac:dyDescent="0.3">
      <c r="A314" t="s">
        <v>259</v>
      </c>
      <c r="B314" t="s">
        <v>415</v>
      </c>
      <c r="C314" t="s">
        <v>331</v>
      </c>
      <c r="D314">
        <v>0</v>
      </c>
      <c r="E314">
        <v>0</v>
      </c>
      <c r="F314" s="8">
        <v>9.9083399999999999E-7</v>
      </c>
      <c r="G314" s="8">
        <v>4.7968599999999997E-7</v>
      </c>
      <c r="H314" s="8">
        <v>4.6945000000000001E-7</v>
      </c>
      <c r="I314" s="8">
        <v>4.7351800000000002E-7</v>
      </c>
      <c r="J314" s="8">
        <v>4.662491E-7</v>
      </c>
      <c r="K314" s="8">
        <v>4.5853729999999997E-7</v>
      </c>
      <c r="L314" s="8">
        <v>4.4360500000000001E-7</v>
      </c>
      <c r="M314" s="8">
        <v>4.2474929999999999E-7</v>
      </c>
      <c r="N314" s="8">
        <v>4.0571629999999998E-7</v>
      </c>
      <c r="O314">
        <v>0</v>
      </c>
      <c r="P314">
        <v>0</v>
      </c>
      <c r="Q314">
        <v>0</v>
      </c>
      <c r="R314" t="s">
        <v>243</v>
      </c>
    </row>
    <row r="315" spans="1:18" x14ac:dyDescent="0.3">
      <c r="A315" t="s">
        <v>259</v>
      </c>
      <c r="B315" t="s">
        <v>415</v>
      </c>
      <c r="C315" t="s">
        <v>332</v>
      </c>
      <c r="D315">
        <v>0</v>
      </c>
      <c r="E315">
        <v>0</v>
      </c>
      <c r="F315" s="8">
        <v>7.3094299999999998E-7</v>
      </c>
      <c r="G315" s="8">
        <v>3.4328199999999999E-7</v>
      </c>
      <c r="H315" s="8">
        <v>3.3407000000000003E-7</v>
      </c>
      <c r="I315" s="8">
        <v>3.3565439999999999E-7</v>
      </c>
      <c r="J315" s="8">
        <v>3.2995859999999998E-7</v>
      </c>
      <c r="K315" s="8">
        <v>3.240797E-7</v>
      </c>
      <c r="L315" s="8">
        <v>3.1323379999999997E-7</v>
      </c>
      <c r="M315" s="8">
        <v>2.9966459999999998E-7</v>
      </c>
      <c r="N315" s="8">
        <v>2.8608389999999999E-7</v>
      </c>
      <c r="O315">
        <v>0</v>
      </c>
      <c r="P315">
        <v>0</v>
      </c>
      <c r="Q315">
        <v>0</v>
      </c>
      <c r="R315" t="s">
        <v>243</v>
      </c>
    </row>
    <row r="316" spans="1:18" x14ac:dyDescent="0.3">
      <c r="A316" t="s">
        <v>259</v>
      </c>
      <c r="B316" t="s">
        <v>415</v>
      </c>
      <c r="C316" t="s">
        <v>333</v>
      </c>
      <c r="D316">
        <v>0</v>
      </c>
      <c r="E316">
        <v>0</v>
      </c>
      <c r="F316" s="8">
        <v>5.1050000000000003E-7</v>
      </c>
      <c r="G316" s="8">
        <v>2.2961300000000001E-7</v>
      </c>
      <c r="H316" s="8">
        <v>2.2326759999999999E-7</v>
      </c>
      <c r="I316" s="8">
        <v>2.235461E-7</v>
      </c>
      <c r="J316" s="8">
        <v>2.1902310000000001E-7</v>
      </c>
      <c r="K316" s="8">
        <v>2.1456410000000001E-7</v>
      </c>
      <c r="L316" s="8">
        <v>2.0706859999999999E-7</v>
      </c>
      <c r="M316" s="8">
        <v>1.9793989999999999E-7</v>
      </c>
      <c r="N316" s="8">
        <v>1.888842E-7</v>
      </c>
      <c r="O316">
        <v>0</v>
      </c>
      <c r="P316">
        <v>0</v>
      </c>
      <c r="Q316">
        <v>0</v>
      </c>
      <c r="R316" t="s">
        <v>243</v>
      </c>
    </row>
    <row r="317" spans="1:18" x14ac:dyDescent="0.3">
      <c r="A317" t="s">
        <v>259</v>
      </c>
      <c r="B317" t="s">
        <v>415</v>
      </c>
      <c r="C317" t="s">
        <v>264</v>
      </c>
      <c r="D317" s="8">
        <v>1.2317013E-4</v>
      </c>
      <c r="E317" s="8">
        <v>2.0584450000000001E-4</v>
      </c>
      <c r="F317" s="8">
        <v>2.3181389999999999E-4</v>
      </c>
      <c r="G317" s="8">
        <v>5.6030697999999999E-4</v>
      </c>
      <c r="H317" s="8">
        <v>5.3221761999999999E-4</v>
      </c>
      <c r="I317" s="8">
        <v>6.2821910999999995E-4</v>
      </c>
      <c r="J317" s="8">
        <v>6.6197154799999902E-4</v>
      </c>
      <c r="K317" s="8">
        <v>6.6663306E-4</v>
      </c>
      <c r="L317" s="8">
        <v>6.3536389999999999E-4</v>
      </c>
      <c r="M317" s="8">
        <v>5.8948998999999898E-4</v>
      </c>
      <c r="N317" s="8">
        <v>5.4613799999999896E-4</v>
      </c>
      <c r="O317">
        <v>0</v>
      </c>
      <c r="P317">
        <v>0</v>
      </c>
      <c r="Q317">
        <v>0</v>
      </c>
      <c r="R317" t="s">
        <v>243</v>
      </c>
    </row>
    <row r="318" spans="1:18" x14ac:dyDescent="0.3">
      <c r="A318" t="s">
        <v>259</v>
      </c>
      <c r="B318" t="s">
        <v>415</v>
      </c>
      <c r="C318" t="s">
        <v>265</v>
      </c>
      <c r="D318">
        <v>1.0371096E-3</v>
      </c>
      <c r="E318" s="8">
        <v>8.4143089999999998E-4</v>
      </c>
      <c r="F318" s="8">
        <v>8.1115899999999999E-4</v>
      </c>
      <c r="G318">
        <v>1.7656999E-3</v>
      </c>
      <c r="H318">
        <v>1.63475357E-3</v>
      </c>
      <c r="I318">
        <v>1.6382881699999899E-3</v>
      </c>
      <c r="J318">
        <v>1.60568602999999E-3</v>
      </c>
      <c r="K318">
        <v>1.56624342E-3</v>
      </c>
      <c r="L318">
        <v>1.4690166999999899E-3</v>
      </c>
      <c r="M318">
        <v>1.3468298699999999E-3</v>
      </c>
      <c r="N318">
        <v>1.2400468199999901E-3</v>
      </c>
      <c r="O318">
        <v>0</v>
      </c>
      <c r="P318">
        <v>0</v>
      </c>
      <c r="Q318">
        <v>0</v>
      </c>
      <c r="R318" t="s">
        <v>243</v>
      </c>
    </row>
    <row r="319" spans="1:18" x14ac:dyDescent="0.3">
      <c r="A319" t="s">
        <v>259</v>
      </c>
      <c r="B319" t="s">
        <v>415</v>
      </c>
      <c r="C319" t="s">
        <v>266</v>
      </c>
      <c r="D319" s="8">
        <v>2.1131509E-4</v>
      </c>
      <c r="E319" s="8">
        <v>3.460901E-4</v>
      </c>
      <c r="F319" s="8">
        <v>3.7663639999999999E-4</v>
      </c>
      <c r="G319" s="8">
        <v>8.1268409999999899E-4</v>
      </c>
      <c r="H319" s="8">
        <v>7.7966669999999995E-4</v>
      </c>
      <c r="I319" s="8">
        <v>8.4025233999999896E-4</v>
      </c>
      <c r="J319" s="8">
        <v>8.4990636999999905E-4</v>
      </c>
      <c r="K319" s="8">
        <v>8.4326517000000002E-4</v>
      </c>
      <c r="L319" s="8">
        <v>7.9832847999999998E-4</v>
      </c>
      <c r="M319" s="8">
        <v>7.3733036999999995E-4</v>
      </c>
      <c r="N319" s="8">
        <v>6.8137514999999996E-4</v>
      </c>
      <c r="O319">
        <v>0</v>
      </c>
      <c r="P319">
        <v>0</v>
      </c>
      <c r="Q319">
        <v>0</v>
      </c>
      <c r="R319" t="s">
        <v>243</v>
      </c>
    </row>
    <row r="320" spans="1:18" x14ac:dyDescent="0.3">
      <c r="A320" t="s">
        <v>259</v>
      </c>
      <c r="B320" t="s">
        <v>415</v>
      </c>
      <c r="C320" t="s">
        <v>267</v>
      </c>
      <c r="D320" s="8">
        <v>2.7490719999999998E-4</v>
      </c>
      <c r="E320" s="8">
        <v>4.2597000000000002E-4</v>
      </c>
      <c r="F320" s="8">
        <v>4.481132E-4</v>
      </c>
      <c r="G320" s="8">
        <v>9.3967300000000003E-4</v>
      </c>
      <c r="H320" s="8">
        <v>8.9305648999999895E-4</v>
      </c>
      <c r="I320" s="8">
        <v>9.3564342999999904E-4</v>
      </c>
      <c r="J320" s="8">
        <v>9.3871626999999895E-4</v>
      </c>
      <c r="K320" s="8">
        <v>9.2885527999999999E-4</v>
      </c>
      <c r="L320" s="8">
        <v>8.7825434000000002E-4</v>
      </c>
      <c r="M320" s="8">
        <v>8.1027804999999904E-4</v>
      </c>
      <c r="N320" s="8">
        <v>7.4856626999999902E-4</v>
      </c>
      <c r="O320">
        <v>0</v>
      </c>
      <c r="P320">
        <v>0</v>
      </c>
      <c r="Q320">
        <v>0</v>
      </c>
      <c r="R320" t="s">
        <v>243</v>
      </c>
    </row>
    <row r="321" spans="1:18" x14ac:dyDescent="0.3">
      <c r="A321" t="s">
        <v>259</v>
      </c>
      <c r="B321" t="s">
        <v>415</v>
      </c>
      <c r="C321" t="s">
        <v>268</v>
      </c>
      <c r="D321" s="8">
        <v>3.3736914E-4</v>
      </c>
      <c r="E321" s="8">
        <v>4.8704009999999998E-4</v>
      </c>
      <c r="F321" s="8">
        <v>4.9907759999999999E-4</v>
      </c>
      <c r="G321">
        <v>1.0321607000000001E-3</v>
      </c>
      <c r="H321" s="8">
        <v>9.7565837999999904E-4</v>
      </c>
      <c r="I321">
        <v>1.00860726E-3</v>
      </c>
      <c r="J321">
        <v>1.0067860099999999E-3</v>
      </c>
      <c r="K321" s="8">
        <v>9.9432770999999991E-4</v>
      </c>
      <c r="L321" s="8">
        <v>9.3969992000000001E-4</v>
      </c>
      <c r="M321" s="8">
        <v>8.6640868000000004E-4</v>
      </c>
      <c r="N321" s="8">
        <v>8.0010124999999998E-4</v>
      </c>
      <c r="O321">
        <v>0</v>
      </c>
      <c r="P321">
        <v>0</v>
      </c>
      <c r="Q321">
        <v>0</v>
      </c>
      <c r="R321" t="s">
        <v>243</v>
      </c>
    </row>
    <row r="322" spans="1:18" x14ac:dyDescent="0.3">
      <c r="A322" t="s">
        <v>259</v>
      </c>
      <c r="B322" t="s">
        <v>415</v>
      </c>
      <c r="C322" t="s">
        <v>269</v>
      </c>
      <c r="D322" s="8">
        <v>3.9997109999999998E-4</v>
      </c>
      <c r="E322" s="8">
        <v>5.3768909999999997E-4</v>
      </c>
      <c r="F322" s="8">
        <v>5.3940589999999897E-4</v>
      </c>
      <c r="G322">
        <v>1.1114562999999999E-3</v>
      </c>
      <c r="H322">
        <v>1.0455138199999901E-3</v>
      </c>
      <c r="I322">
        <v>1.0725924E-3</v>
      </c>
      <c r="J322">
        <v>1.06818586E-3</v>
      </c>
      <c r="K322">
        <v>1.0531686599999999E-3</v>
      </c>
      <c r="L322" s="8">
        <v>9.9446567999999895E-4</v>
      </c>
      <c r="M322" s="8">
        <v>9.1636478000000005E-4</v>
      </c>
      <c r="N322" s="8">
        <v>8.4614401999999998E-4</v>
      </c>
      <c r="O322">
        <v>0</v>
      </c>
      <c r="P322">
        <v>0</v>
      </c>
      <c r="Q322">
        <v>0</v>
      </c>
      <c r="R322" t="s">
        <v>243</v>
      </c>
    </row>
    <row r="323" spans="1:18" x14ac:dyDescent="0.3">
      <c r="A323" t="s">
        <v>259</v>
      </c>
      <c r="B323" t="s">
        <v>415</v>
      </c>
      <c r="C323" t="s">
        <v>270</v>
      </c>
      <c r="D323" s="8">
        <v>4.6823419999999897E-4</v>
      </c>
      <c r="E323" s="8">
        <v>5.8203269999999895E-4</v>
      </c>
      <c r="F323" s="8">
        <v>5.7453720000000003E-4</v>
      </c>
      <c r="G323">
        <v>1.1863818000000001E-3</v>
      </c>
      <c r="H323">
        <v>1.11163358E-3</v>
      </c>
      <c r="I323">
        <v>1.13554028E-3</v>
      </c>
      <c r="J323">
        <v>1.12827771999999E-3</v>
      </c>
      <c r="K323">
        <v>1.11090437999999E-3</v>
      </c>
      <c r="L323">
        <v>1.04782365E-3</v>
      </c>
      <c r="M323" s="8">
        <v>9.6472642999999997E-4</v>
      </c>
      <c r="N323" s="8">
        <v>8.9064778999999896E-4</v>
      </c>
      <c r="O323">
        <v>0</v>
      </c>
      <c r="P323">
        <v>0</v>
      </c>
      <c r="Q323">
        <v>0</v>
      </c>
      <c r="R323" t="s">
        <v>243</v>
      </c>
    </row>
    <row r="324" spans="1:18" x14ac:dyDescent="0.3">
      <c r="A324" t="s">
        <v>259</v>
      </c>
      <c r="B324" t="s">
        <v>415</v>
      </c>
      <c r="C324" t="s">
        <v>271</v>
      </c>
      <c r="D324" s="8">
        <v>5.5507240000000002E-4</v>
      </c>
      <c r="E324" s="8">
        <v>6.213341E-4</v>
      </c>
      <c r="F324" s="8">
        <v>6.0892360000000003E-4</v>
      </c>
      <c r="G324">
        <v>1.2628718999999899E-3</v>
      </c>
      <c r="H324">
        <v>1.1809772899999901E-3</v>
      </c>
      <c r="I324">
        <v>1.2025521799999999E-3</v>
      </c>
      <c r="J324">
        <v>1.1915402699999901E-3</v>
      </c>
      <c r="K324">
        <v>1.1713950099999999E-3</v>
      </c>
      <c r="L324">
        <v>1.10412148E-3</v>
      </c>
      <c r="M324">
        <v>1.01614098E-3</v>
      </c>
      <c r="N324" s="8">
        <v>9.3769911999999904E-4</v>
      </c>
      <c r="O324">
        <v>0</v>
      </c>
      <c r="P324">
        <v>0</v>
      </c>
      <c r="Q324">
        <v>0</v>
      </c>
      <c r="R324" t="s">
        <v>243</v>
      </c>
    </row>
    <row r="325" spans="1:18" x14ac:dyDescent="0.3">
      <c r="A325" t="s">
        <v>259</v>
      </c>
      <c r="B325" t="s">
        <v>415</v>
      </c>
      <c r="C325" t="s">
        <v>272</v>
      </c>
      <c r="D325" s="8">
        <v>6.5001529999999998E-4</v>
      </c>
      <c r="E325" s="8">
        <v>6.6323489999999896E-4</v>
      </c>
      <c r="F325" s="8">
        <v>6.5009300000000003E-4</v>
      </c>
      <c r="G325">
        <v>1.3562838000000001E-3</v>
      </c>
      <c r="H325">
        <v>1.26170486999999E-3</v>
      </c>
      <c r="I325">
        <v>1.27936462999999E-3</v>
      </c>
      <c r="J325">
        <v>1.2653111599999899E-3</v>
      </c>
      <c r="K325">
        <v>1.2422785400000001E-3</v>
      </c>
      <c r="L325">
        <v>1.1698585599999999E-3</v>
      </c>
      <c r="M325">
        <v>1.0756482899999999E-3</v>
      </c>
      <c r="N325" s="8">
        <v>9.9211266000000004E-4</v>
      </c>
      <c r="O325">
        <v>0</v>
      </c>
      <c r="P325">
        <v>0</v>
      </c>
      <c r="Q325">
        <v>0</v>
      </c>
      <c r="R325" t="s">
        <v>243</v>
      </c>
    </row>
    <row r="326" spans="1:18" x14ac:dyDescent="0.3">
      <c r="A326" t="s">
        <v>259</v>
      </c>
      <c r="B326" t="s">
        <v>415</v>
      </c>
      <c r="C326" t="s">
        <v>273</v>
      </c>
      <c r="D326" s="8">
        <v>7.8620109999999997E-4</v>
      </c>
      <c r="E326" s="8">
        <v>7.1216969999999896E-4</v>
      </c>
      <c r="F326" s="8">
        <v>6.9788629999999999E-4</v>
      </c>
      <c r="G326">
        <v>1.4701124999999999E-3</v>
      </c>
      <c r="H326">
        <v>1.3665598399999999E-3</v>
      </c>
      <c r="I326">
        <v>1.3807625199999899E-3</v>
      </c>
      <c r="J326">
        <v>1.3609687200000001E-3</v>
      </c>
      <c r="K326">
        <v>1.3328777599999899E-3</v>
      </c>
      <c r="L326">
        <v>1.25328924E-3</v>
      </c>
      <c r="M326">
        <v>1.1513679400000001E-3</v>
      </c>
      <c r="N326">
        <v>1.0614924099999999E-3</v>
      </c>
      <c r="O326">
        <v>0</v>
      </c>
      <c r="P326">
        <v>0</v>
      </c>
      <c r="Q326">
        <v>0</v>
      </c>
      <c r="R326" t="s">
        <v>243</v>
      </c>
    </row>
    <row r="327" spans="1:18" x14ac:dyDescent="0.3">
      <c r="A327" t="s">
        <v>259</v>
      </c>
      <c r="B327" t="s">
        <v>415</v>
      </c>
      <c r="C327" t="s">
        <v>274</v>
      </c>
      <c r="D327" s="8">
        <v>6.7474151599999999E-6</v>
      </c>
      <c r="E327" s="8">
        <v>1.442011534E-5</v>
      </c>
      <c r="F327" s="8">
        <v>1.840248853E-5</v>
      </c>
      <c r="G327" s="8">
        <v>1.989137533E-5</v>
      </c>
      <c r="H327" s="8">
        <v>3.2064369579999901E-5</v>
      </c>
      <c r="I327" s="8">
        <v>3.394510837E-5</v>
      </c>
      <c r="J327" s="8">
        <v>3.3952149122000002E-5</v>
      </c>
      <c r="K327" s="8">
        <v>3.2878027693999999E-5</v>
      </c>
      <c r="L327" s="8">
        <v>3.0855683850999999E-5</v>
      </c>
      <c r="M327" s="8">
        <v>2.8279111352E-5</v>
      </c>
      <c r="N327" s="8">
        <v>2.5759738388E-5</v>
      </c>
      <c r="O327">
        <v>0</v>
      </c>
      <c r="P327">
        <v>0</v>
      </c>
      <c r="Q327">
        <v>0</v>
      </c>
      <c r="R327" t="s">
        <v>243</v>
      </c>
    </row>
    <row r="328" spans="1:18" x14ac:dyDescent="0.3">
      <c r="A328" t="s">
        <v>259</v>
      </c>
      <c r="B328" t="s">
        <v>415</v>
      </c>
      <c r="C328" t="s">
        <v>275</v>
      </c>
      <c r="D328" s="8">
        <v>5.4752858799999899E-5</v>
      </c>
      <c r="E328" s="8">
        <v>5.3467258899999998E-5</v>
      </c>
      <c r="F328" s="8">
        <v>5.7700100700000001E-5</v>
      </c>
      <c r="G328" s="8">
        <v>6.2654556499999999E-5</v>
      </c>
      <c r="H328" s="8">
        <v>7.0121648409999997E-5</v>
      </c>
      <c r="I328" s="8">
        <v>6.7749053979999999E-5</v>
      </c>
      <c r="J328" s="8">
        <v>6.2506261659999997E-5</v>
      </c>
      <c r="K328" s="8">
        <v>5.7986531751E-5</v>
      </c>
      <c r="L328" s="8">
        <v>5.2969123349999899E-5</v>
      </c>
      <c r="M328" s="8">
        <v>4.7487058370999997E-5</v>
      </c>
      <c r="N328" s="8">
        <v>4.2620574675999999E-5</v>
      </c>
      <c r="O328">
        <v>0</v>
      </c>
      <c r="P328">
        <v>0</v>
      </c>
      <c r="Q328">
        <v>0</v>
      </c>
      <c r="R328" t="s">
        <v>243</v>
      </c>
    </row>
    <row r="329" spans="1:18" x14ac:dyDescent="0.3">
      <c r="A329" t="s">
        <v>259</v>
      </c>
      <c r="B329" t="s">
        <v>415</v>
      </c>
      <c r="C329" t="s">
        <v>276</v>
      </c>
      <c r="D329" s="8">
        <v>1.153723739E-5</v>
      </c>
      <c r="E329" s="8">
        <v>2.339577686E-5</v>
      </c>
      <c r="F329" s="8">
        <v>2.8327817279999998E-5</v>
      </c>
      <c r="G329" s="8">
        <v>2.8843769549999999E-5</v>
      </c>
      <c r="H329" s="8">
        <v>4.1365521819999999E-5</v>
      </c>
      <c r="I329" s="8">
        <v>4.1946462169999999E-5</v>
      </c>
      <c r="J329" s="8">
        <v>4.0376476900000001E-5</v>
      </c>
      <c r="K329" s="8">
        <v>3.8213418930999999E-5</v>
      </c>
      <c r="L329" s="8">
        <v>3.544192762E-5</v>
      </c>
      <c r="M329" s="8">
        <v>3.2222739886999999E-5</v>
      </c>
      <c r="N329" s="8">
        <v>2.9217898076999999E-5</v>
      </c>
      <c r="O329">
        <v>0</v>
      </c>
      <c r="P329">
        <v>0</v>
      </c>
      <c r="Q329">
        <v>0</v>
      </c>
      <c r="R329" t="s">
        <v>243</v>
      </c>
    </row>
    <row r="330" spans="1:18" x14ac:dyDescent="0.3">
      <c r="A330" t="s">
        <v>259</v>
      </c>
      <c r="B330" t="s">
        <v>415</v>
      </c>
      <c r="C330" t="s">
        <v>277</v>
      </c>
      <c r="D330" s="8">
        <v>1.497325893E-5</v>
      </c>
      <c r="E330" s="8">
        <v>2.821895337E-5</v>
      </c>
      <c r="F330" s="8">
        <v>3.2908084219999997E-5</v>
      </c>
      <c r="G330" s="8">
        <v>3.3347073290000002E-5</v>
      </c>
      <c r="H330" s="8">
        <v>4.5128328650000002E-5</v>
      </c>
      <c r="I330" s="8">
        <v>4.5181088459999999E-5</v>
      </c>
      <c r="J330" s="8">
        <v>4.30912121599999E-5</v>
      </c>
      <c r="K330" s="8">
        <v>4.0636106636E-5</v>
      </c>
      <c r="L330" s="8">
        <v>3.7611139395000001E-5</v>
      </c>
      <c r="M330" s="8">
        <v>3.4138429876000001E-5</v>
      </c>
      <c r="N330" s="8">
        <v>3.0928411934999999E-5</v>
      </c>
      <c r="O330">
        <v>0</v>
      </c>
      <c r="P330">
        <v>0</v>
      </c>
      <c r="Q330">
        <v>0</v>
      </c>
      <c r="R330" t="s">
        <v>243</v>
      </c>
    </row>
    <row r="331" spans="1:18" x14ac:dyDescent="0.3">
      <c r="A331" t="s">
        <v>259</v>
      </c>
      <c r="B331" t="s">
        <v>415</v>
      </c>
      <c r="C331" t="s">
        <v>278</v>
      </c>
      <c r="D331" s="8">
        <v>1.8331750660000001E-5</v>
      </c>
      <c r="E331" s="8">
        <v>3.1790872730000002E-5</v>
      </c>
      <c r="F331" s="8">
        <v>3.613450625E-5</v>
      </c>
      <c r="G331" s="8">
        <v>3.662717726E-5</v>
      </c>
      <c r="H331" s="8">
        <v>4.7828910850000001E-5</v>
      </c>
      <c r="I331" s="8">
        <v>4.7577149139999899E-5</v>
      </c>
      <c r="J331" s="8">
        <v>4.51181126E-5</v>
      </c>
      <c r="K331" s="8">
        <v>4.2464788777E-5</v>
      </c>
      <c r="L331" s="8">
        <v>3.92616295859999E-5</v>
      </c>
      <c r="M331" s="8">
        <v>3.5595531217000002E-5</v>
      </c>
      <c r="N331" s="8">
        <v>3.2220722935999997E-5</v>
      </c>
      <c r="O331">
        <v>0</v>
      </c>
      <c r="P331">
        <v>0</v>
      </c>
      <c r="Q331">
        <v>0</v>
      </c>
      <c r="R331" t="s">
        <v>243</v>
      </c>
    </row>
    <row r="332" spans="1:18" x14ac:dyDescent="0.3">
      <c r="A332" t="s">
        <v>259</v>
      </c>
      <c r="B332" t="s">
        <v>415</v>
      </c>
      <c r="C332" t="s">
        <v>279</v>
      </c>
      <c r="D332" s="8">
        <v>2.168183918E-5</v>
      </c>
      <c r="E332" s="8">
        <v>3.4714607139999998E-5</v>
      </c>
      <c r="F332" s="8">
        <v>3.8726266570000003E-5</v>
      </c>
      <c r="G332" s="8">
        <v>3.944006669E-5</v>
      </c>
      <c r="H332" s="8">
        <v>5.0137809189999998E-5</v>
      </c>
      <c r="I332" s="8">
        <v>4.9652246589999998E-5</v>
      </c>
      <c r="J332" s="8">
        <v>4.6929859279999901E-5</v>
      </c>
      <c r="K332" s="8">
        <v>4.409934282E-5</v>
      </c>
      <c r="L332" s="8">
        <v>4.0723265120999898E-5</v>
      </c>
      <c r="M332" s="8">
        <v>3.6881441816999999E-5</v>
      </c>
      <c r="N332" s="8">
        <v>3.3363845714000003E-5</v>
      </c>
      <c r="O332">
        <v>0</v>
      </c>
      <c r="P332">
        <v>0</v>
      </c>
      <c r="Q332">
        <v>0</v>
      </c>
      <c r="R332" t="s">
        <v>243</v>
      </c>
    </row>
    <row r="333" spans="1:18" x14ac:dyDescent="0.3">
      <c r="A333" t="s">
        <v>259</v>
      </c>
      <c r="B333" t="s">
        <v>415</v>
      </c>
      <c r="C333" t="s">
        <v>280</v>
      </c>
      <c r="D333" s="8">
        <v>2.5314536369999998E-5</v>
      </c>
      <c r="E333" s="8">
        <v>3.72908424E-5</v>
      </c>
      <c r="F333" s="8">
        <v>4.1047257900000003E-5</v>
      </c>
      <c r="G333" s="8">
        <v>4.2098118200000002E-5</v>
      </c>
      <c r="H333" s="8">
        <v>5.2356685109999898E-5</v>
      </c>
      <c r="I333" s="8">
        <v>5.168403117E-5</v>
      </c>
      <c r="J333" s="8">
        <v>4.86971918E-5</v>
      </c>
      <c r="K333" s="8">
        <v>4.5697513463000003E-5</v>
      </c>
      <c r="L333" s="8">
        <v>4.2140187015999901E-5</v>
      </c>
      <c r="M333" s="8">
        <v>3.8117409435999998E-5</v>
      </c>
      <c r="N333" s="8">
        <v>3.4458645838999997E-5</v>
      </c>
      <c r="O333">
        <v>0</v>
      </c>
      <c r="P333">
        <v>0</v>
      </c>
      <c r="Q333">
        <v>0</v>
      </c>
      <c r="R333" t="s">
        <v>243</v>
      </c>
    </row>
    <row r="334" spans="1:18" x14ac:dyDescent="0.3">
      <c r="A334" t="s">
        <v>259</v>
      </c>
      <c r="B334" t="s">
        <v>415</v>
      </c>
      <c r="C334" t="s">
        <v>281</v>
      </c>
      <c r="D334" s="8">
        <v>2.9905201999999998E-5</v>
      </c>
      <c r="E334" s="8">
        <v>3.9625808699999999E-5</v>
      </c>
      <c r="F334" s="8">
        <v>4.3387554200000002E-5</v>
      </c>
      <c r="G334" s="8">
        <v>4.4812283399999998E-5</v>
      </c>
      <c r="H334" s="8">
        <v>5.4709883039999901E-5</v>
      </c>
      <c r="I334" s="8">
        <v>5.3842634920000002E-5</v>
      </c>
      <c r="J334" s="8">
        <v>5.0551334809999899E-5</v>
      </c>
      <c r="K334" s="8">
        <v>4.7359760106999998E-5</v>
      </c>
      <c r="L334" s="8">
        <v>4.3622683809999899E-5</v>
      </c>
      <c r="M334" s="8">
        <v>3.9418181146999901E-5</v>
      </c>
      <c r="N334" s="8">
        <v>3.5600868622000002E-5</v>
      </c>
      <c r="O334">
        <v>0</v>
      </c>
      <c r="P334">
        <v>0</v>
      </c>
      <c r="Q334">
        <v>0</v>
      </c>
      <c r="R334" t="s">
        <v>243</v>
      </c>
    </row>
    <row r="335" spans="1:18" x14ac:dyDescent="0.3">
      <c r="A335" t="s">
        <v>259</v>
      </c>
      <c r="B335" t="s">
        <v>415</v>
      </c>
      <c r="C335" t="s">
        <v>282</v>
      </c>
      <c r="D335" s="8">
        <v>3.4882416300000002E-5</v>
      </c>
      <c r="E335" s="8">
        <v>4.2190040500000002E-5</v>
      </c>
      <c r="F335" s="8">
        <v>4.62609861999999E-5</v>
      </c>
      <c r="G335" s="8">
        <v>4.8126895800000001E-5</v>
      </c>
      <c r="H335" s="8">
        <v>5.7449372809999999E-5</v>
      </c>
      <c r="I335" s="8">
        <v>5.6305905660000001E-5</v>
      </c>
      <c r="J335" s="8">
        <v>5.2700328290000003E-5</v>
      </c>
      <c r="K335" s="8">
        <v>4.9298542778000003E-5</v>
      </c>
      <c r="L335" s="8">
        <v>4.5343519969999901E-5</v>
      </c>
      <c r="M335" s="8">
        <v>4.0910664850999998E-5</v>
      </c>
      <c r="N335" s="8">
        <v>3.6907870479000002E-5</v>
      </c>
      <c r="O335">
        <v>0</v>
      </c>
      <c r="P335">
        <v>0</v>
      </c>
      <c r="Q335">
        <v>0</v>
      </c>
      <c r="R335" t="s">
        <v>243</v>
      </c>
    </row>
    <row r="336" spans="1:18" x14ac:dyDescent="0.3">
      <c r="A336" t="s">
        <v>259</v>
      </c>
      <c r="B336" t="s">
        <v>415</v>
      </c>
      <c r="C336" t="s">
        <v>283</v>
      </c>
      <c r="D336" s="8">
        <v>4.1939830699999998E-5</v>
      </c>
      <c r="E336" s="8">
        <v>4.52606167999999E-5</v>
      </c>
      <c r="F336" s="8">
        <v>4.9644848400000001E-5</v>
      </c>
      <c r="G336" s="8">
        <v>5.21660858E-5</v>
      </c>
      <c r="H336" s="8">
        <v>6.10218234199999E-5</v>
      </c>
      <c r="I336" s="8">
        <v>5.9555011659999899E-5</v>
      </c>
      <c r="J336" s="8">
        <v>5.5478293000000001E-5</v>
      </c>
      <c r="K336" s="8">
        <v>5.1752274150999999E-5</v>
      </c>
      <c r="L336" s="8">
        <v>4.7496690170000002E-5</v>
      </c>
      <c r="M336" s="8">
        <v>4.2776482158E-5</v>
      </c>
      <c r="N336" s="8">
        <v>3.8538810126999999E-5</v>
      </c>
      <c r="O336">
        <v>0</v>
      </c>
      <c r="P336">
        <v>0</v>
      </c>
      <c r="Q336">
        <v>0</v>
      </c>
      <c r="R336" t="s">
        <v>243</v>
      </c>
    </row>
    <row r="337" spans="1:18" x14ac:dyDescent="0.3">
      <c r="A337" t="s">
        <v>259</v>
      </c>
      <c r="B337" t="s">
        <v>415</v>
      </c>
      <c r="C337" t="s">
        <v>334</v>
      </c>
      <c r="D337">
        <v>0</v>
      </c>
      <c r="E337">
        <v>0</v>
      </c>
      <c r="F337">
        <v>1.7606200000000001E-3</v>
      </c>
      <c r="G337" s="8">
        <v>8.0731100000000001E-4</v>
      </c>
      <c r="H337" s="8">
        <v>7.9499900000000001E-4</v>
      </c>
      <c r="I337" s="8">
        <v>8.2284999999999997E-4</v>
      </c>
      <c r="J337" s="8">
        <v>8.2382199999999999E-4</v>
      </c>
      <c r="K337" s="8">
        <v>8.2023699999999905E-4</v>
      </c>
      <c r="L337" s="8">
        <v>7.9969000000000004E-4</v>
      </c>
      <c r="M337" s="8">
        <v>7.6809899999999995E-4</v>
      </c>
      <c r="N337" s="8">
        <v>7.3498200000000002E-4</v>
      </c>
      <c r="O337">
        <v>0</v>
      </c>
      <c r="P337">
        <v>0</v>
      </c>
      <c r="Q337">
        <v>0</v>
      </c>
      <c r="R337" t="s">
        <v>243</v>
      </c>
    </row>
    <row r="338" spans="1:18" x14ac:dyDescent="0.3">
      <c r="A338" t="s">
        <v>259</v>
      </c>
      <c r="B338" t="s">
        <v>415</v>
      </c>
      <c r="C338" t="s">
        <v>335</v>
      </c>
      <c r="D338">
        <v>0</v>
      </c>
      <c r="E338">
        <v>0</v>
      </c>
      <c r="F338" s="8">
        <v>4.6252799999999999E-5</v>
      </c>
      <c r="G338" s="8">
        <v>1.68578E-5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243</v>
      </c>
    </row>
    <row r="339" spans="1:18" x14ac:dyDescent="0.3">
      <c r="A339" t="s">
        <v>259</v>
      </c>
      <c r="B339" t="s">
        <v>415</v>
      </c>
      <c r="C339" t="s">
        <v>336</v>
      </c>
      <c r="D339">
        <v>0</v>
      </c>
      <c r="E339">
        <v>0</v>
      </c>
      <c r="F339" s="8">
        <v>8.4232800000000004E-4</v>
      </c>
      <c r="G339" s="8">
        <v>4.24065E-4</v>
      </c>
      <c r="H339" s="8">
        <v>4.2161400000000001E-4</v>
      </c>
      <c r="I339" s="8">
        <v>4.3267300000000001E-4</v>
      </c>
      <c r="J339" s="8">
        <v>4.3025399999999998E-4</v>
      </c>
      <c r="K339" s="8">
        <v>4.2629400000000002E-4</v>
      </c>
      <c r="L339" s="8">
        <v>4.147E-4</v>
      </c>
      <c r="M339" s="8">
        <v>3.9783370000000002E-4</v>
      </c>
      <c r="N339" s="8">
        <v>3.8046549999999998E-4</v>
      </c>
      <c r="O339">
        <v>0</v>
      </c>
      <c r="P339">
        <v>0</v>
      </c>
      <c r="Q339">
        <v>0</v>
      </c>
      <c r="R339" t="s">
        <v>243</v>
      </c>
    </row>
    <row r="340" spans="1:18" x14ac:dyDescent="0.3">
      <c r="A340" t="s">
        <v>259</v>
      </c>
      <c r="B340" t="s">
        <v>415</v>
      </c>
      <c r="C340" t="s">
        <v>337</v>
      </c>
      <c r="D340">
        <v>0</v>
      </c>
      <c r="E340">
        <v>0</v>
      </c>
      <c r="F340" s="8">
        <v>5.8129000000000004E-4</v>
      </c>
      <c r="G340" s="8">
        <v>2.9686699999999998E-4</v>
      </c>
      <c r="H340" s="8">
        <v>2.9385899999999999E-4</v>
      </c>
      <c r="I340" s="8">
        <v>3.0051729999999998E-4</v>
      </c>
      <c r="J340" s="8">
        <v>2.9834429999999899E-4</v>
      </c>
      <c r="K340" s="8">
        <v>2.9512270000000001E-4</v>
      </c>
      <c r="L340" s="8">
        <v>2.8681529999999999E-4</v>
      </c>
      <c r="M340" s="8">
        <v>2.7500819999999999E-4</v>
      </c>
      <c r="N340" s="8">
        <v>2.6294669999999998E-4</v>
      </c>
      <c r="O340">
        <v>0</v>
      </c>
      <c r="P340">
        <v>0</v>
      </c>
      <c r="Q340">
        <v>0</v>
      </c>
      <c r="R340" t="s">
        <v>243</v>
      </c>
    </row>
    <row r="341" spans="1:18" x14ac:dyDescent="0.3">
      <c r="A341" t="s">
        <v>259</v>
      </c>
      <c r="B341" t="s">
        <v>415</v>
      </c>
      <c r="C341" t="s">
        <v>338</v>
      </c>
      <c r="D341">
        <v>0</v>
      </c>
      <c r="E341">
        <v>0</v>
      </c>
      <c r="F341" s="8">
        <v>4.3541499999999998E-4</v>
      </c>
      <c r="G341" s="8">
        <v>2.2313500000000001E-4</v>
      </c>
      <c r="H341" s="8">
        <v>2.202142E-4</v>
      </c>
      <c r="I341" s="8">
        <v>2.2455209999999999E-4</v>
      </c>
      <c r="J341" s="8">
        <v>2.2222189999999999E-4</v>
      </c>
      <c r="K341" s="8">
        <v>2.1942850000000001E-4</v>
      </c>
      <c r="L341" s="8">
        <v>2.1314399999999999E-4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243</v>
      </c>
    </row>
    <row r="342" spans="1:18" x14ac:dyDescent="0.3">
      <c r="A342" t="s">
        <v>259</v>
      </c>
      <c r="B342" t="s">
        <v>415</v>
      </c>
      <c r="C342" t="s">
        <v>339</v>
      </c>
      <c r="D342">
        <v>0</v>
      </c>
      <c r="E342">
        <v>0</v>
      </c>
      <c r="F342" s="8">
        <v>3.3905399999999998E-4</v>
      </c>
      <c r="G342" s="8">
        <v>1.71726E-4</v>
      </c>
      <c r="H342" s="8">
        <v>1.688432E-4</v>
      </c>
      <c r="I342" s="8">
        <v>1.7161579999999999E-4</v>
      </c>
      <c r="J342" s="8">
        <v>1.695492E-4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243</v>
      </c>
    </row>
    <row r="343" spans="1:18" x14ac:dyDescent="0.3">
      <c r="A343" t="s">
        <v>259</v>
      </c>
      <c r="B343" t="s">
        <v>415</v>
      </c>
      <c r="C343" t="s">
        <v>340</v>
      </c>
      <c r="D343">
        <v>0</v>
      </c>
      <c r="E343">
        <v>0</v>
      </c>
      <c r="F343" s="8">
        <v>2.6808499999999999E-4</v>
      </c>
      <c r="G343" s="8">
        <v>1.3272699999999999E-4</v>
      </c>
      <c r="H343" s="8">
        <v>1.3002989999999999E-4</v>
      </c>
      <c r="I343" s="8">
        <v>1.31829E-4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243</v>
      </c>
    </row>
    <row r="344" spans="1:18" x14ac:dyDescent="0.3">
      <c r="A344" t="s">
        <v>259</v>
      </c>
      <c r="B344" t="s">
        <v>415</v>
      </c>
      <c r="C344" t="s">
        <v>341</v>
      </c>
      <c r="D344">
        <v>0</v>
      </c>
      <c r="E344">
        <v>0</v>
      </c>
      <c r="F344" s="8">
        <v>2.10251E-4</v>
      </c>
      <c r="G344" s="8">
        <v>1.01512E-4</v>
      </c>
      <c r="H344" s="8">
        <v>9.9258400000000005E-5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243</v>
      </c>
    </row>
    <row r="345" spans="1:18" x14ac:dyDescent="0.3">
      <c r="A345" t="s">
        <v>259</v>
      </c>
      <c r="B345" t="s">
        <v>415</v>
      </c>
      <c r="C345" t="s">
        <v>342</v>
      </c>
      <c r="D345">
        <v>0</v>
      </c>
      <c r="E345">
        <v>0</v>
      </c>
      <c r="F345" s="8">
        <v>1.55472E-4</v>
      </c>
      <c r="G345" s="8">
        <v>7.2996400000000005E-5</v>
      </c>
      <c r="H345" s="8">
        <v>7.0974800000000004E-5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243</v>
      </c>
    </row>
    <row r="346" spans="1:18" x14ac:dyDescent="0.3">
      <c r="A346" t="s">
        <v>259</v>
      </c>
      <c r="B346" t="s">
        <v>415</v>
      </c>
      <c r="C346" t="s">
        <v>343</v>
      </c>
      <c r="D346">
        <v>0</v>
      </c>
      <c r="E346">
        <v>0</v>
      </c>
      <c r="F346" s="8">
        <v>1.08813E-4</v>
      </c>
      <c r="G346" s="8">
        <v>4.8770599999999997E-5</v>
      </c>
      <c r="H346" s="8">
        <v>4.7380999999999999E-5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243</v>
      </c>
    </row>
    <row r="347" spans="1:18" x14ac:dyDescent="0.3">
      <c r="A347" t="s">
        <v>259</v>
      </c>
      <c r="B347" t="s">
        <v>415</v>
      </c>
      <c r="C347" t="s">
        <v>284</v>
      </c>
      <c r="D347" s="8">
        <v>9.8479959999999895E-5</v>
      </c>
      <c r="E347" s="8">
        <v>5.9765669999999899E-5</v>
      </c>
      <c r="F347" s="8">
        <v>1.3334357000000001E-4</v>
      </c>
      <c r="G347" s="8">
        <v>2.2825176999999899E-4</v>
      </c>
      <c r="H347" s="8">
        <v>2.11884602859999E-4</v>
      </c>
      <c r="I347" s="8">
        <v>2.8526688973000002E-4</v>
      </c>
      <c r="J347" s="8">
        <v>3.12955274789E-4</v>
      </c>
      <c r="K347" s="8">
        <v>3.3678384838900001E-4</v>
      </c>
      <c r="L347" s="8">
        <v>3.4029558440000002E-4</v>
      </c>
      <c r="M347" s="8">
        <v>3.3290870767E-4</v>
      </c>
      <c r="N347" s="8">
        <v>3.2214624699999998E-4</v>
      </c>
      <c r="O347">
        <v>0</v>
      </c>
      <c r="P347">
        <v>0</v>
      </c>
      <c r="Q347">
        <v>0</v>
      </c>
      <c r="R347" t="s">
        <v>243</v>
      </c>
    </row>
    <row r="348" spans="1:18" x14ac:dyDescent="0.3">
      <c r="A348" t="s">
        <v>259</v>
      </c>
      <c r="B348" t="s">
        <v>415</v>
      </c>
      <c r="C348" t="s">
        <v>285</v>
      </c>
      <c r="D348">
        <v>2.8106157000000001E-3</v>
      </c>
      <c r="E348">
        <v>1.63826859999999E-3</v>
      </c>
      <c r="F348">
        <v>2.8476982000000001E-3</v>
      </c>
      <c r="G348">
        <v>5.6229788000000001E-3</v>
      </c>
      <c r="H348">
        <v>5.2189260709999998E-3</v>
      </c>
      <c r="I348">
        <v>5.4746386651999901E-3</v>
      </c>
      <c r="J348">
        <v>5.1666409824E-3</v>
      </c>
      <c r="K348">
        <v>4.8009360535900001E-3</v>
      </c>
      <c r="L348">
        <v>4.4247151327900004E-3</v>
      </c>
      <c r="M348">
        <v>4.0055568556000001E-3</v>
      </c>
      <c r="N348">
        <v>3.6276458610000001E-3</v>
      </c>
      <c r="O348">
        <v>0</v>
      </c>
      <c r="P348">
        <v>0</v>
      </c>
      <c r="Q348">
        <v>0</v>
      </c>
      <c r="R348" t="s">
        <v>243</v>
      </c>
    </row>
    <row r="349" spans="1:18" x14ac:dyDescent="0.3">
      <c r="A349" t="s">
        <v>259</v>
      </c>
      <c r="B349" t="s">
        <v>415</v>
      </c>
      <c r="C349" t="s">
        <v>286</v>
      </c>
      <c r="D349" s="8">
        <v>1.8169837999999999E-4</v>
      </c>
      <c r="E349" s="8">
        <v>1.2942276999999901E-4</v>
      </c>
      <c r="F349" s="8">
        <v>2.9673717000000001E-4</v>
      </c>
      <c r="G349" s="8">
        <v>4.7007325999999999E-4</v>
      </c>
      <c r="H349" s="8">
        <v>4.6152295279999999E-4</v>
      </c>
      <c r="I349" s="8">
        <v>6.1138946704000004E-4</v>
      </c>
      <c r="J349" s="8">
        <v>6.6242935377000003E-4</v>
      </c>
      <c r="K349" s="8">
        <v>7.0442190881999896E-4</v>
      </c>
      <c r="L349" s="8">
        <v>7.0742462687600001E-4</v>
      </c>
      <c r="M349" s="8">
        <v>6.8905518950000005E-4</v>
      </c>
      <c r="N349" s="8">
        <v>6.6439143239999901E-4</v>
      </c>
      <c r="O349">
        <v>0</v>
      </c>
      <c r="P349">
        <v>0</v>
      </c>
      <c r="Q349">
        <v>0</v>
      </c>
      <c r="R349" t="s">
        <v>243</v>
      </c>
    </row>
    <row r="350" spans="1:18" x14ac:dyDescent="0.3">
      <c r="A350" t="s">
        <v>259</v>
      </c>
      <c r="B350" t="s">
        <v>415</v>
      </c>
      <c r="C350" t="s">
        <v>287</v>
      </c>
      <c r="D350" s="8">
        <v>2.4925513999999899E-4</v>
      </c>
      <c r="E350" s="8">
        <v>1.9024115999999999E-4</v>
      </c>
      <c r="F350" s="8">
        <v>4.3025246999999899E-4</v>
      </c>
      <c r="G350" s="8">
        <v>6.8007764E-4</v>
      </c>
      <c r="H350" s="8">
        <v>6.6530358810000002E-4</v>
      </c>
      <c r="I350" s="8">
        <v>8.7288129624999897E-4</v>
      </c>
      <c r="J350" s="8">
        <v>9.4318739379999897E-4</v>
      </c>
      <c r="K350" s="8">
        <v>9.9741295801999909E-4</v>
      </c>
      <c r="L350" s="8">
        <v>9.9761220597099996E-4</v>
      </c>
      <c r="M350" s="8">
        <v>9.6863962659999995E-4</v>
      </c>
      <c r="N350" s="8">
        <v>9.3145136939999998E-4</v>
      </c>
      <c r="O350">
        <v>0</v>
      </c>
      <c r="P350">
        <v>0</v>
      </c>
      <c r="Q350">
        <v>0</v>
      </c>
      <c r="R350" t="s">
        <v>243</v>
      </c>
    </row>
    <row r="351" spans="1:18" x14ac:dyDescent="0.3">
      <c r="A351" t="s">
        <v>259</v>
      </c>
      <c r="B351" t="s">
        <v>415</v>
      </c>
      <c r="C351" t="s">
        <v>288</v>
      </c>
      <c r="D351" s="8">
        <v>3.2274479000000001E-4</v>
      </c>
      <c r="E351" s="8">
        <v>2.5608340999999998E-4</v>
      </c>
      <c r="F351" s="8">
        <v>5.6632589999999999E-4</v>
      </c>
      <c r="G351" s="8">
        <v>9.0015027999999905E-4</v>
      </c>
      <c r="H351" s="8">
        <v>8.7833978039999995E-4</v>
      </c>
      <c r="I351">
        <v>1.1403125445099999E-3</v>
      </c>
      <c r="J351">
        <v>1.2192990373999901E-3</v>
      </c>
      <c r="K351">
        <v>1.2791169814499999E-3</v>
      </c>
      <c r="L351">
        <v>1.2750506205699899E-3</v>
      </c>
      <c r="M351">
        <v>1.2336121836999999E-3</v>
      </c>
      <c r="N351">
        <v>1.1816482559E-3</v>
      </c>
      <c r="O351">
        <v>0</v>
      </c>
      <c r="P351">
        <v>0</v>
      </c>
      <c r="Q351">
        <v>0</v>
      </c>
      <c r="R351" t="s">
        <v>243</v>
      </c>
    </row>
    <row r="352" spans="1:18" x14ac:dyDescent="0.3">
      <c r="A352" t="s">
        <v>259</v>
      </c>
      <c r="B352" t="s">
        <v>415</v>
      </c>
      <c r="C352" t="s">
        <v>289</v>
      </c>
      <c r="D352" s="8">
        <v>4.0468557E-4</v>
      </c>
      <c r="E352" s="8">
        <v>3.3194509999999997E-4</v>
      </c>
      <c r="F352" s="8">
        <v>7.1079029999999998E-4</v>
      </c>
      <c r="G352">
        <v>1.1501727999999999E-3</v>
      </c>
      <c r="H352">
        <v>1.1143266149999901E-3</v>
      </c>
      <c r="I352">
        <v>1.4267302296200001E-3</v>
      </c>
      <c r="J352">
        <v>1.5155368999800001E-3</v>
      </c>
      <c r="K352">
        <v>1.57580152283999E-3</v>
      </c>
      <c r="L352">
        <v>1.56232559874999E-3</v>
      </c>
      <c r="M352">
        <v>1.5051873762E-3</v>
      </c>
      <c r="N352">
        <v>1.4370988194999899E-3</v>
      </c>
      <c r="O352">
        <v>0</v>
      </c>
      <c r="P352">
        <v>0</v>
      </c>
      <c r="Q352">
        <v>0</v>
      </c>
      <c r="R352" t="s">
        <v>243</v>
      </c>
    </row>
    <row r="353" spans="1:18" x14ac:dyDescent="0.3">
      <c r="A353" t="s">
        <v>259</v>
      </c>
      <c r="B353" t="s">
        <v>415</v>
      </c>
      <c r="C353" t="s">
        <v>290</v>
      </c>
      <c r="D353" s="8">
        <v>5.0532028000000004E-4</v>
      </c>
      <c r="E353" s="8">
        <v>4.2290269999999998E-4</v>
      </c>
      <c r="F353" s="8">
        <v>8.7157170000000004E-4</v>
      </c>
      <c r="G353">
        <v>1.4470619E-3</v>
      </c>
      <c r="H353">
        <v>1.3912393772999999E-3</v>
      </c>
      <c r="I353">
        <v>1.7573488465999999E-3</v>
      </c>
      <c r="J353">
        <v>1.84960783629E-3</v>
      </c>
      <c r="K353">
        <v>1.90613894968999E-3</v>
      </c>
      <c r="L353">
        <v>1.8764006733100001E-3</v>
      </c>
      <c r="M353">
        <v>1.7970174147E-3</v>
      </c>
      <c r="N353">
        <v>1.7088162965999999E-3</v>
      </c>
      <c r="O353">
        <v>0</v>
      </c>
      <c r="P353">
        <v>0</v>
      </c>
      <c r="Q353">
        <v>0</v>
      </c>
      <c r="R353" t="s">
        <v>243</v>
      </c>
    </row>
    <row r="354" spans="1:18" x14ac:dyDescent="0.3">
      <c r="A354" t="s">
        <v>259</v>
      </c>
      <c r="B354" t="s">
        <v>415</v>
      </c>
      <c r="C354" t="s">
        <v>291</v>
      </c>
      <c r="D354" s="8">
        <v>6.5468039999999996E-4</v>
      </c>
      <c r="E354" s="8">
        <v>5.3018729999999999E-4</v>
      </c>
      <c r="F354">
        <v>1.0655580999999999E-3</v>
      </c>
      <c r="G354">
        <v>1.8148226999999901E-3</v>
      </c>
      <c r="H354">
        <v>1.7406677392999999E-3</v>
      </c>
      <c r="I354">
        <v>2.1628299756199999E-3</v>
      </c>
      <c r="J354">
        <v>2.2468008746499902E-3</v>
      </c>
      <c r="K354">
        <v>2.2893546205599901E-3</v>
      </c>
      <c r="L354">
        <v>2.23831075367E-3</v>
      </c>
      <c r="M354">
        <v>2.1315498311999899E-3</v>
      </c>
      <c r="N354">
        <v>2.0148421152999898E-3</v>
      </c>
      <c r="O354">
        <v>0</v>
      </c>
      <c r="P354">
        <v>0</v>
      </c>
      <c r="Q354">
        <v>0</v>
      </c>
      <c r="R354" t="s">
        <v>243</v>
      </c>
    </row>
    <row r="355" spans="1:18" x14ac:dyDescent="0.3">
      <c r="A355" t="s">
        <v>259</v>
      </c>
      <c r="B355" t="s">
        <v>415</v>
      </c>
      <c r="C355" t="s">
        <v>292</v>
      </c>
      <c r="D355" s="8">
        <v>8.5473299999999999E-4</v>
      </c>
      <c r="E355" s="8">
        <v>6.7795370000000004E-4</v>
      </c>
      <c r="F355">
        <v>1.3472047000000001E-3</v>
      </c>
      <c r="G355">
        <v>2.353843E-3</v>
      </c>
      <c r="H355">
        <v>2.2219390931999998E-3</v>
      </c>
      <c r="I355">
        <v>2.6901907385199998E-3</v>
      </c>
      <c r="J355">
        <v>2.7600326828099999E-3</v>
      </c>
      <c r="K355">
        <v>2.7748634844599902E-3</v>
      </c>
      <c r="L355">
        <v>2.6871817566099898E-3</v>
      </c>
      <c r="M355">
        <v>2.5357016770999898E-3</v>
      </c>
      <c r="N355">
        <v>2.3782253884E-3</v>
      </c>
      <c r="O355">
        <v>0</v>
      </c>
      <c r="P355">
        <v>0</v>
      </c>
      <c r="Q355">
        <v>0</v>
      </c>
      <c r="R355" t="s">
        <v>243</v>
      </c>
    </row>
    <row r="356" spans="1:18" x14ac:dyDescent="0.3">
      <c r="A356" t="s">
        <v>259</v>
      </c>
      <c r="B356" t="s">
        <v>415</v>
      </c>
      <c r="C356" t="s">
        <v>293</v>
      </c>
      <c r="D356">
        <v>1.2469146E-3</v>
      </c>
      <c r="E356" s="8">
        <v>8.9506409999999905E-4</v>
      </c>
      <c r="F356">
        <v>1.7369988000000001E-3</v>
      </c>
      <c r="G356">
        <v>3.1405688000000001E-3</v>
      </c>
      <c r="H356">
        <v>2.9656825426E-3</v>
      </c>
      <c r="I356">
        <v>3.4703290006999998E-3</v>
      </c>
      <c r="J356">
        <v>3.4786405905499998E-3</v>
      </c>
      <c r="K356">
        <v>3.4179765465199999E-3</v>
      </c>
      <c r="L356">
        <v>3.2602043523999999E-3</v>
      </c>
      <c r="M356">
        <v>3.0392925143E-3</v>
      </c>
      <c r="N356">
        <v>2.8210163539999999E-3</v>
      </c>
      <c r="O356">
        <v>0</v>
      </c>
      <c r="P356">
        <v>0</v>
      </c>
      <c r="Q356">
        <v>0</v>
      </c>
      <c r="R356" t="s">
        <v>243</v>
      </c>
    </row>
    <row r="357" spans="1:18" x14ac:dyDescent="0.3">
      <c r="A357" t="s">
        <v>259</v>
      </c>
      <c r="B357" t="s">
        <v>415</v>
      </c>
      <c r="C357" t="s">
        <v>344</v>
      </c>
      <c r="D357">
        <v>0</v>
      </c>
      <c r="E357">
        <v>0</v>
      </c>
      <c r="F357" s="8">
        <v>6.2420200000000005E-7</v>
      </c>
      <c r="G357" s="8">
        <v>2.5916699999999998E-7</v>
      </c>
      <c r="H357" s="8">
        <v>2.553401E-7</v>
      </c>
      <c r="I357" s="8">
        <v>2.639092E-7</v>
      </c>
      <c r="J357" s="8">
        <v>2.6443149999999998E-7</v>
      </c>
      <c r="K357" s="8">
        <v>2.6337470000000001E-7</v>
      </c>
      <c r="L357" s="8">
        <v>2.5659549999999999E-7</v>
      </c>
      <c r="M357" s="8">
        <v>2.4653690000000001E-7</v>
      </c>
      <c r="N357" s="8">
        <v>2.3594300000000001E-7</v>
      </c>
      <c r="O357">
        <v>0</v>
      </c>
      <c r="P357">
        <v>0</v>
      </c>
      <c r="Q357">
        <v>0</v>
      </c>
      <c r="R357" t="s">
        <v>243</v>
      </c>
    </row>
    <row r="358" spans="1:18" x14ac:dyDescent="0.3">
      <c r="A358" t="s">
        <v>259</v>
      </c>
      <c r="B358" t="s">
        <v>415</v>
      </c>
      <c r="C358" t="s">
        <v>345</v>
      </c>
      <c r="D358">
        <v>0</v>
      </c>
      <c r="E358">
        <v>0</v>
      </c>
      <c r="F358" s="8">
        <v>3.4806799999999998E-8</v>
      </c>
      <c r="G358" s="8">
        <v>1.1367E-8</v>
      </c>
      <c r="H358" s="8">
        <v>1.1000430000000001E-8</v>
      </c>
      <c r="I358" s="8">
        <v>1.09387599999999E-8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243</v>
      </c>
    </row>
    <row r="359" spans="1:18" x14ac:dyDescent="0.3">
      <c r="A359" t="s">
        <v>259</v>
      </c>
      <c r="B359" t="s">
        <v>415</v>
      </c>
      <c r="C359" t="s">
        <v>346</v>
      </c>
      <c r="D359">
        <v>0</v>
      </c>
      <c r="E359">
        <v>0</v>
      </c>
      <c r="F359" s="8">
        <v>3.5270900000000001E-7</v>
      </c>
      <c r="G359" s="8">
        <v>1.59137E-7</v>
      </c>
      <c r="H359" s="8">
        <v>1.5829509999999999E-7</v>
      </c>
      <c r="I359" s="8">
        <v>1.6221690000000001E-7</v>
      </c>
      <c r="J359" s="8">
        <v>1.6143699999999999E-7</v>
      </c>
      <c r="K359" s="8">
        <v>1.6001080000000001E-7</v>
      </c>
      <c r="L359" s="8">
        <v>1.5554759999999999E-7</v>
      </c>
      <c r="M359" s="8">
        <v>1.4926770000000001E-7</v>
      </c>
      <c r="N359" s="8">
        <v>1.427741E-7</v>
      </c>
      <c r="O359">
        <v>0</v>
      </c>
      <c r="P359">
        <v>0</v>
      </c>
      <c r="Q359">
        <v>0</v>
      </c>
      <c r="R359" t="s">
        <v>243</v>
      </c>
    </row>
    <row r="360" spans="1:18" x14ac:dyDescent="0.3">
      <c r="A360" t="s">
        <v>259</v>
      </c>
      <c r="B360" t="s">
        <v>415</v>
      </c>
      <c r="C360" t="s">
        <v>347</v>
      </c>
      <c r="D360">
        <v>0</v>
      </c>
      <c r="E360">
        <v>0</v>
      </c>
      <c r="F360" s="8">
        <v>2.64532E-7</v>
      </c>
      <c r="G360" s="8">
        <v>1.2048999999999999E-7</v>
      </c>
      <c r="H360" s="8">
        <v>1.193273E-7</v>
      </c>
      <c r="I360" s="8">
        <v>1.218571E-7</v>
      </c>
      <c r="J360" s="8">
        <v>1.21071699999999E-7</v>
      </c>
      <c r="K360" s="8">
        <v>1.1981000000000001E-7</v>
      </c>
      <c r="L360" s="8">
        <v>1.163531E-7</v>
      </c>
      <c r="M360" s="8">
        <v>1.11598699999999E-7</v>
      </c>
      <c r="N360" s="8">
        <v>1.067213E-7</v>
      </c>
      <c r="O360">
        <v>0</v>
      </c>
      <c r="P360">
        <v>0</v>
      </c>
      <c r="Q360">
        <v>0</v>
      </c>
      <c r="R360" t="s">
        <v>243</v>
      </c>
    </row>
    <row r="361" spans="1:18" x14ac:dyDescent="0.3">
      <c r="A361" t="s">
        <v>259</v>
      </c>
      <c r="B361" t="s">
        <v>415</v>
      </c>
      <c r="C361" t="s">
        <v>348</v>
      </c>
      <c r="D361">
        <v>0</v>
      </c>
      <c r="E361">
        <v>0</v>
      </c>
      <c r="F361" s="8">
        <v>2.1116099999999999E-7</v>
      </c>
      <c r="G361" s="8">
        <v>9.5482400000000003E-8</v>
      </c>
      <c r="H361" s="8">
        <v>9.4279200000000004E-8</v>
      </c>
      <c r="I361" s="8">
        <v>9.5998199999999995E-8</v>
      </c>
      <c r="J361" s="8">
        <v>9.5077899999999994E-8</v>
      </c>
      <c r="K361" s="8">
        <v>9.39186999999999E-8</v>
      </c>
      <c r="L361" s="8">
        <v>9.1162299999999996E-8</v>
      </c>
      <c r="M361" s="8">
        <v>8.7396900000000006E-8</v>
      </c>
      <c r="N361" s="8">
        <v>8.3540900000000001E-8</v>
      </c>
      <c r="O361">
        <v>0</v>
      </c>
      <c r="P361">
        <v>0</v>
      </c>
      <c r="Q361">
        <v>0</v>
      </c>
      <c r="R361" t="s">
        <v>243</v>
      </c>
    </row>
    <row r="362" spans="1:18" x14ac:dyDescent="0.3">
      <c r="A362" t="s">
        <v>259</v>
      </c>
      <c r="B362" t="s">
        <v>415</v>
      </c>
      <c r="C362" t="s">
        <v>349</v>
      </c>
      <c r="D362">
        <v>0</v>
      </c>
      <c r="E362">
        <v>0</v>
      </c>
      <c r="F362" s="8">
        <v>1.7403400000000001E-7</v>
      </c>
      <c r="G362" s="8">
        <v>7.7295299999999995E-8</v>
      </c>
      <c r="H362" s="8">
        <v>7.6035299999999995E-8</v>
      </c>
      <c r="I362" s="8">
        <v>7.7171999999999998E-8</v>
      </c>
      <c r="J362" s="8">
        <v>7.6304400000000001E-8</v>
      </c>
      <c r="K362" s="8">
        <v>7.5244600000000001E-8</v>
      </c>
      <c r="L362" s="8">
        <v>7.2972199999999997E-8</v>
      </c>
      <c r="M362" s="8">
        <v>6.99255E-8</v>
      </c>
      <c r="N362" s="8">
        <v>6.6830699999999995E-8</v>
      </c>
      <c r="O362">
        <v>0</v>
      </c>
      <c r="P362">
        <v>0</v>
      </c>
      <c r="Q362">
        <v>0</v>
      </c>
      <c r="R362" t="s">
        <v>243</v>
      </c>
    </row>
    <row r="363" spans="1:18" x14ac:dyDescent="0.3">
      <c r="A363" t="s">
        <v>259</v>
      </c>
      <c r="B363" t="s">
        <v>415</v>
      </c>
      <c r="C363" t="s">
        <v>350</v>
      </c>
      <c r="D363">
        <v>0</v>
      </c>
      <c r="E363">
        <v>0</v>
      </c>
      <c r="F363" s="8">
        <v>1.43868E-7</v>
      </c>
      <c r="G363" s="8">
        <v>6.3654999999999997E-8</v>
      </c>
      <c r="H363" s="8">
        <v>6.23926E-8</v>
      </c>
      <c r="I363" s="8">
        <v>6.3163900000000004E-8</v>
      </c>
      <c r="J363" s="8">
        <v>6.2327119999999998E-8</v>
      </c>
      <c r="K363" s="8">
        <v>6.1377010000000004E-8</v>
      </c>
      <c r="L363" s="8">
        <v>5.94565E-8</v>
      </c>
      <c r="M363" s="8">
        <v>5.6930400000000003E-8</v>
      </c>
      <c r="N363" s="8">
        <v>5.440061E-8</v>
      </c>
      <c r="O363">
        <v>0</v>
      </c>
      <c r="P363">
        <v>0</v>
      </c>
      <c r="Q363">
        <v>0</v>
      </c>
      <c r="R363" t="s">
        <v>243</v>
      </c>
    </row>
    <row r="364" spans="1:18" x14ac:dyDescent="0.3">
      <c r="A364" t="s">
        <v>259</v>
      </c>
      <c r="B364" t="s">
        <v>415</v>
      </c>
      <c r="C364" t="s">
        <v>351</v>
      </c>
      <c r="D364">
        <v>0</v>
      </c>
      <c r="E364">
        <v>0</v>
      </c>
      <c r="F364" s="8">
        <v>1.18343E-7</v>
      </c>
      <c r="G364" s="8">
        <v>5.2287999999999998E-8</v>
      </c>
      <c r="H364" s="8">
        <v>5.1152900000000003E-8</v>
      </c>
      <c r="I364" s="8">
        <v>5.1651200000000001E-8</v>
      </c>
      <c r="J364" s="8">
        <v>5.0831679999999999E-8</v>
      </c>
      <c r="K364" s="8">
        <v>4.9977320000000001E-8</v>
      </c>
      <c r="L364" s="8">
        <v>4.8380299999999997E-8</v>
      </c>
      <c r="M364" s="8">
        <v>4.6307679999999997E-8</v>
      </c>
      <c r="N364" s="8">
        <v>4.4229090000000001E-8</v>
      </c>
      <c r="O364">
        <v>0</v>
      </c>
      <c r="P364">
        <v>0</v>
      </c>
      <c r="Q364">
        <v>0</v>
      </c>
      <c r="R364" t="s">
        <v>243</v>
      </c>
    </row>
    <row r="365" spans="1:18" x14ac:dyDescent="0.3">
      <c r="A365" t="s">
        <v>259</v>
      </c>
      <c r="B365" t="s">
        <v>415</v>
      </c>
      <c r="C365" t="s">
        <v>352</v>
      </c>
      <c r="D365">
        <v>0</v>
      </c>
      <c r="E365">
        <v>0</v>
      </c>
      <c r="F365" s="8">
        <v>9.2818099999999997E-8</v>
      </c>
      <c r="G365" s="8">
        <v>4.0921E-8</v>
      </c>
      <c r="H365" s="8">
        <v>3.9807699999999999E-8</v>
      </c>
      <c r="I365" s="8">
        <v>4.0039759999999897E-8</v>
      </c>
      <c r="J365" s="8">
        <v>3.9339099999999998E-8</v>
      </c>
      <c r="K365" s="8">
        <v>3.8627619999999998E-8</v>
      </c>
      <c r="L365" s="8">
        <v>3.7358850000000002E-8</v>
      </c>
      <c r="M365" s="8">
        <v>3.5727610000000002E-8</v>
      </c>
      <c r="N365" s="8">
        <v>3.4105819999999997E-8</v>
      </c>
      <c r="O365">
        <v>0</v>
      </c>
      <c r="P365">
        <v>0</v>
      </c>
      <c r="Q365">
        <v>0</v>
      </c>
      <c r="R365" t="s">
        <v>243</v>
      </c>
    </row>
    <row r="366" spans="1:18" x14ac:dyDescent="0.3">
      <c r="A366" t="s">
        <v>259</v>
      </c>
      <c r="B366" t="s">
        <v>415</v>
      </c>
      <c r="C366" t="s">
        <v>353</v>
      </c>
      <c r="D366">
        <v>0</v>
      </c>
      <c r="E366">
        <v>0</v>
      </c>
      <c r="F366" s="8">
        <v>6.9613599999999995E-8</v>
      </c>
      <c r="G366" s="8">
        <v>2.95541E-8</v>
      </c>
      <c r="H366" s="8">
        <v>2.8726499999999999E-8</v>
      </c>
      <c r="I366" s="8">
        <v>2.879341E-8</v>
      </c>
      <c r="J366" s="8">
        <v>2.819571E-8</v>
      </c>
      <c r="K366" s="8">
        <v>2.7613939999999999E-8</v>
      </c>
      <c r="L366" s="8">
        <v>2.6666600000000001E-8</v>
      </c>
      <c r="M366" s="8">
        <v>2.548171E-8</v>
      </c>
      <c r="N366" s="8">
        <v>2.4313999999999999E-8</v>
      </c>
      <c r="O366">
        <v>0</v>
      </c>
      <c r="P366">
        <v>0</v>
      </c>
      <c r="Q366">
        <v>0</v>
      </c>
      <c r="R366" t="s">
        <v>243</v>
      </c>
    </row>
    <row r="367" spans="1:18" x14ac:dyDescent="0.3">
      <c r="A367" t="s">
        <v>259</v>
      </c>
      <c r="B367" t="s">
        <v>415</v>
      </c>
      <c r="C367" t="s">
        <v>294</v>
      </c>
      <c r="D367" s="8">
        <v>5.9422785000000002E-5</v>
      </c>
      <c r="E367" s="8">
        <v>8.3915369999999997E-5</v>
      </c>
      <c r="F367" s="8">
        <v>1.09948165E-4</v>
      </c>
      <c r="G367" s="8">
        <v>1.1886115E-4</v>
      </c>
      <c r="H367" s="8">
        <v>1.5729620710000001E-4</v>
      </c>
      <c r="I367" s="8">
        <v>1.9011148930000001E-4</v>
      </c>
      <c r="J367" s="8">
        <v>3.1997133263999899E-4</v>
      </c>
      <c r="K367" s="8">
        <v>3.3441151359999999E-4</v>
      </c>
      <c r="L367" s="8">
        <v>3.2902352567999997E-4</v>
      </c>
      <c r="M367" s="8">
        <v>3.1398008569999999E-4</v>
      </c>
      <c r="N367" s="8">
        <v>2.911592977E-4</v>
      </c>
      <c r="O367">
        <v>0</v>
      </c>
      <c r="P367">
        <v>0</v>
      </c>
      <c r="Q367">
        <v>0</v>
      </c>
      <c r="R367" t="s">
        <v>243</v>
      </c>
    </row>
    <row r="368" spans="1:18" x14ac:dyDescent="0.3">
      <c r="A368" t="s">
        <v>259</v>
      </c>
      <c r="B368" t="s">
        <v>415</v>
      </c>
      <c r="C368" t="s">
        <v>295</v>
      </c>
      <c r="D368">
        <v>1.4192178E-3</v>
      </c>
      <c r="E368">
        <v>1.34519727999999E-3</v>
      </c>
      <c r="F368">
        <v>1.3075806199999999E-3</v>
      </c>
      <c r="G368">
        <v>1.3806377999999999E-3</v>
      </c>
      <c r="H368">
        <v>1.3258351349999999E-3</v>
      </c>
      <c r="I368">
        <v>1.3041195929E-3</v>
      </c>
      <c r="J368">
        <v>1.2100355692999899E-3</v>
      </c>
      <c r="K368">
        <v>1.13181307309999E-3</v>
      </c>
      <c r="L368">
        <v>1.0350857864999999E-3</v>
      </c>
      <c r="M368" s="8">
        <v>9.4279918299999897E-4</v>
      </c>
      <c r="N368" s="8">
        <v>8.4269183400000004E-4</v>
      </c>
      <c r="O368">
        <v>0</v>
      </c>
      <c r="P368">
        <v>0</v>
      </c>
      <c r="Q368">
        <v>0</v>
      </c>
      <c r="R368" t="s">
        <v>243</v>
      </c>
    </row>
    <row r="369" spans="1:18" x14ac:dyDescent="0.3">
      <c r="A369" t="s">
        <v>259</v>
      </c>
      <c r="B369" t="s">
        <v>415</v>
      </c>
      <c r="C369" t="s">
        <v>296</v>
      </c>
      <c r="D369" s="8">
        <v>1.08780043999999E-4</v>
      </c>
      <c r="E369" s="8">
        <v>1.7588593E-4</v>
      </c>
      <c r="F369" s="8">
        <v>2.3309515E-4</v>
      </c>
      <c r="G369" s="8">
        <v>2.3266884999999999E-4</v>
      </c>
      <c r="H369" s="8">
        <v>3.03033998099999E-4</v>
      </c>
      <c r="I369" s="8">
        <v>3.5178217019999898E-4</v>
      </c>
      <c r="J369" s="8">
        <v>5.2097708850000002E-4</v>
      </c>
      <c r="K369" s="8">
        <v>5.2554557874999995E-4</v>
      </c>
      <c r="L369" s="8">
        <v>5.0398170669999998E-4</v>
      </c>
      <c r="M369" s="8">
        <v>4.7190935799999999E-4</v>
      </c>
      <c r="N369" s="8">
        <v>4.3072038199999999E-4</v>
      </c>
      <c r="O369">
        <v>0</v>
      </c>
      <c r="P369">
        <v>0</v>
      </c>
      <c r="Q369">
        <v>0</v>
      </c>
      <c r="R369" t="s">
        <v>243</v>
      </c>
    </row>
    <row r="370" spans="1:18" x14ac:dyDescent="0.3">
      <c r="A370" t="s">
        <v>259</v>
      </c>
      <c r="B370" t="s">
        <v>415</v>
      </c>
      <c r="C370" t="s">
        <v>297</v>
      </c>
      <c r="D370" s="8">
        <v>1.4835572999999901E-4</v>
      </c>
      <c r="E370" s="8">
        <v>2.5203200999999998E-4</v>
      </c>
      <c r="F370" s="8">
        <v>3.2625866999999999E-4</v>
      </c>
      <c r="G370" s="8">
        <v>3.2365295000000001E-4</v>
      </c>
      <c r="H370" s="8">
        <v>4.0629986509999998E-4</v>
      </c>
      <c r="I370" s="8">
        <v>4.6234022339999999E-4</v>
      </c>
      <c r="J370" s="8">
        <v>6.3076585340000001E-4</v>
      </c>
      <c r="K370" s="8">
        <v>6.2377455389999998E-4</v>
      </c>
      <c r="L370" s="8">
        <v>5.894590941E-4</v>
      </c>
      <c r="M370" s="8">
        <v>5.4655495899999995E-4</v>
      </c>
      <c r="N370" s="8">
        <v>4.9490385499999896E-4</v>
      </c>
      <c r="O370">
        <v>0</v>
      </c>
      <c r="P370">
        <v>0</v>
      </c>
      <c r="Q370">
        <v>0</v>
      </c>
      <c r="R370" t="s">
        <v>243</v>
      </c>
    </row>
    <row r="371" spans="1:18" x14ac:dyDescent="0.3">
      <c r="A371" t="s">
        <v>259</v>
      </c>
      <c r="B371" t="s">
        <v>415</v>
      </c>
      <c r="C371" t="s">
        <v>298</v>
      </c>
      <c r="D371" s="8">
        <v>1.9094395E-4</v>
      </c>
      <c r="E371" s="8">
        <v>3.3056519E-4</v>
      </c>
      <c r="F371" s="8">
        <v>4.1515643999999902E-4</v>
      </c>
      <c r="G371" s="8">
        <v>4.1220801000000002E-4</v>
      </c>
      <c r="H371" s="8">
        <v>5.0227769589999895E-4</v>
      </c>
      <c r="I371" s="8">
        <v>5.6160852769999905E-4</v>
      </c>
      <c r="J371" s="8">
        <v>7.113463376E-4</v>
      </c>
      <c r="K371" s="8">
        <v>6.9241160220000003E-4</v>
      </c>
      <c r="L371" s="8">
        <v>6.478468812E-4</v>
      </c>
      <c r="M371" s="8">
        <v>5.9706410100000004E-4</v>
      </c>
      <c r="N371" s="8">
        <v>5.3802369800000003E-4</v>
      </c>
      <c r="O371">
        <v>0</v>
      </c>
      <c r="P371">
        <v>0</v>
      </c>
      <c r="Q371">
        <v>0</v>
      </c>
      <c r="R371" t="s">
        <v>243</v>
      </c>
    </row>
    <row r="372" spans="1:18" x14ac:dyDescent="0.3">
      <c r="A372" t="s">
        <v>259</v>
      </c>
      <c r="B372" t="s">
        <v>415</v>
      </c>
      <c r="C372" t="s">
        <v>299</v>
      </c>
      <c r="D372" s="8">
        <v>2.3788899000000001E-4</v>
      </c>
      <c r="E372" s="8">
        <v>4.1642692999999998E-4</v>
      </c>
      <c r="F372" s="8">
        <v>5.0344829999999998E-4</v>
      </c>
      <c r="G372" s="8">
        <v>5.0527102999999897E-4</v>
      </c>
      <c r="H372" s="8">
        <v>5.9660401699999997E-4</v>
      </c>
      <c r="I372" s="8">
        <v>6.5494993100000001E-4</v>
      </c>
      <c r="J372" s="8">
        <v>7.7779749960000004E-4</v>
      </c>
      <c r="K372" s="8">
        <v>7.4775655040000002E-4</v>
      </c>
      <c r="L372" s="8">
        <v>6.9435070409999905E-4</v>
      </c>
      <c r="M372" s="8">
        <v>6.3746144199999897E-4</v>
      </c>
      <c r="N372" s="8">
        <v>5.7292002599999999E-4</v>
      </c>
      <c r="O372">
        <v>0</v>
      </c>
      <c r="P372">
        <v>0</v>
      </c>
      <c r="Q372">
        <v>0</v>
      </c>
      <c r="R372" t="s">
        <v>243</v>
      </c>
    </row>
    <row r="373" spans="1:18" x14ac:dyDescent="0.3">
      <c r="A373" t="s">
        <v>259</v>
      </c>
      <c r="B373" t="s">
        <v>415</v>
      </c>
      <c r="C373" t="s">
        <v>300</v>
      </c>
      <c r="D373" s="8">
        <v>2.9480274000000001E-4</v>
      </c>
      <c r="E373" s="8">
        <v>5.1332907999999998E-4</v>
      </c>
      <c r="F373" s="8">
        <v>5.9494753999999998E-4</v>
      </c>
      <c r="G373" s="8">
        <v>6.0641630999999998E-4</v>
      </c>
      <c r="H373" s="8">
        <v>6.9364559179999996E-4</v>
      </c>
      <c r="I373" s="8">
        <v>7.4853838499999996E-4</v>
      </c>
      <c r="J373" s="8">
        <v>8.3659015289999996E-4</v>
      </c>
      <c r="K373" s="8">
        <v>7.9684648289999997E-4</v>
      </c>
      <c r="L373" s="8">
        <v>7.3574330099999996E-4</v>
      </c>
      <c r="M373" s="8">
        <v>6.7374455600000005E-4</v>
      </c>
      <c r="N373" s="8">
        <v>6.0467659799999995E-4</v>
      </c>
      <c r="O373">
        <v>0</v>
      </c>
      <c r="P373">
        <v>0</v>
      </c>
      <c r="Q373">
        <v>0</v>
      </c>
      <c r="R373" t="s">
        <v>243</v>
      </c>
    </row>
    <row r="374" spans="1:18" x14ac:dyDescent="0.3">
      <c r="A374" t="s">
        <v>259</v>
      </c>
      <c r="B374" t="s">
        <v>415</v>
      </c>
      <c r="C374" t="s">
        <v>301</v>
      </c>
      <c r="D374" s="8">
        <v>3.7784171E-4</v>
      </c>
      <c r="E374" s="8">
        <v>6.1977940000000002E-4</v>
      </c>
      <c r="F374" s="8">
        <v>6.9663913E-4</v>
      </c>
      <c r="G374" s="8">
        <v>7.1913521000000001E-4</v>
      </c>
      <c r="H374" s="8">
        <v>7.9848350159999896E-4</v>
      </c>
      <c r="I374" s="8">
        <v>8.4609609640000003E-4</v>
      </c>
      <c r="J374" s="8">
        <v>8.9274056629999902E-4</v>
      </c>
      <c r="K374" s="8">
        <v>8.4427340159999999E-4</v>
      </c>
      <c r="L374" s="8">
        <v>7.7684229860000001E-4</v>
      </c>
      <c r="M374" s="8">
        <v>7.1063100899999897E-4</v>
      </c>
      <c r="N374" s="8">
        <v>6.3723072899999895E-4</v>
      </c>
      <c r="O374">
        <v>0</v>
      </c>
      <c r="P374">
        <v>0</v>
      </c>
      <c r="Q374">
        <v>0</v>
      </c>
      <c r="R374" t="s">
        <v>243</v>
      </c>
    </row>
    <row r="375" spans="1:18" x14ac:dyDescent="0.3">
      <c r="A375" t="s">
        <v>259</v>
      </c>
      <c r="B375" t="s">
        <v>415</v>
      </c>
      <c r="C375" t="s">
        <v>302</v>
      </c>
      <c r="D375" s="8">
        <v>4.8652998999999998E-4</v>
      </c>
      <c r="E375" s="8">
        <v>7.5361714999999999E-4</v>
      </c>
      <c r="F375" s="8">
        <v>8.2896518999999998E-4</v>
      </c>
      <c r="G375" s="8">
        <v>8.6246040000000003E-4</v>
      </c>
      <c r="H375" s="8">
        <v>9.1722481780000004E-4</v>
      </c>
      <c r="I375" s="8">
        <v>9.5042731270000001E-4</v>
      </c>
      <c r="J375" s="8">
        <v>9.5262407789999896E-4</v>
      </c>
      <c r="K375" s="8">
        <v>8.9701139429999995E-4</v>
      </c>
      <c r="L375" s="8">
        <v>8.2355105810000002E-4</v>
      </c>
      <c r="M375" s="8">
        <v>7.5256847299999996E-4</v>
      </c>
      <c r="N375" s="8">
        <v>6.7436889699999897E-4</v>
      </c>
      <c r="O375">
        <v>0</v>
      </c>
      <c r="P375">
        <v>0</v>
      </c>
      <c r="Q375">
        <v>0</v>
      </c>
      <c r="R375" t="s">
        <v>243</v>
      </c>
    </row>
    <row r="376" spans="1:18" x14ac:dyDescent="0.3">
      <c r="A376" t="s">
        <v>259</v>
      </c>
      <c r="B376" t="s">
        <v>415</v>
      </c>
      <c r="C376" t="s">
        <v>303</v>
      </c>
      <c r="D376" s="8">
        <v>6.9172831000000002E-4</v>
      </c>
      <c r="E376" s="8">
        <v>9.2605493999999998E-4</v>
      </c>
      <c r="F376" s="8">
        <v>9.8586324999999902E-4</v>
      </c>
      <c r="G376">
        <v>1.0329752000000001E-3</v>
      </c>
      <c r="H376">
        <v>1.0571883577E-3</v>
      </c>
      <c r="I376">
        <v>1.0707927715000001E-3</v>
      </c>
      <c r="J376">
        <v>1.0263266147999999E-3</v>
      </c>
      <c r="K376" s="8">
        <v>9.6283364119999996E-4</v>
      </c>
      <c r="L376" s="8">
        <v>8.8237149349999896E-4</v>
      </c>
      <c r="M376" s="8">
        <v>8.0565793600000004E-4</v>
      </c>
      <c r="N376" s="8">
        <v>7.2154875299999897E-4</v>
      </c>
      <c r="O376">
        <v>0</v>
      </c>
      <c r="P376">
        <v>0</v>
      </c>
      <c r="Q376">
        <v>0</v>
      </c>
      <c r="R376" t="s">
        <v>243</v>
      </c>
    </row>
    <row r="377" spans="1:18" x14ac:dyDescent="0.3">
      <c r="A377" t="s">
        <v>259</v>
      </c>
      <c r="B377" t="s">
        <v>415</v>
      </c>
      <c r="C377" t="s">
        <v>304</v>
      </c>
      <c r="D377" s="8">
        <v>1.35096E-4</v>
      </c>
      <c r="E377" s="8">
        <v>2.8196999999999999E-4</v>
      </c>
      <c r="F377" s="8">
        <v>3.6150199999999998E-4</v>
      </c>
      <c r="G377" s="8">
        <v>3.8947500000000002E-4</v>
      </c>
      <c r="H377" s="8">
        <v>4.2659299999999898E-4</v>
      </c>
      <c r="I377" s="8">
        <v>4.5667499999999997E-4</v>
      </c>
      <c r="J377" s="8">
        <v>4.7323009999999997E-4</v>
      </c>
      <c r="K377" s="8">
        <v>4.8124159999999899E-4</v>
      </c>
      <c r="L377" s="8">
        <v>4.7341700000000001E-4</v>
      </c>
      <c r="M377" s="8">
        <v>4.5743390000000002E-4</v>
      </c>
      <c r="N377" s="8">
        <v>4.3899549999999997E-4</v>
      </c>
      <c r="O377">
        <v>0</v>
      </c>
      <c r="P377">
        <v>0</v>
      </c>
      <c r="Q377">
        <v>0</v>
      </c>
      <c r="R377" t="s">
        <v>243</v>
      </c>
    </row>
    <row r="378" spans="1:18" x14ac:dyDescent="0.3">
      <c r="A378" t="s">
        <v>259</v>
      </c>
      <c r="B378" t="s">
        <v>415</v>
      </c>
      <c r="C378" t="s">
        <v>305</v>
      </c>
      <c r="D378">
        <v>1.05619E-3</v>
      </c>
      <c r="E378">
        <v>1.0498E-3</v>
      </c>
      <c r="F378">
        <v>1.132E-3</v>
      </c>
      <c r="G378">
        <v>1.2298599999999999E-3</v>
      </c>
      <c r="H378">
        <v>1.190052E-3</v>
      </c>
      <c r="I378">
        <v>1.1832290000000001E-3</v>
      </c>
      <c r="J378">
        <v>1.152197E-3</v>
      </c>
      <c r="K378">
        <v>1.123736E-3</v>
      </c>
      <c r="L378">
        <v>1.0824400000000001E-3</v>
      </c>
      <c r="M378">
        <v>1.0323719999999999E-3</v>
      </c>
      <c r="N378" s="8">
        <v>9.8370599999999999E-4</v>
      </c>
      <c r="O378">
        <v>0</v>
      </c>
      <c r="P378">
        <v>0</v>
      </c>
      <c r="Q378">
        <v>0</v>
      </c>
      <c r="R378" t="s">
        <v>243</v>
      </c>
    </row>
    <row r="379" spans="1:18" x14ac:dyDescent="0.3">
      <c r="A379" t="s">
        <v>259</v>
      </c>
      <c r="B379" t="s">
        <v>415</v>
      </c>
      <c r="C379" t="s">
        <v>306</v>
      </c>
      <c r="D379" s="8">
        <v>2.3017900000000001E-4</v>
      </c>
      <c r="E379" s="8">
        <v>4.58209E-4</v>
      </c>
      <c r="F379" s="8">
        <v>5.5608600000000002E-4</v>
      </c>
      <c r="G379" s="8">
        <v>5.6552499999999999E-4</v>
      </c>
      <c r="H379" s="8">
        <v>5.8839199999999997E-4</v>
      </c>
      <c r="I379" s="8">
        <v>6.0850499999999996E-4</v>
      </c>
      <c r="J379" s="8">
        <v>6.0958799999999999E-4</v>
      </c>
      <c r="K379" s="8">
        <v>6.0551479999999998E-4</v>
      </c>
      <c r="L379" s="8">
        <v>5.8902900000000003E-4</v>
      </c>
      <c r="M379" s="8">
        <v>5.6546099999999996E-4</v>
      </c>
      <c r="N379" s="8">
        <v>5.4086379999999999E-4</v>
      </c>
      <c r="O379">
        <v>0</v>
      </c>
      <c r="P379">
        <v>0</v>
      </c>
      <c r="Q379">
        <v>0</v>
      </c>
      <c r="R379" t="s">
        <v>243</v>
      </c>
    </row>
    <row r="380" spans="1:18" x14ac:dyDescent="0.3">
      <c r="A380" t="s">
        <v>259</v>
      </c>
      <c r="B380" t="s">
        <v>415</v>
      </c>
      <c r="C380" t="s">
        <v>307</v>
      </c>
      <c r="D380" s="8">
        <v>2.9798599999999998E-4</v>
      </c>
      <c r="E380" s="8">
        <v>5.5316800000000004E-4</v>
      </c>
      <c r="F380" s="8">
        <v>6.4581100000000004E-4</v>
      </c>
      <c r="G380" s="8">
        <v>6.5419600000000001E-4</v>
      </c>
      <c r="H380" s="8">
        <v>6.6073599999999998E-4</v>
      </c>
      <c r="I380" s="8">
        <v>6.7671799999999998E-4</v>
      </c>
      <c r="J380" s="8">
        <v>6.7351460000000004E-4</v>
      </c>
      <c r="K380" s="8">
        <v>6.666628E-4</v>
      </c>
      <c r="L380" s="8">
        <v>6.4747600000000002E-4</v>
      </c>
      <c r="M380" s="8">
        <v>6.2106499999999996E-4</v>
      </c>
      <c r="N380" s="8">
        <v>5.9390099999999998E-4</v>
      </c>
      <c r="O380">
        <v>0</v>
      </c>
      <c r="P380">
        <v>0</v>
      </c>
      <c r="Q380">
        <v>0</v>
      </c>
      <c r="R380" t="s">
        <v>243</v>
      </c>
    </row>
    <row r="381" spans="1:18" x14ac:dyDescent="0.3">
      <c r="A381" t="s">
        <v>259</v>
      </c>
      <c r="B381" t="s">
        <v>415</v>
      </c>
      <c r="C381" t="s">
        <v>308</v>
      </c>
      <c r="D381" s="8">
        <v>3.6393800000000001E-4</v>
      </c>
      <c r="E381" s="8">
        <v>6.2357600000000003E-4</v>
      </c>
      <c r="F381" s="8">
        <v>7.0902599999999997E-4</v>
      </c>
      <c r="G381" s="8">
        <v>7.1876500000000001E-4</v>
      </c>
      <c r="H381" s="8">
        <v>7.1551299999999998E-4</v>
      </c>
      <c r="I381" s="8">
        <v>7.2914099999999999E-4</v>
      </c>
      <c r="J381" s="8">
        <v>7.2241499999999904E-4</v>
      </c>
      <c r="K381" s="8">
        <v>7.1360270000000005E-4</v>
      </c>
      <c r="L381" s="8">
        <v>6.92667E-4</v>
      </c>
      <c r="M381" s="8">
        <v>6.6407300000000005E-4</v>
      </c>
      <c r="N381" s="8">
        <v>6.3476299999999999E-4</v>
      </c>
      <c r="O381">
        <v>0</v>
      </c>
      <c r="P381">
        <v>0</v>
      </c>
      <c r="Q381">
        <v>0</v>
      </c>
      <c r="R381" t="s">
        <v>243</v>
      </c>
    </row>
    <row r="382" spans="1:18" x14ac:dyDescent="0.3">
      <c r="A382" t="s">
        <v>259</v>
      </c>
      <c r="B382" t="s">
        <v>415</v>
      </c>
      <c r="C382" t="s">
        <v>309</v>
      </c>
      <c r="D382" s="8">
        <v>4.2937800000000001E-4</v>
      </c>
      <c r="E382" s="8">
        <v>6.8122300000000001E-4</v>
      </c>
      <c r="F382" s="8">
        <v>7.5981400000000004E-4</v>
      </c>
      <c r="G382" s="8">
        <v>7.7408700000000002E-4</v>
      </c>
      <c r="H382" s="8">
        <v>7.6367299999999998E-4</v>
      </c>
      <c r="I382" s="8">
        <v>7.7517799999999996E-4</v>
      </c>
      <c r="J382" s="8">
        <v>7.6645899999999896E-4</v>
      </c>
      <c r="K382" s="8">
        <v>7.5579879999999996E-4</v>
      </c>
      <c r="L382" s="8">
        <v>7.3297499999999997E-4</v>
      </c>
      <c r="M382" s="8">
        <v>7.0237999999999995E-4</v>
      </c>
      <c r="N382" s="8">
        <v>6.7128799999999905E-4</v>
      </c>
      <c r="O382">
        <v>0</v>
      </c>
      <c r="P382">
        <v>0</v>
      </c>
      <c r="Q382">
        <v>0</v>
      </c>
      <c r="R382" t="s">
        <v>243</v>
      </c>
    </row>
    <row r="383" spans="1:18" x14ac:dyDescent="0.3">
      <c r="A383" t="s">
        <v>259</v>
      </c>
      <c r="B383" t="s">
        <v>415</v>
      </c>
      <c r="C383" t="s">
        <v>310</v>
      </c>
      <c r="D383" s="8">
        <v>4.9995300000000003E-4</v>
      </c>
      <c r="E383" s="8">
        <v>7.3198700000000002E-4</v>
      </c>
      <c r="F383" s="8">
        <v>8.0531500000000002E-4</v>
      </c>
      <c r="G383" s="8">
        <v>8.2632199999999999E-4</v>
      </c>
      <c r="H383" s="8">
        <v>8.1055299999999999E-4</v>
      </c>
      <c r="I383" s="8">
        <v>8.2050799999999996E-4</v>
      </c>
      <c r="J383" s="8">
        <v>8.0955399999999998E-4</v>
      </c>
      <c r="K383" s="8">
        <v>7.9720599999999996E-4</v>
      </c>
      <c r="L383" s="8">
        <v>7.72261E-4</v>
      </c>
      <c r="M383" s="8">
        <v>7.3945200000000003E-4</v>
      </c>
      <c r="N383" s="8">
        <v>7.0659299999999896E-4</v>
      </c>
      <c r="O383">
        <v>0</v>
      </c>
      <c r="P383">
        <v>0</v>
      </c>
      <c r="Q383">
        <v>0</v>
      </c>
      <c r="R383" t="s">
        <v>243</v>
      </c>
    </row>
    <row r="384" spans="1:18" x14ac:dyDescent="0.3">
      <c r="A384" t="s">
        <v>259</v>
      </c>
      <c r="B384" t="s">
        <v>415</v>
      </c>
      <c r="C384" t="s">
        <v>311</v>
      </c>
      <c r="D384" s="8">
        <v>5.8851200000000002E-4</v>
      </c>
      <c r="E384" s="8">
        <v>7.7794699999999997E-4</v>
      </c>
      <c r="F384" s="8">
        <v>8.5121399999999999E-4</v>
      </c>
      <c r="G384" s="8">
        <v>8.7962399999999997E-4</v>
      </c>
      <c r="H384" s="8">
        <v>8.6057899999999999E-4</v>
      </c>
      <c r="I384" s="8">
        <v>8.6885999999999897E-4</v>
      </c>
      <c r="J384" s="8">
        <v>8.5496300000000003E-4</v>
      </c>
      <c r="K384" s="8">
        <v>8.4059200000000003E-4</v>
      </c>
      <c r="L384" s="8">
        <v>8.1372999999999895E-4</v>
      </c>
      <c r="M384" s="8">
        <v>7.7886999999999997E-4</v>
      </c>
      <c r="N384" s="8">
        <v>7.4390999999999997E-4</v>
      </c>
      <c r="O384">
        <v>0</v>
      </c>
      <c r="P384">
        <v>0</v>
      </c>
      <c r="Q384">
        <v>0</v>
      </c>
      <c r="R384" t="s">
        <v>243</v>
      </c>
    </row>
    <row r="385" spans="1:18" x14ac:dyDescent="0.3">
      <c r="A385" t="s">
        <v>259</v>
      </c>
      <c r="B385" t="s">
        <v>415</v>
      </c>
      <c r="C385" t="s">
        <v>312</v>
      </c>
      <c r="D385" s="8">
        <v>6.8369800000000005E-4</v>
      </c>
      <c r="E385" s="8">
        <v>8.2835799999999996E-4</v>
      </c>
      <c r="F385" s="8">
        <v>9.0757800000000003E-4</v>
      </c>
      <c r="G385" s="8">
        <v>9.44691E-4</v>
      </c>
      <c r="H385" s="8">
        <v>9.1888699999999996E-4</v>
      </c>
      <c r="I385" s="8">
        <v>9.2412500000000003E-4</v>
      </c>
      <c r="J385" s="8">
        <v>9.0783499999999996E-4</v>
      </c>
      <c r="K385" s="8">
        <v>8.9141299999999997E-4</v>
      </c>
      <c r="L385" s="8">
        <v>8.6213700000000002E-4</v>
      </c>
      <c r="M385" s="8">
        <v>8.2449200000000002E-4</v>
      </c>
      <c r="N385" s="8">
        <v>7.8706399999999997E-4</v>
      </c>
      <c r="O385">
        <v>0</v>
      </c>
      <c r="P385">
        <v>0</v>
      </c>
      <c r="Q385">
        <v>0</v>
      </c>
      <c r="R385" t="s">
        <v>243</v>
      </c>
    </row>
    <row r="386" spans="1:18" x14ac:dyDescent="0.3">
      <c r="A386" t="s">
        <v>259</v>
      </c>
      <c r="B386" t="s">
        <v>415</v>
      </c>
      <c r="C386" t="s">
        <v>313</v>
      </c>
      <c r="D386" s="8">
        <v>8.1712699999999996E-4</v>
      </c>
      <c r="E386" s="8">
        <v>8.8866699999999999E-4</v>
      </c>
      <c r="F386" s="8">
        <v>9.7396799999999997E-4</v>
      </c>
      <c r="G386">
        <v>1.0239800000000001E-3</v>
      </c>
      <c r="H386" s="8">
        <v>9.9517500000000005E-4</v>
      </c>
      <c r="I386" s="8">
        <v>9.973689999999999E-4</v>
      </c>
      <c r="J386" s="8">
        <v>9.7653400000000004E-4</v>
      </c>
      <c r="K386" s="8">
        <v>9.5638400000000001E-4</v>
      </c>
      <c r="L386" s="8">
        <v>9.2357500000000005E-4</v>
      </c>
      <c r="M386" s="8">
        <v>8.8253699999999997E-4</v>
      </c>
      <c r="N386" s="8">
        <v>8.4209499999999995E-4</v>
      </c>
      <c r="O386">
        <v>0</v>
      </c>
      <c r="P386">
        <v>0</v>
      </c>
      <c r="Q386">
        <v>0</v>
      </c>
      <c r="R386" t="s">
        <v>243</v>
      </c>
    </row>
    <row r="387" spans="1:18" x14ac:dyDescent="0.3">
      <c r="A387" t="s">
        <v>259</v>
      </c>
      <c r="B387" t="s">
        <v>415</v>
      </c>
      <c r="C387" t="s">
        <v>314</v>
      </c>
      <c r="D387" s="8">
        <v>1.4797000000000001E-5</v>
      </c>
      <c r="E387" s="8">
        <v>2.9579700000000001E-5</v>
      </c>
      <c r="F387" s="8">
        <v>3.9422299999999997E-5</v>
      </c>
      <c r="G387" s="8">
        <v>4.34102E-5</v>
      </c>
      <c r="H387" s="8">
        <v>4.95292E-5</v>
      </c>
      <c r="I387" s="8">
        <v>5.4007500000000001E-5</v>
      </c>
      <c r="J387" s="8">
        <v>5.7907E-5</v>
      </c>
      <c r="K387" s="8">
        <v>5.99654E-5</v>
      </c>
      <c r="L387" s="8">
        <v>5.9417399999999998E-5</v>
      </c>
      <c r="M387" s="8">
        <v>5.76446E-5</v>
      </c>
      <c r="N387" s="8">
        <v>5.5239599999999999E-5</v>
      </c>
      <c r="O387">
        <v>0</v>
      </c>
      <c r="P387">
        <v>0</v>
      </c>
      <c r="Q387">
        <v>0</v>
      </c>
      <c r="R387" t="s">
        <v>243</v>
      </c>
    </row>
    <row r="388" spans="1:18" x14ac:dyDescent="0.3">
      <c r="A388" t="s">
        <v>259</v>
      </c>
      <c r="B388" t="s">
        <v>415</v>
      </c>
      <c r="C388" t="s">
        <v>315</v>
      </c>
      <c r="D388" s="8">
        <v>1.7504200000000001E-4</v>
      </c>
      <c r="E388" s="8">
        <v>1.52387E-4</v>
      </c>
      <c r="F388" s="8">
        <v>1.60197E-4</v>
      </c>
      <c r="G388" s="8">
        <v>1.7301799999999999E-4</v>
      </c>
      <c r="H388" s="8">
        <v>1.6339800000000001E-4</v>
      </c>
      <c r="I388" s="8">
        <v>1.59579E-4</v>
      </c>
      <c r="J388" s="8">
        <v>1.5523699999999999E-4</v>
      </c>
      <c r="K388" s="8">
        <v>1.49519E-4</v>
      </c>
      <c r="L388" s="8">
        <v>1.4238900000000001E-4</v>
      </c>
      <c r="M388" s="8">
        <v>1.3473399999999999E-4</v>
      </c>
      <c r="N388" s="8">
        <v>1.27031E-4</v>
      </c>
      <c r="O388">
        <v>0</v>
      </c>
      <c r="P388">
        <v>0</v>
      </c>
      <c r="Q388">
        <v>0</v>
      </c>
      <c r="R388" t="s">
        <v>243</v>
      </c>
    </row>
    <row r="389" spans="1:18" x14ac:dyDescent="0.3">
      <c r="A389" t="s">
        <v>259</v>
      </c>
      <c r="B389" t="s">
        <v>415</v>
      </c>
      <c r="C389" t="s">
        <v>316</v>
      </c>
      <c r="D389" s="8">
        <v>2.6066699999999999E-5</v>
      </c>
      <c r="E389" s="8">
        <v>5.3179600000000002E-5</v>
      </c>
      <c r="F389" s="8">
        <v>6.7993700000000006E-5</v>
      </c>
      <c r="G389" s="8">
        <v>6.9764299999999999E-5</v>
      </c>
      <c r="H389" s="8">
        <v>7.5516899999999995E-5</v>
      </c>
      <c r="I389" s="8">
        <v>7.8616799999999996E-5</v>
      </c>
      <c r="J389" s="8">
        <v>8.0211599999999996E-5</v>
      </c>
      <c r="K389" s="8">
        <v>7.9705900000000005E-5</v>
      </c>
      <c r="L389" s="8">
        <v>7.7075899999999998E-5</v>
      </c>
      <c r="M389" s="8">
        <v>7.3572599999999994E-5</v>
      </c>
      <c r="N389" s="8">
        <v>6.9735500000000003E-5</v>
      </c>
      <c r="O389">
        <v>0</v>
      </c>
      <c r="P389">
        <v>0</v>
      </c>
      <c r="Q389">
        <v>0</v>
      </c>
      <c r="R389" t="s">
        <v>243</v>
      </c>
    </row>
    <row r="390" spans="1:18" x14ac:dyDescent="0.3">
      <c r="A390" t="s">
        <v>259</v>
      </c>
      <c r="B390" t="s">
        <v>415</v>
      </c>
      <c r="C390" t="s">
        <v>317</v>
      </c>
      <c r="D390" s="8">
        <v>3.4558899999999999E-5</v>
      </c>
      <c r="E390" s="8">
        <v>6.8245399999999995E-5</v>
      </c>
      <c r="F390" s="8">
        <v>8.3415400000000001E-5</v>
      </c>
      <c r="G390" s="8">
        <v>8.4931099999999997E-5</v>
      </c>
      <c r="H390" s="8">
        <v>8.7843999999999994E-5</v>
      </c>
      <c r="I390" s="8">
        <v>8.9722799999999994E-5</v>
      </c>
      <c r="J390" s="8">
        <v>9.0083300000000005E-5</v>
      </c>
      <c r="K390" s="8">
        <v>8.8499399999999995E-5</v>
      </c>
      <c r="L390" s="8">
        <v>8.5111900000000001E-5</v>
      </c>
      <c r="M390" s="8">
        <v>8.1019200000000005E-5</v>
      </c>
      <c r="N390" s="8">
        <v>7.6684299999999994E-5</v>
      </c>
      <c r="O390">
        <v>0</v>
      </c>
      <c r="P390">
        <v>0</v>
      </c>
      <c r="Q390">
        <v>0</v>
      </c>
      <c r="R390" t="s">
        <v>243</v>
      </c>
    </row>
    <row r="391" spans="1:18" x14ac:dyDescent="0.3">
      <c r="A391" t="s">
        <v>259</v>
      </c>
      <c r="B391" t="s">
        <v>415</v>
      </c>
      <c r="C391" t="s">
        <v>318</v>
      </c>
      <c r="D391" s="8">
        <v>4.3218399999999999E-5</v>
      </c>
      <c r="E391" s="8">
        <v>8.0706399999999997E-5</v>
      </c>
      <c r="F391" s="8">
        <v>9.4873399999999999E-5</v>
      </c>
      <c r="G391" s="8">
        <v>9.6414499999999997E-5</v>
      </c>
      <c r="H391" s="8">
        <v>9.6801399999999998E-5</v>
      </c>
      <c r="I391" s="8">
        <v>9.7714900000000002E-5</v>
      </c>
      <c r="J391" s="8">
        <v>9.7115100000000001E-5</v>
      </c>
      <c r="K391" s="8">
        <v>9.4906899999999998E-5</v>
      </c>
      <c r="L391" s="8">
        <v>9.1120100000000002E-5</v>
      </c>
      <c r="M391" s="8">
        <v>8.6659899999999993E-5</v>
      </c>
      <c r="N391" s="8">
        <v>8.1971099999999999E-5</v>
      </c>
      <c r="O391">
        <v>0</v>
      </c>
      <c r="P391">
        <v>0</v>
      </c>
      <c r="Q391">
        <v>0</v>
      </c>
      <c r="R391" t="s">
        <v>243</v>
      </c>
    </row>
    <row r="392" spans="1:18" x14ac:dyDescent="0.3">
      <c r="A392" t="s">
        <v>259</v>
      </c>
      <c r="B392" t="s">
        <v>415</v>
      </c>
      <c r="C392" t="s">
        <v>319</v>
      </c>
      <c r="D392" s="8">
        <v>5.2240200000000002E-5</v>
      </c>
      <c r="E392" s="8">
        <v>9.1647699999999993E-5</v>
      </c>
      <c r="F392" s="8">
        <v>1.04051E-4</v>
      </c>
      <c r="G392" s="8">
        <v>1.0610799999999999E-4</v>
      </c>
      <c r="H392" s="8">
        <v>1.04213E-4</v>
      </c>
      <c r="I392" s="8">
        <v>1.04337E-4</v>
      </c>
      <c r="J392" s="8">
        <v>1.0320299999999999E-4</v>
      </c>
      <c r="K392" s="8">
        <v>1.0056E-4</v>
      </c>
      <c r="L392" s="8">
        <v>9.6432099999999994E-5</v>
      </c>
      <c r="M392" s="8">
        <v>9.1664199999999996E-5</v>
      </c>
      <c r="N392" s="8">
        <v>8.6688700000000002E-5</v>
      </c>
      <c r="O392">
        <v>0</v>
      </c>
      <c r="P392">
        <v>0</v>
      </c>
      <c r="Q392">
        <v>0</v>
      </c>
      <c r="R392" t="s">
        <v>243</v>
      </c>
    </row>
    <row r="393" spans="1:18" x14ac:dyDescent="0.3">
      <c r="A393" t="s">
        <v>259</v>
      </c>
      <c r="B393" t="s">
        <v>415</v>
      </c>
      <c r="C393" t="s">
        <v>320</v>
      </c>
      <c r="D393" s="8">
        <v>6.2507200000000004E-5</v>
      </c>
      <c r="E393" s="8">
        <v>1.0151500000000001E-4</v>
      </c>
      <c r="F393" s="8">
        <v>1.11956E-4</v>
      </c>
      <c r="G393" s="8">
        <v>1.14819E-4</v>
      </c>
      <c r="H393" s="8">
        <v>1.11056E-4</v>
      </c>
      <c r="I393" s="8">
        <v>1.10623E-4</v>
      </c>
      <c r="J393" s="8">
        <v>1.09057E-4</v>
      </c>
      <c r="K393" s="8">
        <v>1.0607699999999999E-4</v>
      </c>
      <c r="L393" s="8">
        <v>1.016E-4</v>
      </c>
      <c r="M393" s="8">
        <v>9.6503599999999995E-5</v>
      </c>
      <c r="N393" s="8">
        <v>9.1247800000000004E-5</v>
      </c>
      <c r="O393">
        <v>0</v>
      </c>
      <c r="P393">
        <v>0</v>
      </c>
      <c r="Q393">
        <v>0</v>
      </c>
      <c r="R393" t="s">
        <v>243</v>
      </c>
    </row>
    <row r="394" spans="1:18" x14ac:dyDescent="0.3">
      <c r="A394" t="s">
        <v>259</v>
      </c>
      <c r="B394" t="s">
        <v>415</v>
      </c>
      <c r="C394" t="s">
        <v>321</v>
      </c>
      <c r="D394" s="8">
        <v>7.6296200000000003E-5</v>
      </c>
      <c r="E394" s="8">
        <v>1.10208E-4</v>
      </c>
      <c r="F394" s="8">
        <v>1.19474E-4</v>
      </c>
      <c r="G394" s="8">
        <v>1.23158E-4</v>
      </c>
      <c r="H394" s="8">
        <v>1.18103E-4</v>
      </c>
      <c r="I394" s="8">
        <v>1.17203E-4</v>
      </c>
      <c r="J394" s="8">
        <v>1.15185E-4</v>
      </c>
      <c r="K394" s="8">
        <v>1.1184999999999999E-4</v>
      </c>
      <c r="L394" s="8">
        <v>1.07054E-4</v>
      </c>
      <c r="M394" s="8">
        <v>1.01648E-4</v>
      </c>
      <c r="N394" s="8">
        <v>9.6066399999999999E-5</v>
      </c>
      <c r="O394">
        <v>0</v>
      </c>
      <c r="P394">
        <v>0</v>
      </c>
      <c r="Q394">
        <v>0</v>
      </c>
      <c r="R394" t="s">
        <v>243</v>
      </c>
    </row>
    <row r="395" spans="1:18" x14ac:dyDescent="0.3">
      <c r="A395" t="s">
        <v>259</v>
      </c>
      <c r="B395" t="s">
        <v>415</v>
      </c>
      <c r="C395" t="s">
        <v>322</v>
      </c>
      <c r="D395" s="8">
        <v>9.24636E-5</v>
      </c>
      <c r="E395" s="8">
        <v>1.19076E-4</v>
      </c>
      <c r="F395" s="8">
        <v>1.2811499999999999E-4</v>
      </c>
      <c r="G395" s="8">
        <v>1.3275599999999999E-4</v>
      </c>
      <c r="H395" s="8">
        <v>1.2616299999999999E-4</v>
      </c>
      <c r="I395" s="8">
        <v>1.2466300000000001E-4</v>
      </c>
      <c r="J395" s="8">
        <v>1.2231399999999999E-4</v>
      </c>
      <c r="K395" s="8">
        <v>1.1861100000000001E-4</v>
      </c>
      <c r="L395" s="8">
        <v>1.1341900000000001E-4</v>
      </c>
      <c r="M395" s="8">
        <v>1.0760300000000001E-4</v>
      </c>
      <c r="N395" s="8">
        <v>1.0163899999999999E-4</v>
      </c>
      <c r="O395">
        <v>0</v>
      </c>
      <c r="P395">
        <v>0</v>
      </c>
      <c r="Q395">
        <v>0</v>
      </c>
      <c r="R395" t="s">
        <v>243</v>
      </c>
    </row>
    <row r="396" spans="1:18" x14ac:dyDescent="0.3">
      <c r="A396" t="s">
        <v>259</v>
      </c>
      <c r="B396" t="s">
        <v>415</v>
      </c>
      <c r="C396" t="s">
        <v>323</v>
      </c>
      <c r="D396" s="8">
        <v>1.18125E-4</v>
      </c>
      <c r="E396" s="8">
        <v>1.28706E-4</v>
      </c>
      <c r="F396" s="8">
        <v>1.37775E-4</v>
      </c>
      <c r="G396" s="8">
        <v>1.4404000000000001E-4</v>
      </c>
      <c r="H396" s="8">
        <v>1.3664800000000001E-4</v>
      </c>
      <c r="I396" s="8">
        <v>1.34537E-4</v>
      </c>
      <c r="J396" s="8">
        <v>1.3156800000000001E-4</v>
      </c>
      <c r="K396" s="8">
        <v>1.2725400000000001E-4</v>
      </c>
      <c r="L396" s="8">
        <v>1.2149799999999999E-4</v>
      </c>
      <c r="M396" s="8">
        <v>1.15179E-4</v>
      </c>
      <c r="N396" s="8">
        <v>1.08745E-4</v>
      </c>
      <c r="O396">
        <v>0</v>
      </c>
      <c r="P396">
        <v>0</v>
      </c>
      <c r="Q396">
        <v>0</v>
      </c>
      <c r="R396" t="s">
        <v>243</v>
      </c>
    </row>
    <row r="397" spans="1:18" x14ac:dyDescent="0.3">
      <c r="A397" t="s">
        <v>259</v>
      </c>
      <c r="B397" t="s">
        <v>8</v>
      </c>
      <c r="C397" t="s">
        <v>261</v>
      </c>
      <c r="D397">
        <v>1.01385015E-3</v>
      </c>
      <c r="E397">
        <v>1.5304798799999999E-3</v>
      </c>
      <c r="F397">
        <v>2.1101000000000002E-3</v>
      </c>
      <c r="G397">
        <v>2.1210698E-3</v>
      </c>
      <c r="H397">
        <v>2.2988885700000001E-3</v>
      </c>
      <c r="I397">
        <v>2.54894932E-3</v>
      </c>
      <c r="J397">
        <v>2.6094683999999999E-3</v>
      </c>
      <c r="K397">
        <v>2.6360951399999901E-3</v>
      </c>
      <c r="L397">
        <v>2.5885898600000001E-3</v>
      </c>
      <c r="M397">
        <v>2.49135645999999E-3</v>
      </c>
      <c r="N397">
        <v>2.3855659699999901E-3</v>
      </c>
      <c r="O397">
        <v>0</v>
      </c>
      <c r="P397">
        <v>0</v>
      </c>
      <c r="Q397">
        <v>0</v>
      </c>
      <c r="R397" t="s">
        <v>243</v>
      </c>
    </row>
    <row r="398" spans="1:18" x14ac:dyDescent="0.3">
      <c r="A398" t="s">
        <v>259</v>
      </c>
      <c r="B398" t="s">
        <v>8</v>
      </c>
      <c r="C398" t="s">
        <v>262</v>
      </c>
      <c r="D398">
        <v>3.8654166609999999E-2</v>
      </c>
      <c r="E398">
        <v>1.0498929400000001E-2</v>
      </c>
      <c r="F398">
        <v>1.05155465E-2</v>
      </c>
      <c r="G398">
        <v>1.1416065E-2</v>
      </c>
      <c r="H398">
        <v>1.1675885699999999E-2</v>
      </c>
      <c r="I398">
        <v>1.3493091011E-2</v>
      </c>
      <c r="J398">
        <v>1.46106283479999E-2</v>
      </c>
      <c r="K398">
        <v>1.42328608853E-2</v>
      </c>
      <c r="L398">
        <v>1.34091261659999E-2</v>
      </c>
      <c r="M398">
        <v>1.2811533423099999E-2</v>
      </c>
      <c r="N398">
        <v>1.21208970739999E-2</v>
      </c>
      <c r="O398">
        <v>0</v>
      </c>
      <c r="P398">
        <v>0</v>
      </c>
      <c r="Q398">
        <v>0</v>
      </c>
      <c r="R398" t="s">
        <v>243</v>
      </c>
    </row>
    <row r="399" spans="1:18" x14ac:dyDescent="0.3">
      <c r="A399" t="s">
        <v>259</v>
      </c>
      <c r="B399" t="s">
        <v>8</v>
      </c>
      <c r="C399" t="s">
        <v>263</v>
      </c>
      <c r="D399">
        <v>2.3635898499999999E-2</v>
      </c>
      <c r="E399">
        <v>1.8010000000000002E-2</v>
      </c>
      <c r="F399">
        <v>2.4549617100000001E-2</v>
      </c>
      <c r="G399">
        <v>2.48284979E-2</v>
      </c>
      <c r="H399">
        <v>2.8258025700000002E-2</v>
      </c>
      <c r="I399">
        <v>3.3023559272E-2</v>
      </c>
      <c r="J399">
        <v>3.6894716999999903E-2</v>
      </c>
      <c r="K399">
        <v>3.94017007E-2</v>
      </c>
      <c r="L399">
        <v>4.0622624259999997E-2</v>
      </c>
      <c r="M399">
        <v>4.1118592090000003E-2</v>
      </c>
      <c r="N399">
        <v>4.1135977459999903E-2</v>
      </c>
      <c r="O399">
        <v>0</v>
      </c>
      <c r="P399">
        <v>0</v>
      </c>
      <c r="Q399">
        <v>0</v>
      </c>
      <c r="R399" t="s">
        <v>243</v>
      </c>
    </row>
    <row r="400" spans="1:18" x14ac:dyDescent="0.3">
      <c r="A400" t="s">
        <v>259</v>
      </c>
      <c r="B400" t="s">
        <v>8</v>
      </c>
      <c r="C400" t="s">
        <v>324</v>
      </c>
      <c r="D400" s="8">
        <v>1.0173700000000001E-4</v>
      </c>
      <c r="E400" s="8">
        <v>4.0307299999999999E-5</v>
      </c>
      <c r="F400" s="8">
        <v>3.2017600000000003E-5</v>
      </c>
      <c r="G400" s="8">
        <v>2.2158699999999998E-5</v>
      </c>
      <c r="H400" s="8">
        <v>2.2768890000000001E-5</v>
      </c>
      <c r="I400" s="8">
        <v>2.3766039999999999E-5</v>
      </c>
      <c r="J400" s="8">
        <v>2.36619499999999E-5</v>
      </c>
      <c r="K400" s="8">
        <v>2.3580200000000002E-5</v>
      </c>
      <c r="L400" s="8">
        <v>2.3347489999999999E-5</v>
      </c>
      <c r="M400" s="8">
        <v>2.2982789999999999E-5</v>
      </c>
      <c r="N400" s="8">
        <v>2.25932799999999E-5</v>
      </c>
      <c r="O400">
        <v>0</v>
      </c>
      <c r="P400">
        <v>0</v>
      </c>
      <c r="Q400">
        <v>0</v>
      </c>
      <c r="R400" t="s">
        <v>243</v>
      </c>
    </row>
    <row r="401" spans="1:18" x14ac:dyDescent="0.3">
      <c r="A401" t="s">
        <v>259</v>
      </c>
      <c r="B401" t="s">
        <v>8</v>
      </c>
      <c r="C401" t="s">
        <v>325</v>
      </c>
      <c r="D401" s="8">
        <v>7.7841799999999994E-6</v>
      </c>
      <c r="E401" s="8">
        <v>1.9876499999999999E-6</v>
      </c>
      <c r="F401" s="8">
        <v>1.8726099999999999E-6</v>
      </c>
      <c r="G401" s="8">
        <v>1.38677E-6</v>
      </c>
      <c r="H401" s="8">
        <v>1.370392E-6</v>
      </c>
      <c r="I401" s="8">
        <v>1.394195E-6</v>
      </c>
      <c r="J401" s="8">
        <v>1.3608190000000001E-6</v>
      </c>
      <c r="K401" s="8">
        <v>1.3379970000000001E-6</v>
      </c>
      <c r="L401" s="8">
        <v>1.313783E-6</v>
      </c>
      <c r="M401" s="8">
        <v>1.2855879999999999E-6</v>
      </c>
      <c r="N401" s="8">
        <v>1.258472E-6</v>
      </c>
      <c r="O401">
        <v>0</v>
      </c>
      <c r="P401">
        <v>0</v>
      </c>
      <c r="Q401">
        <v>0</v>
      </c>
      <c r="R401" t="s">
        <v>243</v>
      </c>
    </row>
    <row r="402" spans="1:18" x14ac:dyDescent="0.3">
      <c r="A402" t="s">
        <v>259</v>
      </c>
      <c r="B402" t="s">
        <v>8</v>
      </c>
      <c r="C402" t="s">
        <v>326</v>
      </c>
      <c r="D402" s="8">
        <v>6.0962999999999999E-5</v>
      </c>
      <c r="E402" s="8">
        <v>2.25227E-5</v>
      </c>
      <c r="F402" s="8">
        <v>1.7614599999999999E-5</v>
      </c>
      <c r="G402" s="8">
        <v>1.22604E-5</v>
      </c>
      <c r="H402" s="8">
        <v>1.2269390000000001E-5</v>
      </c>
      <c r="I402" s="8">
        <v>1.26805999999999E-5</v>
      </c>
      <c r="J402" s="8">
        <v>1.25629E-5</v>
      </c>
      <c r="K402" s="8">
        <v>1.248495E-5</v>
      </c>
      <c r="L402" s="8">
        <v>1.2345409999999999E-5</v>
      </c>
      <c r="M402" s="8">
        <v>1.2148210000000001E-5</v>
      </c>
      <c r="N402" s="8">
        <v>1.1945959999999999E-5</v>
      </c>
      <c r="O402">
        <v>0</v>
      </c>
      <c r="P402">
        <v>0</v>
      </c>
      <c r="Q402">
        <v>0</v>
      </c>
      <c r="R402" t="s">
        <v>243</v>
      </c>
    </row>
    <row r="403" spans="1:18" x14ac:dyDescent="0.3">
      <c r="A403" t="s">
        <v>259</v>
      </c>
      <c r="B403" t="s">
        <v>8</v>
      </c>
      <c r="C403" t="s">
        <v>327</v>
      </c>
      <c r="D403" s="8">
        <v>4.4385999999999998E-5</v>
      </c>
      <c r="E403" s="8">
        <v>1.6033799999999999E-5</v>
      </c>
      <c r="F403" s="8">
        <v>1.2883200000000001E-5</v>
      </c>
      <c r="G403" s="8">
        <v>8.9253299999999995E-6</v>
      </c>
      <c r="H403" s="8">
        <v>8.8366600000000002E-6</v>
      </c>
      <c r="I403" s="8">
        <v>9.1129799999999993E-6</v>
      </c>
      <c r="J403" s="8">
        <v>8.9920499999999997E-6</v>
      </c>
      <c r="K403" s="8">
        <v>8.9149199999999997E-6</v>
      </c>
      <c r="L403" s="8">
        <v>8.8007599999999994E-6</v>
      </c>
      <c r="M403" s="8">
        <v>8.6452399999999992E-6</v>
      </c>
      <c r="N403" s="8">
        <v>8.4881199999999905E-6</v>
      </c>
      <c r="O403">
        <v>0</v>
      </c>
      <c r="P403">
        <v>0</v>
      </c>
      <c r="Q403">
        <v>0</v>
      </c>
      <c r="R403" t="s">
        <v>243</v>
      </c>
    </row>
    <row r="404" spans="1:18" x14ac:dyDescent="0.3">
      <c r="A404" t="s">
        <v>259</v>
      </c>
      <c r="B404" t="s">
        <v>8</v>
      </c>
      <c r="C404" t="s">
        <v>328</v>
      </c>
      <c r="D404" s="8">
        <v>3.6530699999999999E-5</v>
      </c>
      <c r="E404" s="8">
        <v>1.2473099999999999E-5</v>
      </c>
      <c r="F404" s="8">
        <v>1.0145E-5</v>
      </c>
      <c r="G404" s="8">
        <v>7.0816099999999999E-6</v>
      </c>
      <c r="H404" s="8">
        <v>6.96576E-6</v>
      </c>
      <c r="I404" s="8">
        <v>7.15418999999999E-6</v>
      </c>
      <c r="J404" s="8">
        <v>7.0486599999999997E-6</v>
      </c>
      <c r="K404" s="8">
        <v>6.9810550000000002E-6</v>
      </c>
      <c r="L404" s="8">
        <v>6.8874000000000003E-6</v>
      </c>
      <c r="M404" s="8">
        <v>6.7680000000000003E-6</v>
      </c>
      <c r="N404" s="8">
        <v>6.6486499999999901E-6</v>
      </c>
      <c r="O404">
        <v>0</v>
      </c>
      <c r="P404">
        <v>0</v>
      </c>
      <c r="Q404">
        <v>0</v>
      </c>
      <c r="R404" t="s">
        <v>243</v>
      </c>
    </row>
    <row r="405" spans="1:18" x14ac:dyDescent="0.3">
      <c r="A405" t="s">
        <v>259</v>
      </c>
      <c r="B405" t="s">
        <v>8</v>
      </c>
      <c r="C405" t="s">
        <v>329</v>
      </c>
      <c r="D405" s="8">
        <v>3.0611599999999997E-5</v>
      </c>
      <c r="E405" s="8">
        <v>9.9263899999999997E-6</v>
      </c>
      <c r="F405" s="8">
        <v>8.3095400000000001E-6</v>
      </c>
      <c r="G405" s="8">
        <v>5.7903299999999998E-6</v>
      </c>
      <c r="H405" s="8">
        <v>5.6601500000000003E-6</v>
      </c>
      <c r="I405" s="8">
        <v>5.8089200000000001E-6</v>
      </c>
      <c r="J405" s="8">
        <v>5.7169490000000001E-6</v>
      </c>
      <c r="K405" s="8">
        <v>5.6572060000000004E-6</v>
      </c>
      <c r="L405" s="8">
        <v>5.5775200000000001E-6</v>
      </c>
      <c r="M405" s="8">
        <v>5.4741529999999998E-6</v>
      </c>
      <c r="N405" s="8">
        <v>5.3744749999999999E-6</v>
      </c>
      <c r="O405">
        <v>0</v>
      </c>
      <c r="P405">
        <v>0</v>
      </c>
      <c r="Q405">
        <v>0</v>
      </c>
      <c r="R405" t="s">
        <v>243</v>
      </c>
    </row>
    <row r="406" spans="1:18" x14ac:dyDescent="0.3">
      <c r="A406" t="s">
        <v>259</v>
      </c>
      <c r="B406" t="s">
        <v>8</v>
      </c>
      <c r="C406" t="s">
        <v>330</v>
      </c>
      <c r="D406" s="8">
        <v>2.5514500000000001E-5</v>
      </c>
      <c r="E406" s="8">
        <v>8.0571999999999997E-6</v>
      </c>
      <c r="F406" s="8">
        <v>6.94744E-6</v>
      </c>
      <c r="G406" s="8">
        <v>4.8446000000000002E-6</v>
      </c>
      <c r="H406" s="8">
        <v>4.7303100000000001E-6</v>
      </c>
      <c r="I406" s="8">
        <v>4.8492699999999999E-6</v>
      </c>
      <c r="J406" s="8">
        <v>4.7660230000000002E-6</v>
      </c>
      <c r="K406" s="8">
        <v>4.7083019999999999E-6</v>
      </c>
      <c r="L406" s="8">
        <v>4.6360839999999999E-6</v>
      </c>
      <c r="M406" s="8">
        <v>4.5486059999999997E-6</v>
      </c>
      <c r="N406" s="8">
        <v>4.463611E-6</v>
      </c>
      <c r="O406">
        <v>0</v>
      </c>
      <c r="P406">
        <v>0</v>
      </c>
      <c r="Q406">
        <v>0</v>
      </c>
      <c r="R406" t="s">
        <v>243</v>
      </c>
    </row>
    <row r="407" spans="1:18" x14ac:dyDescent="0.3">
      <c r="A407" t="s">
        <v>259</v>
      </c>
      <c r="B407" t="s">
        <v>8</v>
      </c>
      <c r="C407" t="s">
        <v>331</v>
      </c>
      <c r="D407" s="8">
        <v>2.1072699999999999E-5</v>
      </c>
      <c r="E407" s="8">
        <v>6.5931200000000002E-6</v>
      </c>
      <c r="F407" s="8">
        <v>5.8080899999999996E-6</v>
      </c>
      <c r="G407" s="8">
        <v>4.1216599999999996E-6</v>
      </c>
      <c r="H407" s="8">
        <v>4.0422799999999997E-6</v>
      </c>
      <c r="I407" s="8">
        <v>4.1322619999999996E-6</v>
      </c>
      <c r="J407" s="8">
        <v>4.05455E-6</v>
      </c>
      <c r="K407" s="8">
        <v>4.00613E-6</v>
      </c>
      <c r="L407" s="8">
        <v>3.9463090000000003E-6</v>
      </c>
      <c r="M407" s="8">
        <v>3.8713940000000002E-6</v>
      </c>
      <c r="N407" s="8">
        <v>3.7982209999999998E-6</v>
      </c>
      <c r="O407">
        <v>0</v>
      </c>
      <c r="P407">
        <v>0</v>
      </c>
      <c r="Q407">
        <v>0</v>
      </c>
      <c r="R407" t="s">
        <v>243</v>
      </c>
    </row>
    <row r="408" spans="1:18" x14ac:dyDescent="0.3">
      <c r="A408" t="s">
        <v>259</v>
      </c>
      <c r="B408" t="s">
        <v>8</v>
      </c>
      <c r="C408" t="s">
        <v>332</v>
      </c>
      <c r="D408" s="8">
        <v>1.7288599999999999E-5</v>
      </c>
      <c r="E408" s="8">
        <v>5.28065E-6</v>
      </c>
      <c r="F408" s="8">
        <v>4.7638900000000004E-6</v>
      </c>
      <c r="G408" s="8">
        <v>3.3555299999999999E-6</v>
      </c>
      <c r="H408" s="8">
        <v>3.2833399999999998E-6</v>
      </c>
      <c r="I408" s="8">
        <v>3.3566189999999899E-6</v>
      </c>
      <c r="J408" s="8">
        <v>3.2907919999999899E-6</v>
      </c>
      <c r="K408" s="8">
        <v>3.2470539999999998E-6</v>
      </c>
      <c r="L408" s="8">
        <v>3.1958380000000002E-6</v>
      </c>
      <c r="M408" s="8">
        <v>3.132818E-6</v>
      </c>
      <c r="N408" s="8">
        <v>3.0719679999999999E-6</v>
      </c>
      <c r="O408">
        <v>0</v>
      </c>
      <c r="P408">
        <v>0</v>
      </c>
      <c r="Q408">
        <v>0</v>
      </c>
      <c r="R408" t="s">
        <v>243</v>
      </c>
    </row>
    <row r="409" spans="1:18" x14ac:dyDescent="0.3">
      <c r="A409" t="s">
        <v>259</v>
      </c>
      <c r="B409" t="s">
        <v>8</v>
      </c>
      <c r="C409" t="s">
        <v>333</v>
      </c>
      <c r="D409" s="8">
        <v>1.2643199999999999E-5</v>
      </c>
      <c r="E409" s="8">
        <v>4.0392600000000002E-6</v>
      </c>
      <c r="F409" s="8">
        <v>3.5943800000000001E-6</v>
      </c>
      <c r="G409" s="8">
        <v>2.5984899999999999E-6</v>
      </c>
      <c r="H409" s="8">
        <v>2.5532960000000001E-6</v>
      </c>
      <c r="I409" s="8">
        <v>2.60277099999999E-6</v>
      </c>
      <c r="J409" s="8">
        <v>2.5470259999999998E-6</v>
      </c>
      <c r="K409" s="8">
        <v>2.5112490000000001E-6</v>
      </c>
      <c r="L409" s="8">
        <v>2.4693799999999999E-6</v>
      </c>
      <c r="M409" s="8">
        <v>2.41834399999999E-6</v>
      </c>
      <c r="N409" s="8">
        <v>2.3690699999999999E-6</v>
      </c>
      <c r="O409">
        <v>0</v>
      </c>
      <c r="P409">
        <v>0</v>
      </c>
      <c r="Q409">
        <v>0</v>
      </c>
      <c r="R409" t="s">
        <v>243</v>
      </c>
    </row>
    <row r="410" spans="1:18" x14ac:dyDescent="0.3">
      <c r="A410" t="s">
        <v>259</v>
      </c>
      <c r="B410" t="s">
        <v>8</v>
      </c>
      <c r="C410" t="s">
        <v>264</v>
      </c>
      <c r="D410" s="8">
        <v>6.1764199999999995E-4</v>
      </c>
      <c r="E410" s="8">
        <v>9.9426419999999998E-4</v>
      </c>
      <c r="F410">
        <v>1.2677506299999901E-3</v>
      </c>
      <c r="G410">
        <v>1.34493044999999E-3</v>
      </c>
      <c r="H410">
        <v>1.34423777E-3</v>
      </c>
      <c r="I410">
        <v>1.42997131999999E-3</v>
      </c>
      <c r="J410">
        <v>1.406967278E-3</v>
      </c>
      <c r="K410">
        <v>1.3865717100000001E-3</v>
      </c>
      <c r="L410">
        <v>1.3252187900000001E-3</v>
      </c>
      <c r="M410">
        <v>1.2478254599999901E-3</v>
      </c>
      <c r="N410">
        <v>1.1827818199999999E-3</v>
      </c>
      <c r="O410">
        <v>0</v>
      </c>
      <c r="P410">
        <v>0</v>
      </c>
      <c r="Q410">
        <v>0</v>
      </c>
      <c r="R410" t="s">
        <v>243</v>
      </c>
    </row>
    <row r="411" spans="1:18" x14ac:dyDescent="0.3">
      <c r="A411" t="s">
        <v>259</v>
      </c>
      <c r="B411" t="s">
        <v>8</v>
      </c>
      <c r="C411" t="s">
        <v>265</v>
      </c>
      <c r="D411">
        <v>1.5625140000000001E-3</v>
      </c>
      <c r="E411">
        <v>2.5998696399999999E-3</v>
      </c>
      <c r="F411">
        <v>2.9578425999999998E-3</v>
      </c>
      <c r="G411">
        <v>3.0047081000000001E-3</v>
      </c>
      <c r="H411">
        <v>2.8253537400000001E-3</v>
      </c>
      <c r="I411">
        <v>2.84889352E-3</v>
      </c>
      <c r="J411">
        <v>2.6991698799999999E-3</v>
      </c>
      <c r="K411">
        <v>2.6120038799999998E-3</v>
      </c>
      <c r="L411">
        <v>2.46923700999999E-3</v>
      </c>
      <c r="M411">
        <v>2.3053049399999999E-3</v>
      </c>
      <c r="N411">
        <v>2.1740007199999999E-3</v>
      </c>
      <c r="O411">
        <v>0</v>
      </c>
      <c r="P411">
        <v>0</v>
      </c>
      <c r="Q411">
        <v>0</v>
      </c>
      <c r="R411" t="s">
        <v>243</v>
      </c>
    </row>
    <row r="412" spans="1:18" x14ac:dyDescent="0.3">
      <c r="A412" t="s">
        <v>259</v>
      </c>
      <c r="B412" t="s">
        <v>8</v>
      </c>
      <c r="C412" t="s">
        <v>266</v>
      </c>
      <c r="D412" s="8">
        <v>8.4950499999999997E-4</v>
      </c>
      <c r="E412">
        <v>1.3867059100000001E-3</v>
      </c>
      <c r="F412">
        <v>1.7040166299999999E-3</v>
      </c>
      <c r="G412">
        <v>1.7681927999999899E-3</v>
      </c>
      <c r="H412">
        <v>1.6907736400000001E-3</v>
      </c>
      <c r="I412">
        <v>1.7431582799999901E-3</v>
      </c>
      <c r="J412">
        <v>1.68282521999999E-3</v>
      </c>
      <c r="K412">
        <v>1.6463701700000001E-3</v>
      </c>
      <c r="L412">
        <v>1.5675961999999999E-3</v>
      </c>
      <c r="M412">
        <v>1.47242605E-3</v>
      </c>
      <c r="N412">
        <v>1.39479838E-3</v>
      </c>
      <c r="O412">
        <v>0</v>
      </c>
      <c r="P412">
        <v>0</v>
      </c>
      <c r="Q412">
        <v>0</v>
      </c>
      <c r="R412" t="s">
        <v>243</v>
      </c>
    </row>
    <row r="413" spans="1:18" x14ac:dyDescent="0.3">
      <c r="A413" t="s">
        <v>259</v>
      </c>
      <c r="B413" t="s">
        <v>8</v>
      </c>
      <c r="C413" t="s">
        <v>267</v>
      </c>
      <c r="D413" s="8">
        <v>9.87983E-4</v>
      </c>
      <c r="E413">
        <v>1.59387923E-3</v>
      </c>
      <c r="F413">
        <v>1.9033773E-3</v>
      </c>
      <c r="G413">
        <v>1.9667822999999999E-3</v>
      </c>
      <c r="H413">
        <v>1.8555218799999999E-3</v>
      </c>
      <c r="I413">
        <v>1.90018167999999E-3</v>
      </c>
      <c r="J413">
        <v>1.8222146700000001E-3</v>
      </c>
      <c r="K413">
        <v>1.7776887800000001E-3</v>
      </c>
      <c r="L413">
        <v>1.68947163E-3</v>
      </c>
      <c r="M413">
        <v>1.58382452E-3</v>
      </c>
      <c r="N413">
        <v>1.4980067499999899E-3</v>
      </c>
      <c r="O413">
        <v>0</v>
      </c>
      <c r="P413">
        <v>0</v>
      </c>
      <c r="Q413">
        <v>0</v>
      </c>
      <c r="R413" t="s">
        <v>243</v>
      </c>
    </row>
    <row r="414" spans="1:18" x14ac:dyDescent="0.3">
      <c r="A414" t="s">
        <v>259</v>
      </c>
      <c r="B414" t="s">
        <v>8</v>
      </c>
      <c r="C414" t="s">
        <v>268</v>
      </c>
      <c r="D414">
        <v>1.0673970000000001E-3</v>
      </c>
      <c r="E414">
        <v>1.73312122E-3</v>
      </c>
      <c r="F414">
        <v>2.0445840999999999E-3</v>
      </c>
      <c r="G414">
        <v>2.1030276999999902E-3</v>
      </c>
      <c r="H414">
        <v>1.9702413099999998E-3</v>
      </c>
      <c r="I414">
        <v>2.0064403399999999E-3</v>
      </c>
      <c r="J414">
        <v>1.9194789299999901E-3</v>
      </c>
      <c r="K414">
        <v>1.87057044E-3</v>
      </c>
      <c r="L414">
        <v>1.7766303599999901E-3</v>
      </c>
      <c r="M414">
        <v>1.6658865399999999E-3</v>
      </c>
      <c r="N414">
        <v>1.5765364799999999E-3</v>
      </c>
      <c r="O414">
        <v>0</v>
      </c>
      <c r="P414">
        <v>0</v>
      </c>
      <c r="Q414">
        <v>0</v>
      </c>
      <c r="R414" t="s">
        <v>243</v>
      </c>
    </row>
    <row r="415" spans="1:18" x14ac:dyDescent="0.3">
      <c r="A415" t="s">
        <v>259</v>
      </c>
      <c r="B415" t="s">
        <v>8</v>
      </c>
      <c r="C415" t="s">
        <v>269</v>
      </c>
      <c r="D415">
        <v>1.135023E-3</v>
      </c>
      <c r="E415">
        <v>1.8508996199999999E-3</v>
      </c>
      <c r="F415">
        <v>2.1577127999999998E-3</v>
      </c>
      <c r="G415">
        <v>2.2184697000000001E-3</v>
      </c>
      <c r="H415">
        <v>2.0658214500000002E-3</v>
      </c>
      <c r="I415">
        <v>2.10081973E-3</v>
      </c>
      <c r="J415">
        <v>2.00661581E-3</v>
      </c>
      <c r="K415">
        <v>1.9537652799999999E-3</v>
      </c>
      <c r="L415">
        <v>1.8543405899999999E-3</v>
      </c>
      <c r="M415">
        <v>1.7365789799999999E-3</v>
      </c>
      <c r="N415">
        <v>1.64249704999999E-3</v>
      </c>
      <c r="O415">
        <v>0</v>
      </c>
      <c r="P415">
        <v>0</v>
      </c>
      <c r="Q415">
        <v>0</v>
      </c>
      <c r="R415" t="s">
        <v>243</v>
      </c>
    </row>
    <row r="416" spans="1:18" x14ac:dyDescent="0.3">
      <c r="A416" t="s">
        <v>259</v>
      </c>
      <c r="B416" t="s">
        <v>8</v>
      </c>
      <c r="C416" t="s">
        <v>270</v>
      </c>
      <c r="D416">
        <v>1.2003420000000001E-3</v>
      </c>
      <c r="E416">
        <v>1.95348121E-3</v>
      </c>
      <c r="F416">
        <v>2.2569043999999998E-3</v>
      </c>
      <c r="G416">
        <v>2.3191005999999999E-3</v>
      </c>
      <c r="H416">
        <v>2.1570653300000001E-3</v>
      </c>
      <c r="I416">
        <v>2.1907405799999999E-3</v>
      </c>
      <c r="J416">
        <v>2.0893825499999998E-3</v>
      </c>
      <c r="K416">
        <v>2.0310324799999902E-3</v>
      </c>
      <c r="L416">
        <v>1.9252347099999901E-3</v>
      </c>
      <c r="M416">
        <v>1.8022423699999999E-3</v>
      </c>
      <c r="N416">
        <v>1.7038085199999899E-3</v>
      </c>
      <c r="O416">
        <v>0</v>
      </c>
      <c r="P416">
        <v>0</v>
      </c>
      <c r="Q416">
        <v>0</v>
      </c>
      <c r="R416" t="s">
        <v>243</v>
      </c>
    </row>
    <row r="417" spans="1:18" x14ac:dyDescent="0.3">
      <c r="A417" t="s">
        <v>259</v>
      </c>
      <c r="B417" t="s">
        <v>8</v>
      </c>
      <c r="C417" t="s">
        <v>271</v>
      </c>
      <c r="D417">
        <v>1.2646389999999999E-3</v>
      </c>
      <c r="E417">
        <v>2.0490465999999999E-3</v>
      </c>
      <c r="F417">
        <v>2.3548523999999999E-3</v>
      </c>
      <c r="G417">
        <v>2.4093146999999999E-3</v>
      </c>
      <c r="H417">
        <v>2.2499737499999898E-3</v>
      </c>
      <c r="I417">
        <v>2.2789370299999999E-3</v>
      </c>
      <c r="J417">
        <v>2.1701032900000002E-3</v>
      </c>
      <c r="K417">
        <v>2.1099164399999999E-3</v>
      </c>
      <c r="L417">
        <v>2.0009178700000001E-3</v>
      </c>
      <c r="M417">
        <v>1.87292100999999E-3</v>
      </c>
      <c r="N417">
        <v>1.7702079399999999E-3</v>
      </c>
      <c r="O417">
        <v>0</v>
      </c>
      <c r="P417">
        <v>0</v>
      </c>
      <c r="Q417">
        <v>0</v>
      </c>
      <c r="R417" t="s">
        <v>243</v>
      </c>
    </row>
    <row r="418" spans="1:18" x14ac:dyDescent="0.3">
      <c r="A418" t="s">
        <v>259</v>
      </c>
      <c r="B418" t="s">
        <v>8</v>
      </c>
      <c r="C418" t="s">
        <v>272</v>
      </c>
      <c r="D418">
        <v>1.3275559999999999E-3</v>
      </c>
      <c r="E418">
        <v>2.1527903499999998E-3</v>
      </c>
      <c r="F418">
        <v>2.4621181999999902E-3</v>
      </c>
      <c r="G418">
        <v>2.5235840000000002E-3</v>
      </c>
      <c r="H418">
        <v>2.3516912199999999E-3</v>
      </c>
      <c r="I418">
        <v>2.3818845399999899E-3</v>
      </c>
      <c r="J418">
        <v>2.26602620999999E-3</v>
      </c>
      <c r="K418">
        <v>2.2002318300000001E-3</v>
      </c>
      <c r="L418">
        <v>2.0847354499999998E-3</v>
      </c>
      <c r="M418">
        <v>1.9498666300000001E-3</v>
      </c>
      <c r="N418">
        <v>1.84197528E-3</v>
      </c>
      <c r="O418">
        <v>0</v>
      </c>
      <c r="P418">
        <v>0</v>
      </c>
      <c r="Q418">
        <v>0</v>
      </c>
      <c r="R418" t="s">
        <v>243</v>
      </c>
    </row>
    <row r="419" spans="1:18" x14ac:dyDescent="0.3">
      <c r="A419" t="s">
        <v>259</v>
      </c>
      <c r="B419" t="s">
        <v>8</v>
      </c>
      <c r="C419" t="s">
        <v>273</v>
      </c>
      <c r="D419">
        <v>1.4219359999999999E-3</v>
      </c>
      <c r="E419">
        <v>2.2768762899999999E-3</v>
      </c>
      <c r="F419">
        <v>2.6135655000000002E-3</v>
      </c>
      <c r="G419">
        <v>2.6645697000000001E-3</v>
      </c>
      <c r="H419">
        <v>2.4926016899999999E-3</v>
      </c>
      <c r="I419">
        <v>2.5177997000000001E-3</v>
      </c>
      <c r="J419">
        <v>2.39116548E-3</v>
      </c>
      <c r="K419">
        <v>2.3200999499999901E-3</v>
      </c>
      <c r="L419">
        <v>2.1964240100000002E-3</v>
      </c>
      <c r="M419">
        <v>2.0523314099999998E-3</v>
      </c>
      <c r="N419">
        <v>1.93686061E-3</v>
      </c>
      <c r="O419">
        <v>0</v>
      </c>
      <c r="P419">
        <v>0</v>
      </c>
      <c r="Q419">
        <v>0</v>
      </c>
      <c r="R419" t="s">
        <v>243</v>
      </c>
    </row>
    <row r="420" spans="1:18" x14ac:dyDescent="0.3">
      <c r="A420" t="s">
        <v>259</v>
      </c>
      <c r="B420" t="s">
        <v>8</v>
      </c>
      <c r="C420" t="s">
        <v>274</v>
      </c>
      <c r="D420" s="8">
        <v>1.2763855249999899E-5</v>
      </c>
      <c r="E420" s="8">
        <v>9.6584624700000004E-6</v>
      </c>
      <c r="F420" s="8">
        <v>1.315852958E-5</v>
      </c>
      <c r="G420" s="8">
        <v>1.4203065929999999E-5</v>
      </c>
      <c r="H420" s="8">
        <v>2.5166713239999901E-5</v>
      </c>
      <c r="I420" s="8">
        <v>2.811271349E-5</v>
      </c>
      <c r="J420" s="8">
        <v>2.9593489418999999E-5</v>
      </c>
      <c r="K420" s="8">
        <v>3.0404382781999899E-5</v>
      </c>
      <c r="L420" s="8">
        <v>3.0379041973000001E-5</v>
      </c>
      <c r="M420" s="8">
        <v>2.9649204591999999E-5</v>
      </c>
      <c r="N420" s="8">
        <v>2.8669123444999902E-5</v>
      </c>
      <c r="O420">
        <v>0</v>
      </c>
      <c r="P420">
        <v>0</v>
      </c>
      <c r="Q420">
        <v>0</v>
      </c>
      <c r="R420" t="s">
        <v>243</v>
      </c>
    </row>
    <row r="421" spans="1:18" x14ac:dyDescent="0.3">
      <c r="A421" t="s">
        <v>259</v>
      </c>
      <c r="B421" t="s">
        <v>8</v>
      </c>
      <c r="C421" t="s">
        <v>275</v>
      </c>
      <c r="D421" s="8">
        <v>7.0290826799999999E-5</v>
      </c>
      <c r="E421" s="8">
        <v>6.0883781000000003E-5</v>
      </c>
      <c r="F421" s="8">
        <v>6.5012650600000001E-5</v>
      </c>
      <c r="G421" s="8">
        <v>6.2702542499999998E-5</v>
      </c>
      <c r="H421" s="8">
        <v>7.2535249949999997E-5</v>
      </c>
      <c r="I421" s="8">
        <v>7.1457489390000005E-5</v>
      </c>
      <c r="J421" s="8">
        <v>6.5604158620000006E-5</v>
      </c>
      <c r="K421" s="8">
        <v>6.1407274000000006E-5</v>
      </c>
      <c r="L421" s="8">
        <v>5.7426316689999903E-5</v>
      </c>
      <c r="M421" s="8">
        <v>5.3087727888999998E-5</v>
      </c>
      <c r="N421" s="8">
        <v>4.9240431952999901E-5</v>
      </c>
      <c r="O421">
        <v>0</v>
      </c>
      <c r="P421">
        <v>0</v>
      </c>
      <c r="Q421">
        <v>0</v>
      </c>
      <c r="R421" t="s">
        <v>243</v>
      </c>
    </row>
    <row r="422" spans="1:18" x14ac:dyDescent="0.3">
      <c r="A422" t="s">
        <v>259</v>
      </c>
      <c r="B422" t="s">
        <v>8</v>
      </c>
      <c r="C422" t="s">
        <v>276</v>
      </c>
      <c r="D422" s="8">
        <v>2.06985789E-5</v>
      </c>
      <c r="E422" s="8">
        <v>1.6960008860000001E-5</v>
      </c>
      <c r="F422" s="8">
        <v>2.2815573179999999E-5</v>
      </c>
      <c r="G422" s="8">
        <v>2.4115954709999999E-5</v>
      </c>
      <c r="H422" s="8">
        <v>3.6632073200000001E-5</v>
      </c>
      <c r="I422" s="8">
        <v>3.944519612E-5</v>
      </c>
      <c r="J422" s="8">
        <v>3.998897834E-5</v>
      </c>
      <c r="K422" s="8">
        <v>3.9882958675000003E-5</v>
      </c>
      <c r="L422" s="8">
        <v>3.8924188393999899E-5</v>
      </c>
      <c r="M422" s="8">
        <v>3.7225677048999998E-5</v>
      </c>
      <c r="N422" s="8">
        <v>3.5394107268999903E-5</v>
      </c>
      <c r="O422">
        <v>0</v>
      </c>
      <c r="P422">
        <v>0</v>
      </c>
      <c r="Q422">
        <v>0</v>
      </c>
      <c r="R422" t="s">
        <v>243</v>
      </c>
    </row>
    <row r="423" spans="1:18" x14ac:dyDescent="0.3">
      <c r="A423" t="s">
        <v>259</v>
      </c>
      <c r="B423" t="s">
        <v>8</v>
      </c>
      <c r="C423" t="s">
        <v>277</v>
      </c>
      <c r="D423" s="8">
        <v>2.6991183759999899E-5</v>
      </c>
      <c r="E423" s="8">
        <v>2.249904474E-5</v>
      </c>
      <c r="F423" s="8">
        <v>2.8969230270000001E-5</v>
      </c>
      <c r="G423" s="8">
        <v>3.0368624559999999E-5</v>
      </c>
      <c r="H423" s="8">
        <v>4.3060406440000001E-5</v>
      </c>
      <c r="I423" s="8">
        <v>4.5628807030000001E-5</v>
      </c>
      <c r="J423" s="8">
        <v>4.5139827359999999E-5</v>
      </c>
      <c r="K423" s="8">
        <v>4.4218719999999999E-5</v>
      </c>
      <c r="L423" s="8">
        <v>4.2581940795E-5</v>
      </c>
      <c r="M423" s="8">
        <v>4.0262438935000002E-5</v>
      </c>
      <c r="N423" s="8">
        <v>3.7939468626000002E-5</v>
      </c>
      <c r="O423">
        <v>0</v>
      </c>
      <c r="P423">
        <v>0</v>
      </c>
      <c r="Q423">
        <v>0</v>
      </c>
      <c r="R423" t="s">
        <v>243</v>
      </c>
    </row>
    <row r="424" spans="1:18" x14ac:dyDescent="0.3">
      <c r="A424" t="s">
        <v>259</v>
      </c>
      <c r="B424" t="s">
        <v>8</v>
      </c>
      <c r="C424" t="s">
        <v>278</v>
      </c>
      <c r="D424" s="8">
        <v>3.1346994649999999E-5</v>
      </c>
      <c r="E424" s="8">
        <v>2.7122010039999999E-5</v>
      </c>
      <c r="F424" s="8">
        <v>3.3995302040000001E-5</v>
      </c>
      <c r="G424" s="8">
        <v>3.5113015729999999E-5</v>
      </c>
      <c r="H424" s="8">
        <v>4.7625572359999997E-5</v>
      </c>
      <c r="I424" s="8">
        <v>4.9664487999999999E-5</v>
      </c>
      <c r="J424" s="8">
        <v>4.8399945159999998E-5</v>
      </c>
      <c r="K424" s="8">
        <v>4.6895080772E-5</v>
      </c>
      <c r="L424" s="8">
        <v>4.4813625860000001E-5</v>
      </c>
      <c r="M424" s="8">
        <v>4.2145445614000002E-5</v>
      </c>
      <c r="N424" s="8">
        <v>3.9568031489999998E-5</v>
      </c>
      <c r="O424">
        <v>0</v>
      </c>
      <c r="P424">
        <v>0</v>
      </c>
      <c r="Q424">
        <v>0</v>
      </c>
      <c r="R424" t="s">
        <v>243</v>
      </c>
    </row>
    <row r="425" spans="1:18" x14ac:dyDescent="0.3">
      <c r="A425" t="s">
        <v>259</v>
      </c>
      <c r="B425" t="s">
        <v>8</v>
      </c>
      <c r="C425" t="s">
        <v>279</v>
      </c>
      <c r="D425" s="8">
        <v>3.558027428E-5</v>
      </c>
      <c r="E425" s="8">
        <v>3.16113359E-5</v>
      </c>
      <c r="F425" s="8">
        <v>3.8290889E-5</v>
      </c>
      <c r="G425" s="8">
        <v>3.9254155410000001E-5</v>
      </c>
      <c r="H425" s="8">
        <v>5.1322373369999998E-5</v>
      </c>
      <c r="I425" s="8">
        <v>5.3027046049999899E-5</v>
      </c>
      <c r="J425" s="8">
        <v>5.104627562E-5</v>
      </c>
      <c r="K425" s="8">
        <v>4.9039865812999999E-5</v>
      </c>
      <c r="L425" s="8">
        <v>4.6591699199999997E-5</v>
      </c>
      <c r="M425" s="8">
        <v>4.3601661392999997E-5</v>
      </c>
      <c r="N425" s="8">
        <v>4.0810920239000003E-5</v>
      </c>
      <c r="O425">
        <v>0</v>
      </c>
      <c r="P425">
        <v>0</v>
      </c>
      <c r="Q425">
        <v>0</v>
      </c>
      <c r="R425" t="s">
        <v>243</v>
      </c>
    </row>
    <row r="426" spans="1:18" x14ac:dyDescent="0.3">
      <c r="A426" t="s">
        <v>259</v>
      </c>
      <c r="B426" t="s">
        <v>8</v>
      </c>
      <c r="C426" t="s">
        <v>280</v>
      </c>
      <c r="D426" s="8">
        <v>4.01709451E-5</v>
      </c>
      <c r="E426" s="8">
        <v>3.5864792099999999E-5</v>
      </c>
      <c r="F426" s="8">
        <v>4.2134461499999999E-5</v>
      </c>
      <c r="G426" s="8">
        <v>4.2839555600000002E-5</v>
      </c>
      <c r="H426" s="8">
        <v>5.4686390779999998E-5</v>
      </c>
      <c r="I426" s="8">
        <v>5.5986423300000001E-5</v>
      </c>
      <c r="J426" s="8">
        <v>5.3306349020000002E-5</v>
      </c>
      <c r="K426" s="8">
        <v>5.0815890241999998E-5</v>
      </c>
      <c r="L426" s="8">
        <v>4.8045063209999997E-5</v>
      </c>
      <c r="M426" s="8">
        <v>4.4827830129000001E-5</v>
      </c>
      <c r="N426" s="8">
        <v>4.1870717229999903E-5</v>
      </c>
      <c r="O426">
        <v>0</v>
      </c>
      <c r="P426">
        <v>0</v>
      </c>
      <c r="Q426">
        <v>0</v>
      </c>
      <c r="R426" t="s">
        <v>243</v>
      </c>
    </row>
    <row r="427" spans="1:18" x14ac:dyDescent="0.3">
      <c r="A427" t="s">
        <v>259</v>
      </c>
      <c r="B427" t="s">
        <v>8</v>
      </c>
      <c r="C427" t="s">
        <v>281</v>
      </c>
      <c r="D427" s="8">
        <v>4.5163418299999999E-5</v>
      </c>
      <c r="E427" s="8">
        <v>3.9983308400000002E-5</v>
      </c>
      <c r="F427" s="8">
        <v>4.5897413700000002E-5</v>
      </c>
      <c r="G427" s="8">
        <v>4.5964540199999901E-5</v>
      </c>
      <c r="H427" s="8">
        <v>5.7892756149999901E-5</v>
      </c>
      <c r="I427" s="8">
        <v>5.8648139249999997E-5</v>
      </c>
      <c r="J427" s="8">
        <v>5.5302880539999998E-5</v>
      </c>
      <c r="K427" s="8">
        <v>5.2472167896000002E-5</v>
      </c>
      <c r="L427" s="8">
        <v>4.9492795049999997E-5</v>
      </c>
      <c r="M427" s="8">
        <v>4.6085311550000001E-5</v>
      </c>
      <c r="N427" s="8">
        <v>4.2985437430000001E-5</v>
      </c>
      <c r="O427">
        <v>0</v>
      </c>
      <c r="P427">
        <v>0</v>
      </c>
      <c r="Q427">
        <v>0</v>
      </c>
      <c r="R427" t="s">
        <v>243</v>
      </c>
    </row>
    <row r="428" spans="1:18" x14ac:dyDescent="0.3">
      <c r="A428" t="s">
        <v>259</v>
      </c>
      <c r="B428" t="s">
        <v>8</v>
      </c>
      <c r="C428" t="s">
        <v>282</v>
      </c>
      <c r="D428" s="8">
        <v>5.0424160000000001E-5</v>
      </c>
      <c r="E428" s="8">
        <v>4.4459830499999998E-5</v>
      </c>
      <c r="F428" s="8">
        <v>4.9880721599999999E-5</v>
      </c>
      <c r="G428" s="8">
        <v>4.9730485700000001E-5</v>
      </c>
      <c r="H428" s="8">
        <v>6.1058155869999996E-5</v>
      </c>
      <c r="I428" s="8">
        <v>6.1416396609999897E-5</v>
      </c>
      <c r="J428" s="8">
        <v>5.7421543449999999E-5</v>
      </c>
      <c r="K428" s="8">
        <v>5.4205657543000002E-5</v>
      </c>
      <c r="L428" s="8">
        <v>5.0980431429999998E-5</v>
      </c>
      <c r="M428" s="8">
        <v>4.7368764101E-5</v>
      </c>
      <c r="N428" s="8">
        <v>4.4122549280999999E-5</v>
      </c>
      <c r="O428">
        <v>0</v>
      </c>
      <c r="P428">
        <v>0</v>
      </c>
      <c r="Q428">
        <v>0</v>
      </c>
      <c r="R428" t="s">
        <v>243</v>
      </c>
    </row>
    <row r="429" spans="1:18" x14ac:dyDescent="0.3">
      <c r="A429" t="s">
        <v>259</v>
      </c>
      <c r="B429" t="s">
        <v>8</v>
      </c>
      <c r="C429" t="s">
        <v>283</v>
      </c>
      <c r="D429" s="8">
        <v>5.8646757100000003E-5</v>
      </c>
      <c r="E429" s="8">
        <v>4.9603049499999998E-5</v>
      </c>
      <c r="F429" s="8">
        <v>5.5112845599999998E-5</v>
      </c>
      <c r="G429" s="8">
        <v>5.4009159899999997E-5</v>
      </c>
      <c r="H429" s="8">
        <v>6.4960195530000002E-5</v>
      </c>
      <c r="I429" s="8">
        <v>6.4668946329999997E-5</v>
      </c>
      <c r="J429" s="8">
        <v>5.9939956770000002E-5</v>
      </c>
      <c r="K429" s="8">
        <v>5.6374780660000002E-5</v>
      </c>
      <c r="L429" s="8">
        <v>5.2898306330000002E-5</v>
      </c>
      <c r="M429" s="8">
        <v>4.9050245904999901E-5</v>
      </c>
      <c r="N429" s="8">
        <v>4.5614133301E-5</v>
      </c>
      <c r="O429">
        <v>0</v>
      </c>
      <c r="P429">
        <v>0</v>
      </c>
      <c r="Q429">
        <v>0</v>
      </c>
      <c r="R429" t="s">
        <v>243</v>
      </c>
    </row>
    <row r="430" spans="1:18" x14ac:dyDescent="0.3">
      <c r="A430" t="s">
        <v>259</v>
      </c>
      <c r="B430" t="s">
        <v>8</v>
      </c>
      <c r="C430" t="s">
        <v>334</v>
      </c>
      <c r="D430">
        <v>7.5719100000000003E-3</v>
      </c>
      <c r="E430">
        <v>2.9985799999999998E-3</v>
      </c>
      <c r="F430">
        <v>2.3800000000000002E-3</v>
      </c>
      <c r="G430">
        <v>1.6472699999999999E-3</v>
      </c>
      <c r="H430">
        <v>1.691213E-3</v>
      </c>
      <c r="I430">
        <v>1.769383E-3</v>
      </c>
      <c r="J430">
        <v>1.7595969999999999E-3</v>
      </c>
      <c r="K430">
        <v>1.7524769999999999E-3</v>
      </c>
      <c r="L430">
        <v>1.737211E-3</v>
      </c>
      <c r="M430">
        <v>1.7090989999999999E-3</v>
      </c>
      <c r="N430">
        <v>1.6798130000000001E-3</v>
      </c>
      <c r="O430">
        <v>0</v>
      </c>
      <c r="P430">
        <v>0</v>
      </c>
      <c r="Q430">
        <v>0</v>
      </c>
      <c r="R430" t="s">
        <v>243</v>
      </c>
    </row>
    <row r="431" spans="1:18" x14ac:dyDescent="0.3">
      <c r="A431" t="s">
        <v>259</v>
      </c>
      <c r="B431" t="s">
        <v>8</v>
      </c>
      <c r="C431" t="s">
        <v>335</v>
      </c>
      <c r="D431" s="8">
        <v>5.87588E-4</v>
      </c>
      <c r="E431" s="8">
        <v>1.5036800000000001E-4</v>
      </c>
      <c r="F431" s="8">
        <v>1.4141199999999999E-4</v>
      </c>
      <c r="G431" s="8">
        <v>1.0461100000000001E-4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243</v>
      </c>
    </row>
    <row r="432" spans="1:18" x14ac:dyDescent="0.3">
      <c r="A432" t="s">
        <v>259</v>
      </c>
      <c r="B432" t="s">
        <v>8</v>
      </c>
      <c r="C432" t="s">
        <v>336</v>
      </c>
      <c r="D432">
        <v>4.5506799999999997E-3</v>
      </c>
      <c r="E432">
        <v>1.68121E-3</v>
      </c>
      <c r="F432">
        <v>1.31397E-3</v>
      </c>
      <c r="G432" s="8">
        <v>9.1469399999999997E-4</v>
      </c>
      <c r="H432" s="8">
        <v>9.14579E-4</v>
      </c>
      <c r="I432" s="8">
        <v>9.4752300000000003E-4</v>
      </c>
      <c r="J432" s="8">
        <v>9.3755200000000003E-4</v>
      </c>
      <c r="K432" s="8">
        <v>9.3117099999999995E-4</v>
      </c>
      <c r="L432" s="8">
        <v>9.2190800000000004E-4</v>
      </c>
      <c r="M432" s="8">
        <v>9.0661699999999997E-4</v>
      </c>
      <c r="N432" s="8">
        <v>8.9135099999999997E-4</v>
      </c>
      <c r="O432">
        <v>0</v>
      </c>
      <c r="P432">
        <v>0</v>
      </c>
      <c r="Q432">
        <v>0</v>
      </c>
      <c r="R432" t="s">
        <v>243</v>
      </c>
    </row>
    <row r="433" spans="1:18" x14ac:dyDescent="0.3">
      <c r="A433" t="s">
        <v>259</v>
      </c>
      <c r="B433" t="s">
        <v>8</v>
      </c>
      <c r="C433" t="s">
        <v>337</v>
      </c>
      <c r="D433">
        <v>3.3191499999999999E-3</v>
      </c>
      <c r="E433">
        <v>1.1992299999999999E-3</v>
      </c>
      <c r="F433" s="8">
        <v>9.6269200000000002E-4</v>
      </c>
      <c r="G433" s="8">
        <v>6.6695000000000003E-4</v>
      </c>
      <c r="H433" s="8">
        <v>6.5975099999999998E-4</v>
      </c>
      <c r="I433" s="8">
        <v>6.8205399999999997E-4</v>
      </c>
      <c r="J433" s="8">
        <v>6.7213600000000004E-4</v>
      </c>
      <c r="K433" s="8">
        <v>6.6596699999999995E-4</v>
      </c>
      <c r="L433" s="8">
        <v>6.5827399999999895E-4</v>
      </c>
      <c r="M433" s="8">
        <v>6.4622499999999995E-4</v>
      </c>
      <c r="N433" s="8">
        <v>6.3436000000000005E-4</v>
      </c>
      <c r="O433">
        <v>0</v>
      </c>
      <c r="P433">
        <v>0</v>
      </c>
      <c r="Q433">
        <v>0</v>
      </c>
      <c r="R433" t="s">
        <v>243</v>
      </c>
    </row>
    <row r="434" spans="1:18" x14ac:dyDescent="0.3">
      <c r="A434" t="s">
        <v>259</v>
      </c>
      <c r="B434" t="s">
        <v>8</v>
      </c>
      <c r="C434" t="s">
        <v>338</v>
      </c>
      <c r="D434">
        <v>2.7345500000000001E-3</v>
      </c>
      <c r="E434" s="8">
        <v>9.3409999999999999E-4</v>
      </c>
      <c r="F434" s="8">
        <v>7.5914600000000004E-4</v>
      </c>
      <c r="G434" s="8">
        <v>5.2996200000000003E-4</v>
      </c>
      <c r="H434" s="8">
        <v>5.2083700000000001E-4</v>
      </c>
      <c r="I434" s="8">
        <v>5.3625599999999895E-4</v>
      </c>
      <c r="J434" s="8">
        <v>5.2765220000000005E-4</v>
      </c>
      <c r="K434" s="8">
        <v>5.222712E-4</v>
      </c>
      <c r="L434" s="8">
        <v>5.1593099999999996E-4</v>
      </c>
      <c r="M434" s="8">
        <v>5.0665330000000002E-4</v>
      </c>
      <c r="N434">
        <v>0</v>
      </c>
      <c r="O434">
        <v>0</v>
      </c>
      <c r="P434">
        <v>0</v>
      </c>
      <c r="Q434">
        <v>0</v>
      </c>
      <c r="R434" t="s">
        <v>243</v>
      </c>
    </row>
    <row r="435" spans="1:18" x14ac:dyDescent="0.3">
      <c r="A435" t="s">
        <v>259</v>
      </c>
      <c r="B435" t="s">
        <v>8</v>
      </c>
      <c r="C435" t="s">
        <v>339</v>
      </c>
      <c r="D435">
        <v>2.2937399999999998E-3</v>
      </c>
      <c r="E435" s="8">
        <v>7.4444300000000001E-4</v>
      </c>
      <c r="F435" s="8">
        <v>6.2250499999999998E-4</v>
      </c>
      <c r="G435" s="8">
        <v>4.3370799999999999E-4</v>
      </c>
      <c r="H435" s="8">
        <v>4.2358499999999998E-4</v>
      </c>
      <c r="I435" s="8">
        <v>4.35809E-4</v>
      </c>
      <c r="J435" s="8">
        <v>4.28334E-4</v>
      </c>
      <c r="K435" s="8">
        <v>4.2360059999999998E-4</v>
      </c>
      <c r="L435" s="8">
        <v>2.1160789999999998E-5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243</v>
      </c>
    </row>
    <row r="436" spans="1:18" x14ac:dyDescent="0.3">
      <c r="A436" t="s">
        <v>259</v>
      </c>
      <c r="B436" t="s">
        <v>8</v>
      </c>
      <c r="C436" t="s">
        <v>340</v>
      </c>
      <c r="D436">
        <v>1.91366E-3</v>
      </c>
      <c r="E436" s="8">
        <v>6.0482000000000005E-4</v>
      </c>
      <c r="F436" s="8">
        <v>5.2097199999999997E-4</v>
      </c>
      <c r="G436" s="8">
        <v>3.6320699999999999E-4</v>
      </c>
      <c r="H436" s="8">
        <v>3.5432699999999998E-4</v>
      </c>
      <c r="I436" s="8">
        <v>3.6415159999999999E-4</v>
      </c>
      <c r="J436" s="8">
        <v>3.5741849999999998E-4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243</v>
      </c>
    </row>
    <row r="437" spans="1:18" x14ac:dyDescent="0.3">
      <c r="A437" t="s">
        <v>259</v>
      </c>
      <c r="B437" t="s">
        <v>8</v>
      </c>
      <c r="C437" t="s">
        <v>341</v>
      </c>
      <c r="D437">
        <v>1.58227E-3</v>
      </c>
      <c r="E437" s="8">
        <v>4.9543899999999997E-4</v>
      </c>
      <c r="F437" s="8">
        <v>4.3591499999999999E-4</v>
      </c>
      <c r="G437" s="8">
        <v>3.0936899999999999E-4</v>
      </c>
      <c r="H437" s="8">
        <v>3.0314600000000001E-4</v>
      </c>
      <c r="I437" s="8">
        <v>3.106696E-4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243</v>
      </c>
    </row>
    <row r="438" spans="1:18" x14ac:dyDescent="0.3">
      <c r="A438" t="s">
        <v>259</v>
      </c>
      <c r="B438" t="s">
        <v>8</v>
      </c>
      <c r="C438" t="s">
        <v>342</v>
      </c>
      <c r="D438">
        <v>1.29941E-3</v>
      </c>
      <c r="E438" s="8">
        <v>3.9736300000000002E-4</v>
      </c>
      <c r="F438" s="8">
        <v>3.57967E-4</v>
      </c>
      <c r="G438" s="8">
        <v>2.52103E-4</v>
      </c>
      <c r="H438" s="8">
        <v>2.46464E-4</v>
      </c>
      <c r="I438" s="8">
        <v>2.5259760000000001E-4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243</v>
      </c>
    </row>
    <row r="439" spans="1:18" x14ac:dyDescent="0.3">
      <c r="A439" t="s">
        <v>259</v>
      </c>
      <c r="B439" t="s">
        <v>8</v>
      </c>
      <c r="C439" t="s">
        <v>343</v>
      </c>
      <c r="D439" s="8">
        <v>9.5186299999999995E-4</v>
      </c>
      <c r="E439" s="8">
        <v>3.0427399999999999E-4</v>
      </c>
      <c r="F439" s="8">
        <v>2.70399E-4</v>
      </c>
      <c r="G439" s="8">
        <v>1.9542999999999999E-4</v>
      </c>
      <c r="H439" s="8">
        <v>1.9186299999999999E-4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243</v>
      </c>
    </row>
    <row r="440" spans="1:18" x14ac:dyDescent="0.3">
      <c r="A440" t="s">
        <v>259</v>
      </c>
      <c r="B440" t="s">
        <v>8</v>
      </c>
      <c r="C440" t="s">
        <v>284</v>
      </c>
      <c r="D440" s="8">
        <v>4.0955358999999997E-4</v>
      </c>
      <c r="E440" s="8">
        <v>4.6489063299999999E-4</v>
      </c>
      <c r="F440" s="8">
        <v>5.4770375799999998E-4</v>
      </c>
      <c r="G440" s="8">
        <v>5.6536200200000002E-4</v>
      </c>
      <c r="H440" s="8">
        <v>4.7714499743999901E-4</v>
      </c>
      <c r="I440" s="8">
        <v>5.2554370023000002E-4</v>
      </c>
      <c r="J440" s="8">
        <v>5.0994850583999996E-4</v>
      </c>
      <c r="K440" s="8">
        <v>4.9401079047800003E-4</v>
      </c>
      <c r="L440" s="8">
        <v>4.9005911802400002E-4</v>
      </c>
      <c r="M440" s="8">
        <v>4.7724797179999999E-4</v>
      </c>
      <c r="N440" s="8">
        <v>4.6357267379999999E-4</v>
      </c>
      <c r="O440">
        <v>0</v>
      </c>
      <c r="P440">
        <v>0</v>
      </c>
      <c r="Q440">
        <v>0</v>
      </c>
      <c r="R440" t="s">
        <v>243</v>
      </c>
    </row>
    <row r="441" spans="1:18" x14ac:dyDescent="0.3">
      <c r="A441" t="s">
        <v>259</v>
      </c>
      <c r="B441" t="s">
        <v>8</v>
      </c>
      <c r="C441" t="s">
        <v>285</v>
      </c>
      <c r="D441">
        <v>4.6559699000000001E-3</v>
      </c>
      <c r="E441">
        <v>7.3042888199999897E-3</v>
      </c>
      <c r="F441">
        <v>7.2521975599999997E-3</v>
      </c>
      <c r="G441">
        <v>6.9029825E-3</v>
      </c>
      <c r="H441">
        <v>5.7920888003999997E-3</v>
      </c>
      <c r="I441">
        <v>6.0193882042000003E-3</v>
      </c>
      <c r="J441">
        <v>5.4410847827999998E-3</v>
      </c>
      <c r="K441">
        <v>4.7793575895899998E-3</v>
      </c>
      <c r="L441">
        <v>4.4218258486999999E-3</v>
      </c>
      <c r="M441">
        <v>4.0083986989999897E-3</v>
      </c>
      <c r="N441">
        <v>3.6373946649999999E-3</v>
      </c>
      <c r="O441">
        <v>0</v>
      </c>
      <c r="P441">
        <v>0</v>
      </c>
      <c r="Q441">
        <v>0</v>
      </c>
      <c r="R441" t="s">
        <v>243</v>
      </c>
    </row>
    <row r="442" spans="1:18" x14ac:dyDescent="0.3">
      <c r="A442" t="s">
        <v>259</v>
      </c>
      <c r="B442" t="s">
        <v>8</v>
      </c>
      <c r="C442" t="s">
        <v>286</v>
      </c>
      <c r="D442" s="8">
        <v>7.1682929000000002E-4</v>
      </c>
      <c r="E442" s="8">
        <v>8.9380941800000003E-4</v>
      </c>
      <c r="F442">
        <v>1.0743999379999999E-3</v>
      </c>
      <c r="G442">
        <v>1.1026476899999901E-3</v>
      </c>
      <c r="H442" s="8">
        <v>8.9788195759999995E-4</v>
      </c>
      <c r="I442" s="8">
        <v>9.7660972118999902E-4</v>
      </c>
      <c r="J442" s="8">
        <v>9.4250912657999899E-4</v>
      </c>
      <c r="K442" s="8">
        <v>9.0357807468999902E-4</v>
      </c>
      <c r="L442" s="8">
        <v>8.9347574744599899E-4</v>
      </c>
      <c r="M442" s="8">
        <v>8.6744493189999997E-4</v>
      </c>
      <c r="N442" s="8">
        <v>8.4127404689999998E-4</v>
      </c>
      <c r="O442">
        <v>0</v>
      </c>
      <c r="P442">
        <v>0</v>
      </c>
      <c r="Q442">
        <v>0</v>
      </c>
      <c r="R442" t="s">
        <v>243</v>
      </c>
    </row>
    <row r="443" spans="1:18" x14ac:dyDescent="0.3">
      <c r="A443" t="s">
        <v>259</v>
      </c>
      <c r="B443" t="s">
        <v>8</v>
      </c>
      <c r="C443" t="s">
        <v>287</v>
      </c>
      <c r="D443" s="8">
        <v>9.9419533999999996E-4</v>
      </c>
      <c r="E443">
        <v>1.2724047300000001E-3</v>
      </c>
      <c r="F443">
        <v>1.4837540599999901E-3</v>
      </c>
      <c r="G443">
        <v>1.5276568599999899E-3</v>
      </c>
      <c r="H443">
        <v>1.2238807454999999E-3</v>
      </c>
      <c r="I443">
        <v>1.3305968823599901E-3</v>
      </c>
      <c r="J443">
        <v>1.27154749071E-3</v>
      </c>
      <c r="K443">
        <v>1.2066209596299901E-3</v>
      </c>
      <c r="L443">
        <v>1.18516866997999E-3</v>
      </c>
      <c r="M443">
        <v>1.1409648954E-3</v>
      </c>
      <c r="N443">
        <v>1.0972856355999901E-3</v>
      </c>
      <c r="O443">
        <v>0</v>
      </c>
      <c r="P443">
        <v>0</v>
      </c>
      <c r="Q443">
        <v>0</v>
      </c>
      <c r="R443" t="s">
        <v>243</v>
      </c>
    </row>
    <row r="444" spans="1:18" x14ac:dyDescent="0.3">
      <c r="A444" t="s">
        <v>259</v>
      </c>
      <c r="B444" t="s">
        <v>8</v>
      </c>
      <c r="C444" t="s">
        <v>288</v>
      </c>
      <c r="D444">
        <v>1.2067502E-3</v>
      </c>
      <c r="E444">
        <v>1.6318180799999901E-3</v>
      </c>
      <c r="F444">
        <v>1.8749315800000001E-3</v>
      </c>
      <c r="G444">
        <v>1.91205245E-3</v>
      </c>
      <c r="H444">
        <v>1.5163351269E-3</v>
      </c>
      <c r="I444">
        <v>1.6327770619099899E-3</v>
      </c>
      <c r="J444">
        <v>1.5528686851299901E-3</v>
      </c>
      <c r="K444">
        <v>1.4643139652899999E-3</v>
      </c>
      <c r="L444">
        <v>1.43386440198E-3</v>
      </c>
      <c r="M444">
        <v>1.3791233023999999E-3</v>
      </c>
      <c r="N444">
        <v>1.3257038790000001E-3</v>
      </c>
      <c r="O444">
        <v>0</v>
      </c>
      <c r="P444">
        <v>0</v>
      </c>
      <c r="Q444">
        <v>0</v>
      </c>
      <c r="R444" t="s">
        <v>243</v>
      </c>
    </row>
    <row r="445" spans="1:18" x14ac:dyDescent="0.3">
      <c r="A445" t="s">
        <v>259</v>
      </c>
      <c r="B445" t="s">
        <v>8</v>
      </c>
      <c r="C445" t="s">
        <v>289</v>
      </c>
      <c r="D445">
        <v>1.4321550899999999E-3</v>
      </c>
      <c r="E445">
        <v>2.0274918599999998E-3</v>
      </c>
      <c r="F445">
        <v>2.26152564E-3</v>
      </c>
      <c r="G445">
        <v>2.3055800799999999E-3</v>
      </c>
      <c r="H445">
        <v>1.8077263475999999E-3</v>
      </c>
      <c r="I445">
        <v>1.9455899253499999E-3</v>
      </c>
      <c r="J445">
        <v>1.8438293146799999E-3</v>
      </c>
      <c r="K445">
        <v>1.7296156054599999E-3</v>
      </c>
      <c r="L445">
        <v>1.68714075967E-3</v>
      </c>
      <c r="M445">
        <v>1.6116149633999999E-3</v>
      </c>
      <c r="N445">
        <v>1.5416143060999899E-3</v>
      </c>
      <c r="O445">
        <v>0</v>
      </c>
      <c r="P445">
        <v>0</v>
      </c>
      <c r="Q445">
        <v>0</v>
      </c>
      <c r="R445" t="s">
        <v>243</v>
      </c>
    </row>
    <row r="446" spans="1:18" x14ac:dyDescent="0.3">
      <c r="A446" t="s">
        <v>259</v>
      </c>
      <c r="B446" t="s">
        <v>8</v>
      </c>
      <c r="C446" t="s">
        <v>290</v>
      </c>
      <c r="D446">
        <v>1.7009708299999999E-3</v>
      </c>
      <c r="E446">
        <v>2.45505137E-3</v>
      </c>
      <c r="F446">
        <v>2.6594269699999999E-3</v>
      </c>
      <c r="G446">
        <v>2.70320027E-3</v>
      </c>
      <c r="H446">
        <v>2.1238307049000001E-3</v>
      </c>
      <c r="I446">
        <v>2.28239261751E-3</v>
      </c>
      <c r="J446">
        <v>2.15479961373999E-3</v>
      </c>
      <c r="K446">
        <v>2.0048980411299898E-3</v>
      </c>
      <c r="L446">
        <v>1.9425712838699899E-3</v>
      </c>
      <c r="M446">
        <v>1.8479079559E-3</v>
      </c>
      <c r="N446">
        <v>1.7592562777E-3</v>
      </c>
      <c r="O446">
        <v>0</v>
      </c>
      <c r="P446">
        <v>0</v>
      </c>
      <c r="Q446">
        <v>0</v>
      </c>
      <c r="R446" t="s">
        <v>243</v>
      </c>
    </row>
    <row r="447" spans="1:18" x14ac:dyDescent="0.3">
      <c r="A447" t="s">
        <v>259</v>
      </c>
      <c r="B447" t="s">
        <v>8</v>
      </c>
      <c r="C447" t="s">
        <v>291</v>
      </c>
      <c r="D447">
        <v>2.0276372899999998E-3</v>
      </c>
      <c r="E447">
        <v>2.9307736299999999E-3</v>
      </c>
      <c r="F447">
        <v>3.1097879199999999E-3</v>
      </c>
      <c r="G447">
        <v>3.10511431E-3</v>
      </c>
      <c r="H447">
        <v>2.4831260312999999E-3</v>
      </c>
      <c r="I447">
        <v>2.65108196181999E-3</v>
      </c>
      <c r="J447">
        <v>2.49208153835999E-3</v>
      </c>
      <c r="K447">
        <v>2.3151703640599901E-3</v>
      </c>
      <c r="L447">
        <v>2.2407284551700002E-3</v>
      </c>
      <c r="M447">
        <v>2.1245639925E-3</v>
      </c>
      <c r="N447">
        <v>2.0139990479000002E-3</v>
      </c>
      <c r="O447">
        <v>0</v>
      </c>
      <c r="P447">
        <v>0</v>
      </c>
      <c r="Q447">
        <v>0</v>
      </c>
      <c r="R447" t="s">
        <v>243</v>
      </c>
    </row>
    <row r="448" spans="1:18" x14ac:dyDescent="0.3">
      <c r="A448" t="s">
        <v>259</v>
      </c>
      <c r="B448" t="s">
        <v>8</v>
      </c>
      <c r="C448" t="s">
        <v>292</v>
      </c>
      <c r="D448">
        <v>2.4193789100000001E-3</v>
      </c>
      <c r="E448">
        <v>3.5374887199999998E-3</v>
      </c>
      <c r="F448">
        <v>3.6715920900000001E-3</v>
      </c>
      <c r="G448">
        <v>3.6786268999999998E-3</v>
      </c>
      <c r="H448">
        <v>2.938504056E-3</v>
      </c>
      <c r="I448">
        <v>3.1381640814500001E-3</v>
      </c>
      <c r="J448">
        <v>2.93776006472E-3</v>
      </c>
      <c r="K448">
        <v>2.7046132268299999E-3</v>
      </c>
      <c r="L448">
        <v>2.5991720246300002E-3</v>
      </c>
      <c r="M448">
        <v>2.4459321197E-3</v>
      </c>
      <c r="N448">
        <v>2.3028466539999999E-3</v>
      </c>
      <c r="O448">
        <v>0</v>
      </c>
      <c r="P448">
        <v>0</v>
      </c>
      <c r="Q448">
        <v>0</v>
      </c>
      <c r="R448" t="s">
        <v>243</v>
      </c>
    </row>
    <row r="449" spans="1:18" x14ac:dyDescent="0.3">
      <c r="A449" t="s">
        <v>259</v>
      </c>
      <c r="B449" t="s">
        <v>8</v>
      </c>
      <c r="C449" t="s">
        <v>293</v>
      </c>
      <c r="D449">
        <v>3.1627041999999902E-3</v>
      </c>
      <c r="E449">
        <v>4.3926192799999897E-3</v>
      </c>
      <c r="F449">
        <v>4.5926715000000002E-3</v>
      </c>
      <c r="G449">
        <v>4.4889998699999996E-3</v>
      </c>
      <c r="H449">
        <v>3.6552949125999998E-3</v>
      </c>
      <c r="I449">
        <v>3.8674429601999898E-3</v>
      </c>
      <c r="J449">
        <v>3.5896806870699899E-3</v>
      </c>
      <c r="K449">
        <v>3.27248837510999E-3</v>
      </c>
      <c r="L449">
        <v>3.1143927916599998E-3</v>
      </c>
      <c r="M449">
        <v>2.9002466271999998E-3</v>
      </c>
      <c r="N449">
        <v>2.7010102149999998E-3</v>
      </c>
      <c r="O449">
        <v>0</v>
      </c>
      <c r="P449">
        <v>0</v>
      </c>
      <c r="Q449">
        <v>0</v>
      </c>
      <c r="R449" t="s">
        <v>243</v>
      </c>
    </row>
    <row r="450" spans="1:18" x14ac:dyDescent="0.3">
      <c r="A450" t="s">
        <v>259</v>
      </c>
      <c r="B450" t="s">
        <v>8</v>
      </c>
      <c r="C450" t="s">
        <v>344</v>
      </c>
      <c r="D450" s="8">
        <v>1.12969E-4</v>
      </c>
      <c r="E450" s="8">
        <v>4.4076499999999997E-5</v>
      </c>
      <c r="F450" s="8">
        <v>3.4976199999999999E-5</v>
      </c>
      <c r="G450" s="8">
        <v>2.42253E-5</v>
      </c>
      <c r="H450" s="8">
        <v>2.4883199999999999E-5</v>
      </c>
      <c r="I450" s="8">
        <v>2.599843E-5</v>
      </c>
      <c r="J450" s="8">
        <v>2.5873259999999999E-5</v>
      </c>
      <c r="K450" s="8">
        <v>2.57776399999999E-5</v>
      </c>
      <c r="L450" s="8">
        <v>2.55366399999999E-5</v>
      </c>
      <c r="M450" s="8">
        <v>2.5130349999999999E-5</v>
      </c>
      <c r="N450" s="8">
        <v>2.47030099999999E-5</v>
      </c>
      <c r="O450">
        <v>0</v>
      </c>
      <c r="P450">
        <v>0</v>
      </c>
      <c r="Q450">
        <v>0</v>
      </c>
      <c r="R450" t="s">
        <v>243</v>
      </c>
    </row>
    <row r="451" spans="1:18" x14ac:dyDescent="0.3">
      <c r="A451" t="s">
        <v>259</v>
      </c>
      <c r="B451" t="s">
        <v>8</v>
      </c>
      <c r="C451" t="s">
        <v>345</v>
      </c>
      <c r="D451" s="8">
        <v>1.51634E-5</v>
      </c>
      <c r="E451" s="8">
        <v>4.2074599999999997E-6</v>
      </c>
      <c r="F451" s="8">
        <v>3.8241100000000002E-6</v>
      </c>
      <c r="G451" s="8">
        <v>2.7939999999999998E-6</v>
      </c>
      <c r="H451" s="8">
        <v>2.7599699999999999E-6</v>
      </c>
      <c r="I451" s="8">
        <v>2.810845E-6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243</v>
      </c>
    </row>
    <row r="452" spans="1:18" x14ac:dyDescent="0.3">
      <c r="A452" t="s">
        <v>259</v>
      </c>
      <c r="B452" t="s">
        <v>8</v>
      </c>
      <c r="C452" t="s">
        <v>346</v>
      </c>
      <c r="D452" s="8">
        <v>7.6158300000000006E-5</v>
      </c>
      <c r="E452" s="8">
        <v>2.82274E-5</v>
      </c>
      <c r="F452" s="8">
        <v>2.2155699999999999E-5</v>
      </c>
      <c r="G452" s="8">
        <v>1.5420399999999999E-5</v>
      </c>
      <c r="H452" s="8">
        <v>1.542598E-5</v>
      </c>
      <c r="I452" s="8">
        <v>1.595928E-5</v>
      </c>
      <c r="J452" s="8">
        <v>1.58034899999999E-5</v>
      </c>
      <c r="K452" s="8">
        <v>1.5701580000000001E-5</v>
      </c>
      <c r="L452" s="8">
        <v>1.5534789999999998E-5</v>
      </c>
      <c r="M452" s="8">
        <v>1.5281779999999999E-5</v>
      </c>
      <c r="N452" s="8">
        <v>1.5026520000000001E-5</v>
      </c>
      <c r="O452">
        <v>0</v>
      </c>
      <c r="P452">
        <v>0</v>
      </c>
      <c r="Q452">
        <v>0</v>
      </c>
      <c r="R452" t="s">
        <v>243</v>
      </c>
    </row>
    <row r="453" spans="1:18" x14ac:dyDescent="0.3">
      <c r="A453" t="s">
        <v>259</v>
      </c>
      <c r="B453" t="s">
        <v>8</v>
      </c>
      <c r="C453" t="s">
        <v>347</v>
      </c>
      <c r="D453" s="8">
        <v>5.95421E-5</v>
      </c>
      <c r="E453" s="8">
        <v>2.1707799999999999E-5</v>
      </c>
      <c r="F453" s="8">
        <v>1.73988E-5</v>
      </c>
      <c r="G453" s="8">
        <v>1.20672E-5</v>
      </c>
      <c r="H453" s="8">
        <v>1.194277E-5</v>
      </c>
      <c r="I453" s="8">
        <v>1.232902E-5</v>
      </c>
      <c r="J453" s="8">
        <v>1.215929E-5</v>
      </c>
      <c r="K453" s="8">
        <v>1.2052070000000001E-5</v>
      </c>
      <c r="L453" s="8">
        <v>1.190454E-5</v>
      </c>
      <c r="M453" s="8">
        <v>1.169031E-5</v>
      </c>
      <c r="N453" s="8">
        <v>1.147726E-5</v>
      </c>
      <c r="O453">
        <v>0</v>
      </c>
      <c r="P453">
        <v>0</v>
      </c>
      <c r="Q453">
        <v>0</v>
      </c>
      <c r="R453" t="s">
        <v>243</v>
      </c>
    </row>
    <row r="454" spans="1:18" x14ac:dyDescent="0.3">
      <c r="A454" t="s">
        <v>259</v>
      </c>
      <c r="B454" t="s">
        <v>8</v>
      </c>
      <c r="C454" t="s">
        <v>348</v>
      </c>
      <c r="D454" s="8">
        <v>5.1164E-5</v>
      </c>
      <c r="E454" s="8">
        <v>1.7858000000000001E-5</v>
      </c>
      <c r="F454" s="8">
        <v>1.4454099999999999E-5</v>
      </c>
      <c r="G454" s="8">
        <v>1.00848E-5</v>
      </c>
      <c r="H454" s="8">
        <v>9.9160199999999993E-6</v>
      </c>
      <c r="I454" s="8">
        <v>1.019495E-5</v>
      </c>
      <c r="J454" s="8">
        <v>1.003941E-5</v>
      </c>
      <c r="K454" s="8">
        <v>9.9406999999999995E-6</v>
      </c>
      <c r="L454" s="8">
        <v>9.8130400000000002E-6</v>
      </c>
      <c r="M454" s="8">
        <v>9.6396699999999998E-6</v>
      </c>
      <c r="N454" s="8">
        <v>9.4691700000000003E-6</v>
      </c>
      <c r="O454">
        <v>0</v>
      </c>
      <c r="P454">
        <v>0</v>
      </c>
      <c r="Q454">
        <v>0</v>
      </c>
      <c r="R454" t="s">
        <v>243</v>
      </c>
    </row>
    <row r="455" spans="1:18" x14ac:dyDescent="0.3">
      <c r="A455" t="s">
        <v>259</v>
      </c>
      <c r="B455" t="s">
        <v>8</v>
      </c>
      <c r="C455" t="s">
        <v>349</v>
      </c>
      <c r="D455" s="8">
        <v>4.4570100000000002E-5</v>
      </c>
      <c r="E455" s="8">
        <v>1.49464E-5</v>
      </c>
      <c r="F455" s="8">
        <v>1.2372699999999999E-5</v>
      </c>
      <c r="G455" s="8">
        <v>8.6184300000000008E-6</v>
      </c>
      <c r="H455" s="8">
        <v>8.4214599999999995E-6</v>
      </c>
      <c r="I455" s="8">
        <v>8.6519699999999906E-6</v>
      </c>
      <c r="J455" s="8">
        <v>8.5104999999999992E-6</v>
      </c>
      <c r="K455" s="8">
        <v>8.4195499999999997E-6</v>
      </c>
      <c r="L455" s="8">
        <v>8.3058199999999906E-6</v>
      </c>
      <c r="M455" s="8">
        <v>8.1490899999999904E-6</v>
      </c>
      <c r="N455" s="8">
        <v>8.0002800000000006E-6</v>
      </c>
      <c r="O455">
        <v>0</v>
      </c>
      <c r="P455">
        <v>0</v>
      </c>
      <c r="Q455">
        <v>0</v>
      </c>
      <c r="R455" t="s">
        <v>243</v>
      </c>
    </row>
    <row r="456" spans="1:18" x14ac:dyDescent="0.3">
      <c r="A456" t="s">
        <v>259</v>
      </c>
      <c r="B456" t="s">
        <v>8</v>
      </c>
      <c r="C456" t="s">
        <v>350</v>
      </c>
      <c r="D456" s="8">
        <v>3.8651E-5</v>
      </c>
      <c r="E456" s="8">
        <v>1.26935E-5</v>
      </c>
      <c r="F456" s="8">
        <v>1.07553E-5</v>
      </c>
      <c r="G456" s="8">
        <v>7.4976400000000003E-6</v>
      </c>
      <c r="H456" s="8">
        <v>7.3179800000000004E-6</v>
      </c>
      <c r="I456" s="8">
        <v>7.5099799999999902E-6</v>
      </c>
      <c r="J456" s="8">
        <v>7.37716E-6</v>
      </c>
      <c r="K456" s="8">
        <v>7.2860490000000001E-6</v>
      </c>
      <c r="L456" s="8">
        <v>7.1785500000000001E-6</v>
      </c>
      <c r="M456" s="8">
        <v>7.0406399999999901E-6</v>
      </c>
      <c r="N456" s="8">
        <v>6.9087200000000002E-6</v>
      </c>
      <c r="O456">
        <v>0</v>
      </c>
      <c r="P456">
        <v>0</v>
      </c>
      <c r="Q456">
        <v>0</v>
      </c>
      <c r="R456" t="s">
        <v>243</v>
      </c>
    </row>
    <row r="457" spans="1:18" x14ac:dyDescent="0.3">
      <c r="A457" t="s">
        <v>259</v>
      </c>
      <c r="B457" t="s">
        <v>8</v>
      </c>
      <c r="C457" t="s">
        <v>351</v>
      </c>
      <c r="D457" s="8">
        <v>3.3269299999999997E-5</v>
      </c>
      <c r="E457" s="8">
        <v>1.08456E-5</v>
      </c>
      <c r="F457" s="8">
        <v>9.3467899999999993E-6</v>
      </c>
      <c r="G457" s="8">
        <v>6.6064699999999998E-6</v>
      </c>
      <c r="H457" s="8">
        <v>6.4768000000000004E-6</v>
      </c>
      <c r="I457" s="8">
        <v>6.6279699999999902E-6</v>
      </c>
      <c r="J457" s="8">
        <v>6.4999319999999901E-6</v>
      </c>
      <c r="K457" s="8">
        <v>6.4206960000000001E-6</v>
      </c>
      <c r="L457" s="8">
        <v>6.32859E-6</v>
      </c>
      <c r="M457" s="8">
        <v>6.2063099999999899E-6</v>
      </c>
      <c r="N457" s="8">
        <v>6.0886600000000004E-6</v>
      </c>
      <c r="O457">
        <v>0</v>
      </c>
      <c r="P457">
        <v>0</v>
      </c>
      <c r="Q457">
        <v>0</v>
      </c>
      <c r="R457" t="s">
        <v>243</v>
      </c>
    </row>
    <row r="458" spans="1:18" x14ac:dyDescent="0.3">
      <c r="A458" t="s">
        <v>259</v>
      </c>
      <c r="B458" t="s">
        <v>8</v>
      </c>
      <c r="C458" t="s">
        <v>352</v>
      </c>
      <c r="D458" s="8">
        <v>2.8474099999999999E-5</v>
      </c>
      <c r="E458" s="8">
        <v>9.1114299999999993E-6</v>
      </c>
      <c r="F458" s="8">
        <v>8.0009199999999996E-6</v>
      </c>
      <c r="G458" s="8">
        <v>5.6220999999999999E-6</v>
      </c>
      <c r="H458" s="8">
        <v>5.49907E-6</v>
      </c>
      <c r="I458" s="8">
        <v>5.6277700000000002E-6</v>
      </c>
      <c r="J458" s="8">
        <v>5.5144979999999998E-6</v>
      </c>
      <c r="K458" s="8">
        <v>5.4398419999999999E-6</v>
      </c>
      <c r="L458" s="8">
        <v>5.3572299999999997E-6</v>
      </c>
      <c r="M458" s="8">
        <v>5.249764E-6</v>
      </c>
      <c r="N458" s="8">
        <v>5.1475159999999999E-6</v>
      </c>
      <c r="O458">
        <v>0</v>
      </c>
      <c r="P458">
        <v>0</v>
      </c>
      <c r="Q458">
        <v>0</v>
      </c>
      <c r="R458" t="s">
        <v>243</v>
      </c>
    </row>
    <row r="459" spans="1:18" x14ac:dyDescent="0.3">
      <c r="A459" t="s">
        <v>259</v>
      </c>
      <c r="B459" t="s">
        <v>8</v>
      </c>
      <c r="C459" t="s">
        <v>353</v>
      </c>
      <c r="D459" s="8">
        <v>2.2253099999999999E-5</v>
      </c>
      <c r="E459" s="8">
        <v>7.3749100000000002E-6</v>
      </c>
      <c r="F459" s="8">
        <v>6.4067699999999998E-6</v>
      </c>
      <c r="G459" s="8">
        <v>4.5945200000000004E-6</v>
      </c>
      <c r="H459" s="8">
        <v>4.5129099999999901E-6</v>
      </c>
      <c r="I459" s="8">
        <v>4.6052199999999899E-6</v>
      </c>
      <c r="J459" s="8">
        <v>4.5042570000000001E-6</v>
      </c>
      <c r="K459" s="8">
        <v>4.439866E-6</v>
      </c>
      <c r="L459" s="8">
        <v>4.3684200000000001E-6</v>
      </c>
      <c r="M459" s="8">
        <v>4.2766809999999998E-6</v>
      </c>
      <c r="N459" s="8">
        <v>4.1893080000000001E-6</v>
      </c>
      <c r="O459">
        <v>0</v>
      </c>
      <c r="P459">
        <v>0</v>
      </c>
      <c r="Q459">
        <v>0</v>
      </c>
      <c r="R459" t="s">
        <v>243</v>
      </c>
    </row>
    <row r="460" spans="1:18" x14ac:dyDescent="0.3">
      <c r="A460" t="s">
        <v>259</v>
      </c>
      <c r="B460" t="s">
        <v>8</v>
      </c>
      <c r="C460" t="s">
        <v>294</v>
      </c>
      <c r="D460" s="8">
        <v>4.6947435000000001E-4</v>
      </c>
      <c r="E460" s="8">
        <v>3.77125141E-4</v>
      </c>
      <c r="F460" s="8">
        <v>4.4845115399999997E-4</v>
      </c>
      <c r="G460" s="8">
        <v>4.8473074999999999E-4</v>
      </c>
      <c r="H460" s="8">
        <v>5.4279761799999897E-4</v>
      </c>
      <c r="I460" s="8">
        <v>6.3429200599999895E-4</v>
      </c>
      <c r="J460" s="8">
        <v>7.1697327299999997E-4</v>
      </c>
      <c r="K460" s="8">
        <v>7.6909539199999997E-4</v>
      </c>
      <c r="L460" s="8">
        <v>8.05501577E-4</v>
      </c>
      <c r="M460" s="8">
        <v>8.3379467800000001E-4</v>
      </c>
      <c r="N460" s="8">
        <v>8.5298330599999897E-4</v>
      </c>
      <c r="O460">
        <v>0</v>
      </c>
      <c r="P460">
        <v>0</v>
      </c>
      <c r="Q460">
        <v>0</v>
      </c>
      <c r="R460" t="s">
        <v>243</v>
      </c>
    </row>
    <row r="461" spans="1:18" x14ac:dyDescent="0.3">
      <c r="A461" t="s">
        <v>259</v>
      </c>
      <c r="B461" t="s">
        <v>8</v>
      </c>
      <c r="C461" t="s">
        <v>295</v>
      </c>
      <c r="D461">
        <v>3.0807415999999999E-3</v>
      </c>
      <c r="E461">
        <v>2.9060940599999999E-3</v>
      </c>
      <c r="F461">
        <v>2.78093685E-3</v>
      </c>
      <c r="G461">
        <v>2.6453665300000002E-3</v>
      </c>
      <c r="H461">
        <v>2.58546138999999E-3</v>
      </c>
      <c r="I461">
        <v>2.6279888449999901E-3</v>
      </c>
      <c r="J461">
        <v>2.5758959849999999E-3</v>
      </c>
      <c r="K461">
        <v>2.4702168030000002E-3</v>
      </c>
      <c r="L461">
        <v>2.4160117429999901E-3</v>
      </c>
      <c r="M461">
        <v>2.3521550570000001E-3</v>
      </c>
      <c r="N461">
        <v>2.285181298E-3</v>
      </c>
      <c r="O461">
        <v>0</v>
      </c>
      <c r="P461">
        <v>0</v>
      </c>
      <c r="Q461">
        <v>0</v>
      </c>
      <c r="R461" t="s">
        <v>243</v>
      </c>
    </row>
    <row r="462" spans="1:18" x14ac:dyDescent="0.3">
      <c r="A462" t="s">
        <v>259</v>
      </c>
      <c r="B462" t="s">
        <v>8</v>
      </c>
      <c r="C462" t="s">
        <v>296</v>
      </c>
      <c r="D462" s="8">
        <v>7.7792789E-4</v>
      </c>
      <c r="E462" s="8">
        <v>6.7922925000000003E-4</v>
      </c>
      <c r="F462" s="8">
        <v>8.0730259E-4</v>
      </c>
      <c r="G462" s="8">
        <v>8.5619654000000005E-4</v>
      </c>
      <c r="H462" s="8">
        <v>8.9182790299999995E-4</v>
      </c>
      <c r="I462">
        <v>1.0061177219999899E-3</v>
      </c>
      <c r="J462">
        <v>1.10641101399999E-3</v>
      </c>
      <c r="K462">
        <v>1.1622565180000001E-3</v>
      </c>
      <c r="L462">
        <v>1.201659734E-3</v>
      </c>
      <c r="M462">
        <v>1.2278610749999999E-3</v>
      </c>
      <c r="N462">
        <v>1.2412153990000001E-3</v>
      </c>
      <c r="O462">
        <v>0</v>
      </c>
      <c r="P462">
        <v>0</v>
      </c>
      <c r="Q462">
        <v>0</v>
      </c>
      <c r="R462" t="s">
        <v>243</v>
      </c>
    </row>
    <row r="463" spans="1:18" x14ac:dyDescent="0.3">
      <c r="A463" t="s">
        <v>259</v>
      </c>
      <c r="B463" t="s">
        <v>8</v>
      </c>
      <c r="C463" t="s">
        <v>297</v>
      </c>
      <c r="D463">
        <v>1.03185254E-3</v>
      </c>
      <c r="E463" s="8">
        <v>9.1850164E-4</v>
      </c>
      <c r="F463">
        <v>1.05051307E-3</v>
      </c>
      <c r="G463">
        <v>1.1064476E-3</v>
      </c>
      <c r="H463">
        <v>1.118684924E-3</v>
      </c>
      <c r="I463">
        <v>1.2457120780000001E-3</v>
      </c>
      <c r="J463">
        <v>1.3411847839999999E-3</v>
      </c>
      <c r="K463">
        <v>1.3854092549999901E-3</v>
      </c>
      <c r="L463">
        <v>1.4160920949999999E-3</v>
      </c>
      <c r="M463">
        <v>1.4295255759999999E-3</v>
      </c>
      <c r="N463">
        <v>1.42909295299999E-3</v>
      </c>
      <c r="O463">
        <v>0</v>
      </c>
      <c r="P463">
        <v>0</v>
      </c>
      <c r="Q463">
        <v>0</v>
      </c>
      <c r="R463" t="s">
        <v>243</v>
      </c>
    </row>
    <row r="464" spans="1:18" x14ac:dyDescent="0.3">
      <c r="A464" t="s">
        <v>259</v>
      </c>
      <c r="B464" t="s">
        <v>8</v>
      </c>
      <c r="C464" t="s">
        <v>298</v>
      </c>
      <c r="D464">
        <v>1.21276158E-3</v>
      </c>
      <c r="E464">
        <v>1.1255162399999999E-3</v>
      </c>
      <c r="F464">
        <v>1.2587363099999999E-3</v>
      </c>
      <c r="G464">
        <v>1.3058355200000001E-3</v>
      </c>
      <c r="H464">
        <v>1.2970714970000001E-3</v>
      </c>
      <c r="I464">
        <v>1.420872034E-3</v>
      </c>
      <c r="J464">
        <v>1.5104965209999999E-3</v>
      </c>
      <c r="K464">
        <v>1.54260251E-3</v>
      </c>
      <c r="L464">
        <v>1.56498068899999E-3</v>
      </c>
      <c r="M464">
        <v>1.57060068099999E-3</v>
      </c>
      <c r="N464">
        <v>1.5621108460000001E-3</v>
      </c>
      <c r="O464">
        <v>0</v>
      </c>
      <c r="P464">
        <v>0</v>
      </c>
      <c r="Q464">
        <v>0</v>
      </c>
      <c r="R464" t="s">
        <v>243</v>
      </c>
    </row>
    <row r="465" spans="1:18" x14ac:dyDescent="0.3">
      <c r="A465" t="s">
        <v>259</v>
      </c>
      <c r="B465" t="s">
        <v>8</v>
      </c>
      <c r="C465" t="s">
        <v>299</v>
      </c>
      <c r="D465">
        <v>1.3929451399999999E-3</v>
      </c>
      <c r="E465">
        <v>1.33355504E-3</v>
      </c>
      <c r="F465">
        <v>1.4443786299999999E-3</v>
      </c>
      <c r="G465">
        <v>1.4873813800000001E-3</v>
      </c>
      <c r="H465">
        <v>1.454068812E-3</v>
      </c>
      <c r="I465">
        <v>1.580059692E-3</v>
      </c>
      <c r="J465">
        <v>1.660756215E-3</v>
      </c>
      <c r="K465">
        <v>1.6784566889999999E-3</v>
      </c>
      <c r="L465">
        <v>1.6908928499999999E-3</v>
      </c>
      <c r="M465">
        <v>1.6838352069999899E-3</v>
      </c>
      <c r="N465">
        <v>1.66488436599999E-3</v>
      </c>
      <c r="O465">
        <v>0</v>
      </c>
      <c r="P465">
        <v>0</v>
      </c>
      <c r="Q465">
        <v>0</v>
      </c>
      <c r="R465" t="s">
        <v>243</v>
      </c>
    </row>
    <row r="466" spans="1:18" x14ac:dyDescent="0.3">
      <c r="A466" t="s">
        <v>259</v>
      </c>
      <c r="B466" t="s">
        <v>8</v>
      </c>
      <c r="C466" t="s">
        <v>300</v>
      </c>
      <c r="D466">
        <v>1.59352747E-3</v>
      </c>
      <c r="E466">
        <v>1.53766514E-3</v>
      </c>
      <c r="F466">
        <v>1.6170917E-3</v>
      </c>
      <c r="G466">
        <v>1.6507653000000001E-3</v>
      </c>
      <c r="H466">
        <v>1.6079164749999899E-3</v>
      </c>
      <c r="I466">
        <v>1.731709405E-3</v>
      </c>
      <c r="J466">
        <v>1.7991097519999999E-3</v>
      </c>
      <c r="K466">
        <v>1.7981434440000001E-3</v>
      </c>
      <c r="L466">
        <v>1.798192961E-3</v>
      </c>
      <c r="M466">
        <v>1.781108916E-3</v>
      </c>
      <c r="N466">
        <v>1.7526829470000001E-3</v>
      </c>
      <c r="O466">
        <v>0</v>
      </c>
      <c r="P466">
        <v>0</v>
      </c>
      <c r="Q466">
        <v>0</v>
      </c>
      <c r="R466" t="s">
        <v>243</v>
      </c>
    </row>
    <row r="467" spans="1:18" x14ac:dyDescent="0.3">
      <c r="A467" t="s">
        <v>259</v>
      </c>
      <c r="B467" t="s">
        <v>8</v>
      </c>
      <c r="C467" t="s">
        <v>301</v>
      </c>
      <c r="D467">
        <v>1.8183356700000001E-3</v>
      </c>
      <c r="E467">
        <v>1.7424782899999999E-3</v>
      </c>
      <c r="F467">
        <v>1.7927983000000001E-3</v>
      </c>
      <c r="G467">
        <v>1.79813022E-3</v>
      </c>
      <c r="H467">
        <v>1.7651990999999899E-3</v>
      </c>
      <c r="I467">
        <v>1.8775263159999901E-3</v>
      </c>
      <c r="J467">
        <v>1.92764364199999E-3</v>
      </c>
      <c r="K467">
        <v>1.912473595E-3</v>
      </c>
      <c r="L467">
        <v>1.903919699E-3</v>
      </c>
      <c r="M467">
        <v>1.8770809509999901E-3</v>
      </c>
      <c r="N467">
        <v>1.8399833869999899E-3</v>
      </c>
      <c r="O467">
        <v>0</v>
      </c>
      <c r="P467">
        <v>0</v>
      </c>
      <c r="Q467">
        <v>0</v>
      </c>
      <c r="R467" t="s">
        <v>243</v>
      </c>
    </row>
    <row r="468" spans="1:18" x14ac:dyDescent="0.3">
      <c r="A468" t="s">
        <v>259</v>
      </c>
      <c r="B468" t="s">
        <v>8</v>
      </c>
      <c r="C468" t="s">
        <v>302</v>
      </c>
      <c r="D468">
        <v>2.0634326899999999E-3</v>
      </c>
      <c r="E468">
        <v>1.9739591299999999E-3</v>
      </c>
      <c r="F468">
        <v>1.9864388099999999E-3</v>
      </c>
      <c r="G468">
        <v>1.9819985100000001E-3</v>
      </c>
      <c r="H468">
        <v>1.93280416999999E-3</v>
      </c>
      <c r="I468">
        <v>2.0393720430000001E-3</v>
      </c>
      <c r="J468">
        <v>2.0699296800000002E-3</v>
      </c>
      <c r="K468">
        <v>2.0320836119999998E-3</v>
      </c>
      <c r="L468">
        <v>2.0107018880000001E-3</v>
      </c>
      <c r="M468">
        <v>1.972590153E-3</v>
      </c>
      <c r="N468">
        <v>1.9267312089999999E-3</v>
      </c>
      <c r="O468">
        <v>0</v>
      </c>
      <c r="P468">
        <v>0</v>
      </c>
      <c r="Q468">
        <v>0</v>
      </c>
      <c r="R468" t="s">
        <v>243</v>
      </c>
    </row>
    <row r="469" spans="1:18" x14ac:dyDescent="0.3">
      <c r="A469" t="s">
        <v>259</v>
      </c>
      <c r="B469" t="s">
        <v>8</v>
      </c>
      <c r="C469" t="s">
        <v>303</v>
      </c>
      <c r="D469">
        <v>2.4655699999999998E-3</v>
      </c>
      <c r="E469">
        <v>2.2523668200000002E-3</v>
      </c>
      <c r="F469">
        <v>2.2529669899999999E-3</v>
      </c>
      <c r="G469">
        <v>2.19846559E-3</v>
      </c>
      <c r="H469">
        <v>2.1526870599999901E-3</v>
      </c>
      <c r="I469">
        <v>2.236389243E-3</v>
      </c>
      <c r="J469">
        <v>2.2370071429999899E-3</v>
      </c>
      <c r="K469">
        <v>2.174248581E-3</v>
      </c>
      <c r="L469">
        <v>2.1386222339999901E-3</v>
      </c>
      <c r="M469">
        <v>2.0886752359999998E-3</v>
      </c>
      <c r="N469">
        <v>2.0333511819999998E-3</v>
      </c>
      <c r="O469">
        <v>0</v>
      </c>
      <c r="P469">
        <v>0</v>
      </c>
      <c r="Q469">
        <v>0</v>
      </c>
      <c r="R469" t="s">
        <v>243</v>
      </c>
    </row>
    <row r="470" spans="1:18" x14ac:dyDescent="0.3">
      <c r="A470" t="s">
        <v>259</v>
      </c>
      <c r="B470" t="s">
        <v>8</v>
      </c>
      <c r="C470" t="s">
        <v>304</v>
      </c>
      <c r="D470" s="8">
        <v>9.8921600000000001E-4</v>
      </c>
      <c r="E470" s="8">
        <v>7.8944200000000001E-4</v>
      </c>
      <c r="F470">
        <v>1.0056799999999999E-3</v>
      </c>
      <c r="G470">
        <v>1.0452300000000001E-3</v>
      </c>
      <c r="H470">
        <v>1.1356249999999999E-3</v>
      </c>
      <c r="I470">
        <v>1.1965739999999999E-3</v>
      </c>
      <c r="J470">
        <v>1.202013E-3</v>
      </c>
      <c r="K470">
        <v>1.2024900000000001E-3</v>
      </c>
      <c r="L470">
        <v>1.1931709999999901E-3</v>
      </c>
      <c r="M470">
        <v>1.1751610000000001E-3</v>
      </c>
      <c r="N470">
        <v>1.1554109999999901E-3</v>
      </c>
      <c r="O470">
        <v>0</v>
      </c>
      <c r="P470">
        <v>0</v>
      </c>
      <c r="Q470">
        <v>0</v>
      </c>
      <c r="R470" t="s">
        <v>243</v>
      </c>
    </row>
    <row r="471" spans="1:18" x14ac:dyDescent="0.3">
      <c r="A471" t="s">
        <v>259</v>
      </c>
      <c r="B471" t="s">
        <v>8</v>
      </c>
      <c r="C471" t="s">
        <v>305</v>
      </c>
      <c r="D471">
        <v>2.2913899999999999E-3</v>
      </c>
      <c r="E471">
        <v>2.0610899999999998E-3</v>
      </c>
      <c r="F471">
        <v>2.3424700000000001E-3</v>
      </c>
      <c r="G471">
        <v>2.3339099999999998E-3</v>
      </c>
      <c r="H471">
        <v>2.3054529999999998E-3</v>
      </c>
      <c r="I471">
        <v>2.3479219999999901E-3</v>
      </c>
      <c r="J471">
        <v>2.2905220000000001E-3</v>
      </c>
      <c r="K471">
        <v>2.2515159999999998E-3</v>
      </c>
      <c r="L471">
        <v>2.2120949999999999E-3</v>
      </c>
      <c r="M471">
        <v>2.1638780000000002E-3</v>
      </c>
      <c r="N471">
        <v>2.1181080000000001E-3</v>
      </c>
      <c r="O471">
        <v>0</v>
      </c>
      <c r="P471">
        <v>0</v>
      </c>
      <c r="Q471">
        <v>0</v>
      </c>
      <c r="R471" t="s">
        <v>243</v>
      </c>
    </row>
    <row r="472" spans="1:18" x14ac:dyDescent="0.3">
      <c r="A472" t="s">
        <v>259</v>
      </c>
      <c r="B472" t="s">
        <v>8</v>
      </c>
      <c r="C472" t="s">
        <v>306</v>
      </c>
      <c r="D472">
        <v>1.3134799999999999E-3</v>
      </c>
      <c r="E472">
        <v>1.1001800000000001E-3</v>
      </c>
      <c r="F472">
        <v>1.3503199999999999E-3</v>
      </c>
      <c r="G472">
        <v>1.37367E-3</v>
      </c>
      <c r="H472">
        <v>1.3911959999999999E-3</v>
      </c>
      <c r="I472">
        <v>1.4412769999999999E-3</v>
      </c>
      <c r="J472">
        <v>1.4289929999999999E-3</v>
      </c>
      <c r="K472">
        <v>1.420099E-3</v>
      </c>
      <c r="L472">
        <v>1.4051070000000001E-3</v>
      </c>
      <c r="M472">
        <v>1.382288E-3</v>
      </c>
      <c r="N472">
        <v>1.3591739999999899E-3</v>
      </c>
      <c r="O472">
        <v>0</v>
      </c>
      <c r="P472">
        <v>0</v>
      </c>
      <c r="Q472">
        <v>0</v>
      </c>
      <c r="R472" t="s">
        <v>243</v>
      </c>
    </row>
    <row r="473" spans="1:18" x14ac:dyDescent="0.3">
      <c r="A473" t="s">
        <v>259</v>
      </c>
      <c r="B473" t="s">
        <v>8</v>
      </c>
      <c r="C473" t="s">
        <v>307</v>
      </c>
      <c r="D473">
        <v>1.49814E-3</v>
      </c>
      <c r="E473">
        <v>1.26409E-3</v>
      </c>
      <c r="F473">
        <v>1.50779E-3</v>
      </c>
      <c r="G473">
        <v>1.52779E-3</v>
      </c>
      <c r="H473">
        <v>1.5178639999999901E-3</v>
      </c>
      <c r="I473">
        <v>1.5674969999999999E-3</v>
      </c>
      <c r="J473">
        <v>1.546305E-3</v>
      </c>
      <c r="K473">
        <v>1.5326839999999899E-3</v>
      </c>
      <c r="L473">
        <v>1.513932E-3</v>
      </c>
      <c r="M473">
        <v>1.4867050000000001E-3</v>
      </c>
      <c r="N473">
        <v>1.459597E-3</v>
      </c>
      <c r="O473">
        <v>0</v>
      </c>
      <c r="P473">
        <v>0</v>
      </c>
      <c r="Q473">
        <v>0</v>
      </c>
      <c r="R473" t="s">
        <v>243</v>
      </c>
    </row>
    <row r="474" spans="1:18" x14ac:dyDescent="0.3">
      <c r="A474" t="s">
        <v>259</v>
      </c>
      <c r="B474" t="s">
        <v>8</v>
      </c>
      <c r="C474" t="s">
        <v>308</v>
      </c>
      <c r="D474">
        <v>1.6024699999999999E-3</v>
      </c>
      <c r="E474">
        <v>1.3742699999999999E-3</v>
      </c>
      <c r="F474">
        <v>1.6194099999999999E-3</v>
      </c>
      <c r="G474">
        <v>1.63357E-3</v>
      </c>
      <c r="H474">
        <v>1.608387E-3</v>
      </c>
      <c r="I474">
        <v>1.6537730000000001E-3</v>
      </c>
      <c r="J474">
        <v>1.6286359999999999E-3</v>
      </c>
      <c r="K474">
        <v>1.612612E-3</v>
      </c>
      <c r="L474">
        <v>1.5919059999999999E-3</v>
      </c>
      <c r="M474">
        <v>1.563788E-3</v>
      </c>
      <c r="N474">
        <v>1.5361239999999901E-3</v>
      </c>
      <c r="O474">
        <v>0</v>
      </c>
      <c r="P474">
        <v>0</v>
      </c>
      <c r="Q474">
        <v>0</v>
      </c>
      <c r="R474" t="s">
        <v>243</v>
      </c>
    </row>
    <row r="475" spans="1:18" x14ac:dyDescent="0.3">
      <c r="A475" t="s">
        <v>259</v>
      </c>
      <c r="B475" t="s">
        <v>8</v>
      </c>
      <c r="C475" t="s">
        <v>309</v>
      </c>
      <c r="D475">
        <v>1.6913900000000001E-3</v>
      </c>
      <c r="E475">
        <v>1.4675000000000001E-3</v>
      </c>
      <c r="F475">
        <v>1.7089E-3</v>
      </c>
      <c r="G475">
        <v>1.7232199999999999E-3</v>
      </c>
      <c r="H475">
        <v>1.6845849999999999E-3</v>
      </c>
      <c r="I475">
        <v>1.7307189999999999E-3</v>
      </c>
      <c r="J475">
        <v>1.7024239999999999E-3</v>
      </c>
      <c r="K475">
        <v>1.6842249999999999E-3</v>
      </c>
      <c r="L475">
        <v>1.661479E-3</v>
      </c>
      <c r="M475">
        <v>1.630128E-3</v>
      </c>
      <c r="N475">
        <v>1.600359E-3</v>
      </c>
      <c r="O475">
        <v>0</v>
      </c>
      <c r="P475">
        <v>0</v>
      </c>
      <c r="Q475">
        <v>0</v>
      </c>
      <c r="R475" t="s">
        <v>243</v>
      </c>
    </row>
    <row r="476" spans="1:18" x14ac:dyDescent="0.3">
      <c r="A476" t="s">
        <v>259</v>
      </c>
      <c r="B476" t="s">
        <v>8</v>
      </c>
      <c r="C476" t="s">
        <v>310</v>
      </c>
      <c r="D476">
        <v>1.7781800000000001E-3</v>
      </c>
      <c r="E476">
        <v>1.5487400000000001E-3</v>
      </c>
      <c r="F476">
        <v>1.7874E-3</v>
      </c>
      <c r="G476">
        <v>1.8013700000000001E-3</v>
      </c>
      <c r="H476">
        <v>1.7584510000000001E-3</v>
      </c>
      <c r="I476">
        <v>1.8045769999999999E-3</v>
      </c>
      <c r="J476">
        <v>1.77264E-3</v>
      </c>
      <c r="K476">
        <v>1.7507479999999899E-3</v>
      </c>
      <c r="L476">
        <v>1.724918E-3</v>
      </c>
      <c r="M476">
        <v>1.691779E-3</v>
      </c>
      <c r="N476">
        <v>1.66008E-3</v>
      </c>
      <c r="O476">
        <v>0</v>
      </c>
      <c r="P476">
        <v>0</v>
      </c>
      <c r="Q476">
        <v>0</v>
      </c>
      <c r="R476" t="s">
        <v>243</v>
      </c>
    </row>
    <row r="477" spans="1:18" x14ac:dyDescent="0.3">
      <c r="A477" t="s">
        <v>259</v>
      </c>
      <c r="B477" t="s">
        <v>8</v>
      </c>
      <c r="C477" t="s">
        <v>311</v>
      </c>
      <c r="D477">
        <v>1.86521E-3</v>
      </c>
      <c r="E477">
        <v>1.6244499999999999E-3</v>
      </c>
      <c r="F477">
        <v>1.86495E-3</v>
      </c>
      <c r="G477">
        <v>1.87144E-3</v>
      </c>
      <c r="H477">
        <v>1.834776E-3</v>
      </c>
      <c r="I477">
        <v>1.8775739999999999E-3</v>
      </c>
      <c r="J477">
        <v>1.8412820000000001E-3</v>
      </c>
      <c r="K477">
        <v>1.818832E-3</v>
      </c>
      <c r="L477">
        <v>1.792739E-3</v>
      </c>
      <c r="M477">
        <v>1.758101E-3</v>
      </c>
      <c r="N477">
        <v>1.724775E-3</v>
      </c>
      <c r="O477">
        <v>0</v>
      </c>
      <c r="P477">
        <v>0</v>
      </c>
      <c r="Q477">
        <v>0</v>
      </c>
      <c r="R477" t="s">
        <v>243</v>
      </c>
    </row>
    <row r="478" spans="1:18" x14ac:dyDescent="0.3">
      <c r="A478" t="s">
        <v>259</v>
      </c>
      <c r="B478" t="s">
        <v>8</v>
      </c>
      <c r="C478" t="s">
        <v>312</v>
      </c>
      <c r="D478">
        <v>1.9523699999999999E-3</v>
      </c>
      <c r="E478">
        <v>1.70667E-3</v>
      </c>
      <c r="F478">
        <v>1.9498899999999999E-3</v>
      </c>
      <c r="G478">
        <v>1.9602E-3</v>
      </c>
      <c r="H478">
        <v>1.9172949999999901E-3</v>
      </c>
      <c r="I478">
        <v>1.9621349999999998E-3</v>
      </c>
      <c r="J478">
        <v>1.9226169999999999E-3</v>
      </c>
      <c r="K478">
        <v>1.8965919999999999E-3</v>
      </c>
      <c r="L478">
        <v>1.867786E-3</v>
      </c>
      <c r="M478">
        <v>1.8303200000000001E-3</v>
      </c>
      <c r="N478">
        <v>1.7946710000000001E-3</v>
      </c>
      <c r="O478">
        <v>0</v>
      </c>
      <c r="P478">
        <v>0</v>
      </c>
      <c r="Q478">
        <v>0</v>
      </c>
      <c r="R478" t="s">
        <v>243</v>
      </c>
    </row>
    <row r="479" spans="1:18" x14ac:dyDescent="0.3">
      <c r="A479" t="s">
        <v>259</v>
      </c>
      <c r="B479" t="s">
        <v>8</v>
      </c>
      <c r="C479" t="s">
        <v>313</v>
      </c>
      <c r="D479">
        <v>2.0866999999999999E-3</v>
      </c>
      <c r="E479">
        <v>1.80503E-3</v>
      </c>
      <c r="F479">
        <v>2.0698299999999999E-3</v>
      </c>
      <c r="G479">
        <v>2.0697100000000002E-3</v>
      </c>
      <c r="H479">
        <v>2.0329229999999998E-3</v>
      </c>
      <c r="I479">
        <v>2.0744700000000001E-3</v>
      </c>
      <c r="J479">
        <v>2.0289649999999898E-3</v>
      </c>
      <c r="K479">
        <v>1.9999549999999999E-3</v>
      </c>
      <c r="L479">
        <v>1.9677779999999999E-3</v>
      </c>
      <c r="M479">
        <v>1.9264499999999999E-3</v>
      </c>
      <c r="N479">
        <v>1.887091E-3</v>
      </c>
      <c r="O479">
        <v>0</v>
      </c>
      <c r="P479">
        <v>0</v>
      </c>
      <c r="Q479">
        <v>0</v>
      </c>
      <c r="R479" t="s">
        <v>243</v>
      </c>
    </row>
    <row r="480" spans="1:18" x14ac:dyDescent="0.3">
      <c r="A480" t="s">
        <v>259</v>
      </c>
      <c r="B480" t="s">
        <v>8</v>
      </c>
      <c r="C480" t="s">
        <v>314</v>
      </c>
      <c r="D480" s="8">
        <v>1.07254E-4</v>
      </c>
      <c r="E480" s="8">
        <v>8.5783899999999997E-5</v>
      </c>
      <c r="F480" s="8">
        <v>1.1302300000000001E-4</v>
      </c>
      <c r="G480" s="8">
        <v>1.19745E-4</v>
      </c>
      <c r="H480" s="8">
        <v>1.3420399999999999E-4</v>
      </c>
      <c r="I480" s="8">
        <v>1.4111399999999999E-4</v>
      </c>
      <c r="J480" s="8">
        <v>1.4375100000000001E-4</v>
      </c>
      <c r="K480" s="8">
        <v>1.4373500000000001E-4</v>
      </c>
      <c r="L480" s="8">
        <v>1.4182499999999999E-4</v>
      </c>
      <c r="M480" s="8">
        <v>1.3891700000000001E-4</v>
      </c>
      <c r="N480" s="8">
        <v>1.35399E-4</v>
      </c>
      <c r="O480">
        <v>0</v>
      </c>
      <c r="P480">
        <v>0</v>
      </c>
      <c r="Q480">
        <v>0</v>
      </c>
      <c r="R480" t="s">
        <v>243</v>
      </c>
    </row>
    <row r="481" spans="1:18" x14ac:dyDescent="0.3">
      <c r="A481" t="s">
        <v>259</v>
      </c>
      <c r="B481" t="s">
        <v>8</v>
      </c>
      <c r="C481" t="s">
        <v>315</v>
      </c>
      <c r="D481" s="8">
        <v>3.0099400000000001E-4</v>
      </c>
      <c r="E481" s="8">
        <v>2.6731500000000001E-4</v>
      </c>
      <c r="F481" s="8">
        <v>3.00036E-4</v>
      </c>
      <c r="G481" s="8">
        <v>2.9742599999999999E-4</v>
      </c>
      <c r="H481" s="8">
        <v>2.8715899999999999E-4</v>
      </c>
      <c r="I481" s="8">
        <v>2.87707E-4</v>
      </c>
      <c r="J481" s="8">
        <v>2.8049900000000003E-4</v>
      </c>
      <c r="K481" s="8">
        <v>2.7234900000000002E-4</v>
      </c>
      <c r="L481" s="8">
        <v>2.64632E-4</v>
      </c>
      <c r="M481" s="8">
        <v>2.5677600000000001E-4</v>
      </c>
      <c r="N481" s="8">
        <v>2.4871099999999998E-4</v>
      </c>
      <c r="O481">
        <v>0</v>
      </c>
      <c r="P481">
        <v>0</v>
      </c>
      <c r="Q481">
        <v>0</v>
      </c>
      <c r="R481" t="s">
        <v>243</v>
      </c>
    </row>
    <row r="482" spans="1:18" x14ac:dyDescent="0.3">
      <c r="A482" t="s">
        <v>259</v>
      </c>
      <c r="B482" t="s">
        <v>8</v>
      </c>
      <c r="C482" t="s">
        <v>316</v>
      </c>
      <c r="D482" s="8">
        <v>1.5264799999999999E-4</v>
      </c>
      <c r="E482" s="8">
        <v>1.2888E-4</v>
      </c>
      <c r="F482" s="8">
        <v>1.63101E-4</v>
      </c>
      <c r="G482" s="8">
        <v>1.6793600000000001E-4</v>
      </c>
      <c r="H482" s="8">
        <v>1.7085599999999999E-4</v>
      </c>
      <c r="I482" s="8">
        <v>1.7514200000000001E-4</v>
      </c>
      <c r="J482" s="8">
        <v>1.7437600000000001E-4</v>
      </c>
      <c r="K482" s="8">
        <v>1.7160499999999999E-4</v>
      </c>
      <c r="L482" s="8">
        <v>1.68052E-4</v>
      </c>
      <c r="M482" s="8">
        <v>1.64005E-4</v>
      </c>
      <c r="N482" s="8">
        <v>1.5959599999999999E-4</v>
      </c>
      <c r="O482">
        <v>0</v>
      </c>
      <c r="P482">
        <v>0</v>
      </c>
      <c r="Q482">
        <v>0</v>
      </c>
      <c r="R482" t="s">
        <v>243</v>
      </c>
    </row>
    <row r="483" spans="1:18" x14ac:dyDescent="0.3">
      <c r="A483" t="s">
        <v>259</v>
      </c>
      <c r="B483" t="s">
        <v>8</v>
      </c>
      <c r="C483" t="s">
        <v>317</v>
      </c>
      <c r="D483" s="8">
        <v>1.81287E-4</v>
      </c>
      <c r="E483" s="8">
        <v>1.5398399999999999E-4</v>
      </c>
      <c r="F483" s="8">
        <v>1.8715999999999999E-4</v>
      </c>
      <c r="G483" s="8">
        <v>1.9092499999999999E-4</v>
      </c>
      <c r="H483" s="8">
        <v>1.8808299999999999E-4</v>
      </c>
      <c r="I483" s="8">
        <v>1.9161100000000001E-4</v>
      </c>
      <c r="J483" s="8">
        <v>1.8921399999999999E-4</v>
      </c>
      <c r="K483" s="8">
        <v>1.8537100000000001E-4</v>
      </c>
      <c r="L483" s="8">
        <v>1.8112099999999999E-4</v>
      </c>
      <c r="M483" s="8">
        <v>1.76417E-4</v>
      </c>
      <c r="N483" s="8">
        <v>1.7139100000000001E-4</v>
      </c>
      <c r="O483">
        <v>0</v>
      </c>
      <c r="P483">
        <v>0</v>
      </c>
      <c r="Q483">
        <v>0</v>
      </c>
      <c r="R483" t="s">
        <v>243</v>
      </c>
    </row>
    <row r="484" spans="1:18" x14ac:dyDescent="0.3">
      <c r="A484" t="s">
        <v>259</v>
      </c>
      <c r="B484" t="s">
        <v>8</v>
      </c>
      <c r="C484" t="s">
        <v>318</v>
      </c>
      <c r="D484" s="8">
        <v>1.9817500000000001E-4</v>
      </c>
      <c r="E484" s="8">
        <v>1.71352E-4</v>
      </c>
      <c r="F484" s="8">
        <v>2.03907E-4</v>
      </c>
      <c r="G484" s="8">
        <v>2.0614900000000001E-4</v>
      </c>
      <c r="H484" s="8">
        <v>1.99903E-4</v>
      </c>
      <c r="I484" s="8">
        <v>2.0247599999999999E-4</v>
      </c>
      <c r="J484" s="8">
        <v>1.9941499999999999E-4</v>
      </c>
      <c r="K484" s="8">
        <v>1.9506300000000001E-4</v>
      </c>
      <c r="L484" s="8">
        <v>1.9045100000000001E-4</v>
      </c>
      <c r="M484" s="8">
        <v>1.8557E-4</v>
      </c>
      <c r="N484" s="8">
        <v>1.80378E-4</v>
      </c>
      <c r="O484">
        <v>0</v>
      </c>
      <c r="P484">
        <v>0</v>
      </c>
      <c r="Q484">
        <v>0</v>
      </c>
      <c r="R484" t="s">
        <v>243</v>
      </c>
    </row>
    <row r="485" spans="1:18" x14ac:dyDescent="0.3">
      <c r="A485" t="s">
        <v>259</v>
      </c>
      <c r="B485" t="s">
        <v>8</v>
      </c>
      <c r="C485" t="s">
        <v>319</v>
      </c>
      <c r="D485" s="8">
        <v>2.12738E-4</v>
      </c>
      <c r="E485" s="8">
        <v>1.8592399999999999E-4</v>
      </c>
      <c r="F485" s="8">
        <v>2.1686200000000001E-4</v>
      </c>
      <c r="G485" s="8">
        <v>2.1856100000000001E-4</v>
      </c>
      <c r="H485" s="8">
        <v>2.09619E-4</v>
      </c>
      <c r="I485" s="8">
        <v>2.12019E-4</v>
      </c>
      <c r="J485" s="8">
        <v>2.08493E-4</v>
      </c>
      <c r="K485" s="8">
        <v>2.03728E-4</v>
      </c>
      <c r="L485" s="8">
        <v>1.9877299999999999E-4</v>
      </c>
      <c r="M485" s="8">
        <v>1.9344300000000001E-4</v>
      </c>
      <c r="N485" s="8">
        <v>1.8792E-4</v>
      </c>
      <c r="O485">
        <v>0</v>
      </c>
      <c r="P485">
        <v>0</v>
      </c>
      <c r="Q485">
        <v>0</v>
      </c>
      <c r="R485" t="s">
        <v>243</v>
      </c>
    </row>
    <row r="486" spans="1:18" x14ac:dyDescent="0.3">
      <c r="A486" t="s">
        <v>259</v>
      </c>
      <c r="B486" t="s">
        <v>8</v>
      </c>
      <c r="C486" t="s">
        <v>320</v>
      </c>
      <c r="D486" s="8">
        <v>2.26856E-4</v>
      </c>
      <c r="E486" s="8">
        <v>1.9823200000000001E-4</v>
      </c>
      <c r="F486" s="8">
        <v>2.2782100000000001E-4</v>
      </c>
      <c r="G486" s="8">
        <v>2.29044E-4</v>
      </c>
      <c r="H486" s="8">
        <v>2.1892600000000001E-4</v>
      </c>
      <c r="I486" s="8">
        <v>2.2111200000000001E-4</v>
      </c>
      <c r="J486" s="8">
        <v>2.1710300000000001E-4</v>
      </c>
      <c r="K486" s="8">
        <v>2.1177199999999999E-4</v>
      </c>
      <c r="L486" s="8">
        <v>2.0635799999999999E-4</v>
      </c>
      <c r="M486" s="8">
        <v>2.0076E-4</v>
      </c>
      <c r="N486" s="8">
        <v>1.9493099999999999E-4</v>
      </c>
      <c r="O486">
        <v>0</v>
      </c>
      <c r="P486">
        <v>0</v>
      </c>
      <c r="Q486">
        <v>0</v>
      </c>
      <c r="R486" t="s">
        <v>243</v>
      </c>
    </row>
    <row r="487" spans="1:18" x14ac:dyDescent="0.3">
      <c r="A487" t="s">
        <v>259</v>
      </c>
      <c r="B487" t="s">
        <v>8</v>
      </c>
      <c r="C487" t="s">
        <v>321</v>
      </c>
      <c r="D487" s="8">
        <v>2.40664E-4</v>
      </c>
      <c r="E487" s="8">
        <v>2.0924100000000001E-4</v>
      </c>
      <c r="F487" s="8">
        <v>2.3831500000000001E-4</v>
      </c>
      <c r="G487" s="8">
        <v>2.3824100000000001E-4</v>
      </c>
      <c r="H487" s="8">
        <v>2.2848899999999999E-4</v>
      </c>
      <c r="I487" s="8">
        <v>2.3007099999999999E-4</v>
      </c>
      <c r="J487" s="8">
        <v>2.25503E-4</v>
      </c>
      <c r="K487" s="8">
        <v>2.20013E-4</v>
      </c>
      <c r="L487" s="8">
        <v>2.1447299999999999E-4</v>
      </c>
      <c r="M487" s="8">
        <v>2.0862800000000001E-4</v>
      </c>
      <c r="N487" s="8">
        <v>2.02528E-4</v>
      </c>
      <c r="O487">
        <v>0</v>
      </c>
      <c r="P487">
        <v>0</v>
      </c>
      <c r="Q487">
        <v>0</v>
      </c>
      <c r="R487" t="s">
        <v>243</v>
      </c>
    </row>
    <row r="488" spans="1:18" x14ac:dyDescent="0.3">
      <c r="A488" t="s">
        <v>259</v>
      </c>
      <c r="B488" t="s">
        <v>8</v>
      </c>
      <c r="C488" t="s">
        <v>322</v>
      </c>
      <c r="D488" s="8">
        <v>2.5395499999999999E-4</v>
      </c>
      <c r="E488" s="8">
        <v>2.20702E-4</v>
      </c>
      <c r="F488" s="8">
        <v>2.4952600000000002E-4</v>
      </c>
      <c r="G488" s="8">
        <v>2.4971599999999998E-4</v>
      </c>
      <c r="H488" s="8">
        <v>2.3877699999999999E-4</v>
      </c>
      <c r="I488" s="8">
        <v>2.4043400000000001E-4</v>
      </c>
      <c r="J488" s="8">
        <v>2.3546799999999999E-4</v>
      </c>
      <c r="K488" s="8">
        <v>2.2941500000000001E-4</v>
      </c>
      <c r="L488" s="8">
        <v>2.2344899999999999E-4</v>
      </c>
      <c r="M488" s="8">
        <v>2.1719799999999999E-4</v>
      </c>
      <c r="N488" s="8">
        <v>2.1073399999999999E-4</v>
      </c>
      <c r="O488">
        <v>0</v>
      </c>
      <c r="P488">
        <v>0</v>
      </c>
      <c r="Q488">
        <v>0</v>
      </c>
      <c r="R488" t="s">
        <v>243</v>
      </c>
    </row>
    <row r="489" spans="1:18" x14ac:dyDescent="0.3">
      <c r="A489" t="s">
        <v>259</v>
      </c>
      <c r="B489" t="s">
        <v>8</v>
      </c>
      <c r="C489" t="s">
        <v>323</v>
      </c>
      <c r="D489" s="8">
        <v>2.7330200000000001E-4</v>
      </c>
      <c r="E489" s="8">
        <v>2.33911E-4</v>
      </c>
      <c r="F489" s="8">
        <v>2.6506700000000002E-4</v>
      </c>
      <c r="G489" s="8">
        <v>2.6374100000000001E-4</v>
      </c>
      <c r="H489" s="8">
        <v>2.5319600000000002E-4</v>
      </c>
      <c r="I489" s="8">
        <v>2.5419599999999999E-4</v>
      </c>
      <c r="J489" s="8">
        <v>2.4848200000000001E-4</v>
      </c>
      <c r="K489" s="8">
        <v>2.41921E-4</v>
      </c>
      <c r="L489" s="8">
        <v>2.3540799999999999E-4</v>
      </c>
      <c r="M489" s="8">
        <v>2.2860299999999999E-4</v>
      </c>
      <c r="N489" s="8">
        <v>2.2158599999999999E-4</v>
      </c>
      <c r="O489">
        <v>0</v>
      </c>
      <c r="P489">
        <v>0</v>
      </c>
      <c r="Q489">
        <v>0</v>
      </c>
      <c r="R489" t="s">
        <v>243</v>
      </c>
    </row>
    <row r="490" spans="1:18" x14ac:dyDescent="0.3">
      <c r="A490" t="s">
        <v>259</v>
      </c>
      <c r="B490" t="s">
        <v>30</v>
      </c>
      <c r="C490" t="s">
        <v>261</v>
      </c>
      <c r="D490" s="8">
        <v>6.6237649999999996E-4</v>
      </c>
      <c r="E490">
        <v>1.4139796999999999E-3</v>
      </c>
      <c r="F490">
        <v>1.7611387999999901E-3</v>
      </c>
      <c r="G490">
        <v>1.7893E-3</v>
      </c>
      <c r="H490">
        <v>1.75182484E-3</v>
      </c>
      <c r="I490">
        <v>2.0068082300000001E-3</v>
      </c>
      <c r="J490">
        <v>2.0034542800000002E-3</v>
      </c>
      <c r="K490">
        <v>1.9771319499999902E-3</v>
      </c>
      <c r="L490">
        <v>1.8974123100000001E-3</v>
      </c>
      <c r="M490">
        <v>1.7830507400000001E-3</v>
      </c>
      <c r="N490">
        <v>1.67100629E-3</v>
      </c>
      <c r="O490">
        <v>0</v>
      </c>
      <c r="P490">
        <v>0</v>
      </c>
      <c r="Q490">
        <v>0</v>
      </c>
      <c r="R490" t="s">
        <v>243</v>
      </c>
    </row>
    <row r="491" spans="1:18" x14ac:dyDescent="0.3">
      <c r="A491" t="s">
        <v>259</v>
      </c>
      <c r="B491" t="s">
        <v>30</v>
      </c>
      <c r="C491" t="s">
        <v>262</v>
      </c>
      <c r="D491">
        <v>8.8465599999999998E-3</v>
      </c>
      <c r="E491">
        <v>1.00420319E-2</v>
      </c>
      <c r="F491">
        <v>9.8398922000000003E-3</v>
      </c>
      <c r="G491">
        <v>8.9090175700000003E-3</v>
      </c>
      <c r="H491">
        <v>7.9807765149999994E-3</v>
      </c>
      <c r="I491">
        <v>9.1386016070000003E-3</v>
      </c>
      <c r="J491">
        <v>9.1674930949999997E-3</v>
      </c>
      <c r="K491">
        <v>8.3565610847000007E-3</v>
      </c>
      <c r="L491">
        <v>6.9704208957E-3</v>
      </c>
      <c r="M491">
        <v>6.3849330478999902E-3</v>
      </c>
      <c r="N491">
        <v>5.7866579162000002E-3</v>
      </c>
      <c r="O491">
        <v>0</v>
      </c>
      <c r="P491">
        <v>0</v>
      </c>
      <c r="Q491">
        <v>0</v>
      </c>
      <c r="R491" t="s">
        <v>243</v>
      </c>
    </row>
    <row r="492" spans="1:18" x14ac:dyDescent="0.3">
      <c r="A492" t="s">
        <v>259</v>
      </c>
      <c r="B492" t="s">
        <v>30</v>
      </c>
      <c r="C492" t="s">
        <v>263</v>
      </c>
      <c r="D492">
        <v>9.4709129999999992E-3</v>
      </c>
      <c r="E492">
        <v>1.723882623E-2</v>
      </c>
      <c r="F492">
        <v>2.0027666649999901E-2</v>
      </c>
      <c r="G492">
        <v>1.9846241702999999E-2</v>
      </c>
      <c r="H492">
        <v>1.9495565898E-2</v>
      </c>
      <c r="I492">
        <v>2.3472679021999999E-2</v>
      </c>
      <c r="J492">
        <v>2.4965570614E-2</v>
      </c>
      <c r="K492">
        <v>2.5298634115E-2</v>
      </c>
      <c r="L492">
        <v>2.50834651319999E-2</v>
      </c>
      <c r="M492">
        <v>2.4509960430300001E-2</v>
      </c>
      <c r="N492">
        <v>2.3788122517999898E-2</v>
      </c>
      <c r="O492">
        <v>0</v>
      </c>
      <c r="P492">
        <v>0</v>
      </c>
      <c r="Q492">
        <v>0</v>
      </c>
      <c r="R492" t="s">
        <v>243</v>
      </c>
    </row>
    <row r="493" spans="1:18" x14ac:dyDescent="0.3">
      <c r="A493" t="s">
        <v>259</v>
      </c>
      <c r="B493" t="s">
        <v>30</v>
      </c>
      <c r="C493" t="s">
        <v>264</v>
      </c>
      <c r="D493">
        <v>1.2493802000000001E-3</v>
      </c>
      <c r="E493">
        <v>1.5949102E-3</v>
      </c>
      <c r="F493">
        <v>1.6328320000000001E-3</v>
      </c>
      <c r="G493">
        <v>1.5130573999999901E-3</v>
      </c>
      <c r="H493">
        <v>1.4243265999999901E-3</v>
      </c>
      <c r="I493">
        <v>1.7944982999999999E-3</v>
      </c>
      <c r="J493">
        <v>1.8756749799999999E-3</v>
      </c>
      <c r="K493">
        <v>1.8857520999999999E-3</v>
      </c>
      <c r="L493">
        <v>1.8239981999999899E-3</v>
      </c>
      <c r="M493">
        <v>1.7322346E-3</v>
      </c>
      <c r="N493">
        <v>1.6438322999999999E-3</v>
      </c>
      <c r="O493">
        <v>0</v>
      </c>
      <c r="P493">
        <v>0</v>
      </c>
      <c r="Q493">
        <v>0</v>
      </c>
      <c r="R493" t="s">
        <v>243</v>
      </c>
    </row>
    <row r="494" spans="1:18" x14ac:dyDescent="0.3">
      <c r="A494" t="s">
        <v>259</v>
      </c>
      <c r="B494" t="s">
        <v>30</v>
      </c>
      <c r="C494" t="s">
        <v>265</v>
      </c>
      <c r="D494">
        <v>3.6187736999999998E-3</v>
      </c>
      <c r="E494">
        <v>5.0501640000000002E-3</v>
      </c>
      <c r="F494">
        <v>4.6743269999999998E-3</v>
      </c>
      <c r="G494">
        <v>4.5080190000000003E-3</v>
      </c>
      <c r="H494">
        <v>4.2779121999999897E-3</v>
      </c>
      <c r="I494">
        <v>4.2891882000000003E-3</v>
      </c>
      <c r="J494">
        <v>4.2167567999999997E-3</v>
      </c>
      <c r="K494">
        <v>4.1438734999999999E-3</v>
      </c>
      <c r="L494">
        <v>3.9740627999999998E-3</v>
      </c>
      <c r="M494">
        <v>3.7531941000000001E-3</v>
      </c>
      <c r="N494">
        <v>3.5579659999999901E-3</v>
      </c>
      <c r="O494">
        <v>0</v>
      </c>
      <c r="P494">
        <v>0</v>
      </c>
      <c r="Q494">
        <v>0</v>
      </c>
      <c r="R494" t="s">
        <v>243</v>
      </c>
    </row>
    <row r="495" spans="1:18" x14ac:dyDescent="0.3">
      <c r="A495" t="s">
        <v>259</v>
      </c>
      <c r="B495" t="s">
        <v>30</v>
      </c>
      <c r="C495" t="s">
        <v>266</v>
      </c>
      <c r="D495">
        <v>1.7820916E-3</v>
      </c>
      <c r="E495">
        <v>2.4336879999999998E-3</v>
      </c>
      <c r="F495">
        <v>2.43975099999999E-3</v>
      </c>
      <c r="G495">
        <v>2.1871859999999998E-3</v>
      </c>
      <c r="H495">
        <v>2.1105166E-3</v>
      </c>
      <c r="I495">
        <v>2.3458631000000001E-3</v>
      </c>
      <c r="J495">
        <v>2.3686532999999902E-3</v>
      </c>
      <c r="K495">
        <v>2.3551536999999998E-3</v>
      </c>
      <c r="L495">
        <v>2.270266E-3</v>
      </c>
      <c r="M495">
        <v>2.15211859999999E-3</v>
      </c>
      <c r="N495">
        <v>2.0420601000000001E-3</v>
      </c>
      <c r="O495">
        <v>0</v>
      </c>
      <c r="P495">
        <v>0</v>
      </c>
      <c r="Q495">
        <v>0</v>
      </c>
      <c r="R495" t="s">
        <v>243</v>
      </c>
    </row>
    <row r="496" spans="1:18" x14ac:dyDescent="0.3">
      <c r="A496" t="s">
        <v>259</v>
      </c>
      <c r="B496" t="s">
        <v>30</v>
      </c>
      <c r="C496" t="s">
        <v>267</v>
      </c>
      <c r="D496">
        <v>2.0358685999999999E-3</v>
      </c>
      <c r="E496">
        <v>2.8289470000000001E-3</v>
      </c>
      <c r="F496">
        <v>2.7917770000000001E-3</v>
      </c>
      <c r="G496">
        <v>2.5177889999999999E-3</v>
      </c>
      <c r="H496">
        <v>2.4200916999999999E-3</v>
      </c>
      <c r="I496">
        <v>2.5885396000000001E-3</v>
      </c>
      <c r="J496">
        <v>2.5972412999999998E-3</v>
      </c>
      <c r="K496">
        <v>2.5779370000000002E-3</v>
      </c>
      <c r="L496">
        <v>2.4838741000000001E-3</v>
      </c>
      <c r="M496">
        <v>2.3534973000000001E-3</v>
      </c>
      <c r="N496">
        <v>2.2334961000000002E-3</v>
      </c>
      <c r="O496">
        <v>0</v>
      </c>
      <c r="P496">
        <v>0</v>
      </c>
      <c r="Q496">
        <v>0</v>
      </c>
      <c r="R496" t="s">
        <v>243</v>
      </c>
    </row>
    <row r="497" spans="1:18" x14ac:dyDescent="0.3">
      <c r="A497" t="s">
        <v>259</v>
      </c>
      <c r="B497" t="s">
        <v>30</v>
      </c>
      <c r="C497" t="s">
        <v>268</v>
      </c>
      <c r="D497">
        <v>2.2251721000000001E-3</v>
      </c>
      <c r="E497">
        <v>3.1123209999999999E-3</v>
      </c>
      <c r="F497">
        <v>3.0375209999999901E-3</v>
      </c>
      <c r="G497">
        <v>2.754041E-3</v>
      </c>
      <c r="H497">
        <v>2.6413946999999998E-3</v>
      </c>
      <c r="I497">
        <v>2.7731297999999999E-3</v>
      </c>
      <c r="J497">
        <v>2.7705501000000001E-3</v>
      </c>
      <c r="K497">
        <v>2.7462003E-3</v>
      </c>
      <c r="L497">
        <v>2.6458268999999999E-3</v>
      </c>
      <c r="M497">
        <v>2.5062152999999901E-3</v>
      </c>
      <c r="N497">
        <v>2.3781534999999898E-3</v>
      </c>
      <c r="O497">
        <v>0</v>
      </c>
      <c r="P497">
        <v>0</v>
      </c>
      <c r="Q497">
        <v>0</v>
      </c>
      <c r="R497" t="s">
        <v>243</v>
      </c>
    </row>
    <row r="498" spans="1:18" x14ac:dyDescent="0.3">
      <c r="A498" t="s">
        <v>259</v>
      </c>
      <c r="B498" t="s">
        <v>30</v>
      </c>
      <c r="C498" t="s">
        <v>269</v>
      </c>
      <c r="D498">
        <v>2.3790129000000001E-3</v>
      </c>
      <c r="E498">
        <v>3.3497399999999999E-3</v>
      </c>
      <c r="F498">
        <v>3.2360399999999999E-3</v>
      </c>
      <c r="G498">
        <v>2.953336E-3</v>
      </c>
      <c r="H498">
        <v>2.8246536000000001E-3</v>
      </c>
      <c r="I498">
        <v>2.9337588000000001E-3</v>
      </c>
      <c r="J498">
        <v>2.9251292999999999E-3</v>
      </c>
      <c r="K498">
        <v>2.8957682999999901E-3</v>
      </c>
      <c r="L498">
        <v>2.7885566E-3</v>
      </c>
      <c r="M498">
        <v>2.6406892E-3</v>
      </c>
      <c r="N498">
        <v>2.5060348000000001E-3</v>
      </c>
      <c r="O498">
        <v>0</v>
      </c>
      <c r="P498">
        <v>0</v>
      </c>
      <c r="Q498">
        <v>0</v>
      </c>
      <c r="R498" t="s">
        <v>243</v>
      </c>
    </row>
    <row r="499" spans="1:18" x14ac:dyDescent="0.3">
      <c r="A499" t="s">
        <v>259</v>
      </c>
      <c r="B499" t="s">
        <v>30</v>
      </c>
      <c r="C499" t="s">
        <v>270</v>
      </c>
      <c r="D499">
        <v>2.5225495E-3</v>
      </c>
      <c r="E499">
        <v>3.5700620000000001E-3</v>
      </c>
      <c r="F499">
        <v>3.4151479999999998E-3</v>
      </c>
      <c r="G499">
        <v>3.1389859999999999E-3</v>
      </c>
      <c r="H499">
        <v>2.9948864999999902E-3</v>
      </c>
      <c r="I499">
        <v>3.0903277000000002E-3</v>
      </c>
      <c r="J499">
        <v>3.0748309999999901E-3</v>
      </c>
      <c r="K499">
        <v>3.0410754E-3</v>
      </c>
      <c r="L499">
        <v>2.9262545999999899E-3</v>
      </c>
      <c r="M499">
        <v>2.7696352E-3</v>
      </c>
      <c r="N499">
        <v>2.6285203000000002E-3</v>
      </c>
      <c r="O499">
        <v>0</v>
      </c>
      <c r="P499">
        <v>0</v>
      </c>
      <c r="Q499">
        <v>0</v>
      </c>
      <c r="R499" t="s">
        <v>243</v>
      </c>
    </row>
    <row r="500" spans="1:18" x14ac:dyDescent="0.3">
      <c r="A500" t="s">
        <v>259</v>
      </c>
      <c r="B500" t="s">
        <v>30</v>
      </c>
      <c r="C500" t="s">
        <v>271</v>
      </c>
      <c r="D500">
        <v>2.6851974E-3</v>
      </c>
      <c r="E500">
        <v>3.7801459999999999E-3</v>
      </c>
      <c r="F500">
        <v>3.5962899999999998E-3</v>
      </c>
      <c r="G500">
        <v>3.326117E-3</v>
      </c>
      <c r="H500">
        <v>3.1707765999999999E-3</v>
      </c>
      <c r="I500">
        <v>3.2553551000000002E-3</v>
      </c>
      <c r="J500">
        <v>3.2308579E-3</v>
      </c>
      <c r="K500">
        <v>3.1918425E-3</v>
      </c>
      <c r="L500">
        <v>3.0702002E-3</v>
      </c>
      <c r="M500">
        <v>2.9054797999999902E-3</v>
      </c>
      <c r="N500">
        <v>2.7568759000000001E-3</v>
      </c>
      <c r="O500">
        <v>0</v>
      </c>
      <c r="P500">
        <v>0</v>
      </c>
      <c r="Q500">
        <v>0</v>
      </c>
      <c r="R500" t="s">
        <v>243</v>
      </c>
    </row>
    <row r="501" spans="1:18" x14ac:dyDescent="0.3">
      <c r="A501" t="s">
        <v>259</v>
      </c>
      <c r="B501" t="s">
        <v>30</v>
      </c>
      <c r="C501" t="s">
        <v>272</v>
      </c>
      <c r="D501">
        <v>2.8515000999999999E-3</v>
      </c>
      <c r="E501">
        <v>4.0181310000000003E-3</v>
      </c>
      <c r="F501">
        <v>3.8177490000000001E-3</v>
      </c>
      <c r="G501">
        <v>3.5516509999999999E-3</v>
      </c>
      <c r="H501">
        <v>3.3723704000000001E-3</v>
      </c>
      <c r="I501">
        <v>3.4421756999999998E-3</v>
      </c>
      <c r="J501">
        <v>3.4106795E-3</v>
      </c>
      <c r="K501">
        <v>3.3666436000000001E-3</v>
      </c>
      <c r="L501">
        <v>3.2365839999999998E-3</v>
      </c>
      <c r="M501">
        <v>3.061224E-3</v>
      </c>
      <c r="N501">
        <v>2.9039624000000001E-3</v>
      </c>
      <c r="O501">
        <v>0</v>
      </c>
      <c r="P501">
        <v>0</v>
      </c>
      <c r="Q501">
        <v>0</v>
      </c>
      <c r="R501" t="s">
        <v>243</v>
      </c>
    </row>
    <row r="502" spans="1:18" x14ac:dyDescent="0.3">
      <c r="A502" t="s">
        <v>259</v>
      </c>
      <c r="B502" t="s">
        <v>30</v>
      </c>
      <c r="C502" t="s">
        <v>273</v>
      </c>
      <c r="D502">
        <v>3.0892682999999902E-3</v>
      </c>
      <c r="E502">
        <v>4.3045959999999999E-3</v>
      </c>
      <c r="F502">
        <v>4.0755490000000004E-3</v>
      </c>
      <c r="G502">
        <v>3.8224980000000001E-3</v>
      </c>
      <c r="H502">
        <v>3.6312974999999901E-3</v>
      </c>
      <c r="I502">
        <v>3.6857645E-3</v>
      </c>
      <c r="J502">
        <v>3.6410826000000001E-3</v>
      </c>
      <c r="K502">
        <v>3.5874575999999998E-3</v>
      </c>
      <c r="L502">
        <v>3.4453559999999901E-3</v>
      </c>
      <c r="M502">
        <v>3.2572323999999998E-3</v>
      </c>
      <c r="N502">
        <v>3.0895317999999998E-3</v>
      </c>
      <c r="O502">
        <v>0</v>
      </c>
      <c r="P502">
        <v>0</v>
      </c>
      <c r="Q502">
        <v>0</v>
      </c>
      <c r="R502" t="s">
        <v>243</v>
      </c>
    </row>
    <row r="503" spans="1:18" x14ac:dyDescent="0.3">
      <c r="A503" t="s">
        <v>259</v>
      </c>
      <c r="B503" t="s">
        <v>30</v>
      </c>
      <c r="C503" t="s">
        <v>274</v>
      </c>
      <c r="D503" s="8">
        <v>5.7684634459999998E-5</v>
      </c>
      <c r="E503" s="8">
        <v>7.7176465969999898E-5</v>
      </c>
      <c r="F503" s="8">
        <v>9.0304266140000007E-5</v>
      </c>
      <c r="G503" s="8">
        <v>8.4495992970000004E-5</v>
      </c>
      <c r="H503" s="8">
        <v>1.4782241728E-4</v>
      </c>
      <c r="I503" s="8">
        <v>1.6383325835E-4</v>
      </c>
      <c r="J503" s="8">
        <v>1.62247403919999E-4</v>
      </c>
      <c r="K503" s="8">
        <v>1.57077987996E-4</v>
      </c>
      <c r="L503" s="8">
        <v>1.4897649921900001E-4</v>
      </c>
      <c r="M503" s="8">
        <v>1.3857019919799899E-4</v>
      </c>
      <c r="N503" s="8">
        <v>1.28579275498999E-4</v>
      </c>
      <c r="O503">
        <v>0</v>
      </c>
      <c r="P503">
        <v>0</v>
      </c>
      <c r="Q503">
        <v>0</v>
      </c>
      <c r="R503" t="s">
        <v>243</v>
      </c>
    </row>
    <row r="504" spans="1:18" x14ac:dyDescent="0.3">
      <c r="A504" t="s">
        <v>259</v>
      </c>
      <c r="B504" t="s">
        <v>30</v>
      </c>
      <c r="C504" t="s">
        <v>275</v>
      </c>
      <c r="D504" s="8">
        <v>1.828750095E-4</v>
      </c>
      <c r="E504" s="8">
        <v>2.579259254E-4</v>
      </c>
      <c r="F504" s="8">
        <v>2.5995329570000002E-4</v>
      </c>
      <c r="G504" s="8">
        <v>2.5204889389999899E-4</v>
      </c>
      <c r="H504" s="8">
        <v>3.0278258703E-4</v>
      </c>
      <c r="I504" s="8">
        <v>2.9217447897999903E-4</v>
      </c>
      <c r="J504" s="8">
        <v>2.6945397829000002E-4</v>
      </c>
      <c r="K504" s="8">
        <v>2.5180620489899998E-4</v>
      </c>
      <c r="L504" s="8">
        <v>2.3355713659000001E-4</v>
      </c>
      <c r="M504" s="8">
        <v>2.1308437304000001E-4</v>
      </c>
      <c r="N504" s="8">
        <v>1.95059496703E-4</v>
      </c>
      <c r="O504">
        <v>0</v>
      </c>
      <c r="P504">
        <v>0</v>
      </c>
      <c r="Q504">
        <v>0</v>
      </c>
      <c r="R504" t="s">
        <v>243</v>
      </c>
    </row>
    <row r="505" spans="1:18" x14ac:dyDescent="0.3">
      <c r="A505" t="s">
        <v>259</v>
      </c>
      <c r="B505" t="s">
        <v>30</v>
      </c>
      <c r="C505" t="s">
        <v>276</v>
      </c>
      <c r="D505" s="8">
        <v>8.5765839220000001E-5</v>
      </c>
      <c r="E505" s="8">
        <v>1.2126601728E-4</v>
      </c>
      <c r="F505" s="8">
        <v>1.3538744541E-4</v>
      </c>
      <c r="G505" s="8">
        <v>1.2222122220999999E-4</v>
      </c>
      <c r="H505" s="8">
        <v>1.9069260929E-4</v>
      </c>
      <c r="I505" s="8">
        <v>1.9739639306000001E-4</v>
      </c>
      <c r="J505" s="8">
        <v>1.8884764486E-4</v>
      </c>
      <c r="K505" s="8">
        <v>1.7936538166600001E-4</v>
      </c>
      <c r="L505" s="8">
        <v>1.6845687742499999E-4</v>
      </c>
      <c r="M505" s="8">
        <v>1.5555326791199999E-4</v>
      </c>
      <c r="N505" s="8">
        <v>1.4367848420099999E-4</v>
      </c>
      <c r="O505">
        <v>0</v>
      </c>
      <c r="P505">
        <v>0</v>
      </c>
      <c r="Q505">
        <v>0</v>
      </c>
      <c r="R505" t="s">
        <v>243</v>
      </c>
    </row>
    <row r="506" spans="1:18" x14ac:dyDescent="0.3">
      <c r="A506" t="s">
        <v>259</v>
      </c>
      <c r="B506" t="s">
        <v>30</v>
      </c>
      <c r="C506" t="s">
        <v>277</v>
      </c>
      <c r="D506" s="8">
        <v>9.987539725E-5</v>
      </c>
      <c r="E506" s="8">
        <v>1.4270825808999999E-4</v>
      </c>
      <c r="F506" s="8">
        <v>1.5510552978000001E-4</v>
      </c>
      <c r="G506" s="8">
        <v>1.4073431614E-4</v>
      </c>
      <c r="H506" s="8">
        <v>2.0722226776999901E-4</v>
      </c>
      <c r="I506" s="8">
        <v>2.1014911425E-4</v>
      </c>
      <c r="J506" s="8">
        <v>1.994108261E-4</v>
      </c>
      <c r="K506" s="8">
        <v>1.8881039143599999E-4</v>
      </c>
      <c r="L506" s="8">
        <v>1.7702074379099999E-4</v>
      </c>
      <c r="M506" s="8">
        <v>1.6320408810499901E-4</v>
      </c>
      <c r="N506" s="8">
        <v>1.5061238012000001E-4</v>
      </c>
      <c r="O506">
        <v>0</v>
      </c>
      <c r="P506">
        <v>0</v>
      </c>
      <c r="Q506">
        <v>0</v>
      </c>
      <c r="R506" t="s">
        <v>243</v>
      </c>
    </row>
    <row r="507" spans="1:18" x14ac:dyDescent="0.3">
      <c r="A507" t="s">
        <v>259</v>
      </c>
      <c r="B507" t="s">
        <v>30</v>
      </c>
      <c r="C507" t="s">
        <v>278</v>
      </c>
      <c r="D507" s="8">
        <v>1.1052907169E-4</v>
      </c>
      <c r="E507" s="8">
        <v>1.5804714573999901E-4</v>
      </c>
      <c r="F507" s="8">
        <v>1.6885228574000001E-4</v>
      </c>
      <c r="G507" s="8">
        <v>1.5396109776E-4</v>
      </c>
      <c r="H507" s="8">
        <v>2.1851836197999999E-4</v>
      </c>
      <c r="I507" s="8">
        <v>2.19355257779999E-4</v>
      </c>
      <c r="J507" s="8">
        <v>2.071156297E-4</v>
      </c>
      <c r="K507" s="8">
        <v>1.9578144711299901E-4</v>
      </c>
      <c r="L507" s="8">
        <v>1.8339566705300001E-4</v>
      </c>
      <c r="M507" s="8">
        <v>1.68907477711E-4</v>
      </c>
      <c r="N507" s="8">
        <v>1.5575405137100001E-4</v>
      </c>
      <c r="O507">
        <v>0</v>
      </c>
      <c r="P507">
        <v>0</v>
      </c>
      <c r="Q507">
        <v>0</v>
      </c>
      <c r="R507" t="s">
        <v>243</v>
      </c>
    </row>
    <row r="508" spans="1:18" x14ac:dyDescent="0.3">
      <c r="A508" t="s">
        <v>259</v>
      </c>
      <c r="B508" t="s">
        <v>30</v>
      </c>
      <c r="C508" t="s">
        <v>279</v>
      </c>
      <c r="D508" s="8">
        <v>1.1910277538000001E-4</v>
      </c>
      <c r="E508" s="8">
        <v>1.7068887724999999E-4</v>
      </c>
      <c r="F508" s="8">
        <v>1.7993389517999999E-4</v>
      </c>
      <c r="G508" s="8">
        <v>1.6511575686999999E-4</v>
      </c>
      <c r="H508" s="8">
        <v>2.27812654439999E-4</v>
      </c>
      <c r="I508" s="8">
        <v>2.2720263284999999E-4</v>
      </c>
      <c r="J508" s="8">
        <v>2.13904907979999E-4</v>
      </c>
      <c r="K508" s="8">
        <v>2.0193288502599901E-4</v>
      </c>
      <c r="L508" s="8">
        <v>1.8896827484199901E-4</v>
      </c>
      <c r="M508" s="8">
        <v>1.7387985580200001E-4</v>
      </c>
      <c r="N508" s="8">
        <v>1.6024891365799899E-4</v>
      </c>
      <c r="O508">
        <v>0</v>
      </c>
      <c r="P508">
        <v>0</v>
      </c>
      <c r="Q508">
        <v>0</v>
      </c>
      <c r="R508" t="s">
        <v>243</v>
      </c>
    </row>
    <row r="509" spans="1:18" x14ac:dyDescent="0.3">
      <c r="A509" t="s">
        <v>259</v>
      </c>
      <c r="B509" t="s">
        <v>30</v>
      </c>
      <c r="C509" t="s">
        <v>280</v>
      </c>
      <c r="D509" s="8">
        <v>1.269154165E-4</v>
      </c>
      <c r="E509" s="8">
        <v>1.8219854329999999E-4</v>
      </c>
      <c r="F509" s="8">
        <v>1.89914444E-4</v>
      </c>
      <c r="G509" s="8">
        <v>1.7550137059999999E-4</v>
      </c>
      <c r="H509" s="8">
        <v>2.3651511479999901E-4</v>
      </c>
      <c r="I509" s="8">
        <v>2.3479169036E-4</v>
      </c>
      <c r="J509" s="8">
        <v>2.2045088029999999E-4</v>
      </c>
      <c r="K509" s="8">
        <v>2.0788391865300001E-4</v>
      </c>
      <c r="L509" s="8">
        <v>1.9431337808E-4</v>
      </c>
      <c r="M509" s="8">
        <v>1.7860923021499999E-4</v>
      </c>
      <c r="N509" s="8">
        <v>1.64510372724E-4</v>
      </c>
      <c r="O509">
        <v>0</v>
      </c>
      <c r="P509">
        <v>0</v>
      </c>
      <c r="Q509">
        <v>0</v>
      </c>
      <c r="R509" t="s">
        <v>243</v>
      </c>
    </row>
    <row r="510" spans="1:18" x14ac:dyDescent="0.3">
      <c r="A510" t="s">
        <v>259</v>
      </c>
      <c r="B510" t="s">
        <v>30</v>
      </c>
      <c r="C510" t="s">
        <v>281</v>
      </c>
      <c r="D510" s="8">
        <v>1.355001211E-4</v>
      </c>
      <c r="E510" s="8">
        <v>1.930281699E-4</v>
      </c>
      <c r="F510" s="8">
        <v>1.999969985E-4</v>
      </c>
      <c r="G510" s="8">
        <v>1.8596598899999999E-4</v>
      </c>
      <c r="H510" s="8">
        <v>2.4558658996999999E-4</v>
      </c>
      <c r="I510" s="8">
        <v>2.4276036152999901E-4</v>
      </c>
      <c r="J510" s="8">
        <v>2.2724406037E-4</v>
      </c>
      <c r="K510" s="8">
        <v>2.1400865620099999E-4</v>
      </c>
      <c r="L510" s="8">
        <v>1.9984698469E-4</v>
      </c>
      <c r="M510" s="8">
        <v>1.83536707755999E-4</v>
      </c>
      <c r="N510" s="8">
        <v>1.68911133777E-4</v>
      </c>
      <c r="O510">
        <v>0</v>
      </c>
      <c r="P510">
        <v>0</v>
      </c>
      <c r="Q510">
        <v>0</v>
      </c>
      <c r="R510" t="s">
        <v>243</v>
      </c>
    </row>
    <row r="511" spans="1:18" x14ac:dyDescent="0.3">
      <c r="A511" t="s">
        <v>259</v>
      </c>
      <c r="B511" t="s">
        <v>30</v>
      </c>
      <c r="C511" t="s">
        <v>282</v>
      </c>
      <c r="D511" s="8">
        <v>1.440538232E-4</v>
      </c>
      <c r="E511" s="8">
        <v>2.05212875E-4</v>
      </c>
      <c r="F511" s="8">
        <v>2.1231567599999901E-4</v>
      </c>
      <c r="G511" s="8">
        <v>1.985767341E-4</v>
      </c>
      <c r="H511" s="8">
        <v>2.5600814347999899E-4</v>
      </c>
      <c r="I511" s="8">
        <v>2.5174548825E-4</v>
      </c>
      <c r="J511" s="8">
        <v>2.3502546455000001E-4</v>
      </c>
      <c r="K511" s="8">
        <v>2.2107531487299901E-4</v>
      </c>
      <c r="L511" s="8">
        <v>2.0620250759000001E-4</v>
      </c>
      <c r="M511" s="8">
        <v>1.89131495753E-4</v>
      </c>
      <c r="N511" s="8">
        <v>1.7389460292999999E-4</v>
      </c>
      <c r="O511">
        <v>0</v>
      </c>
      <c r="P511">
        <v>0</v>
      </c>
      <c r="Q511">
        <v>0</v>
      </c>
      <c r="R511" t="s">
        <v>243</v>
      </c>
    </row>
    <row r="512" spans="1:18" x14ac:dyDescent="0.3">
      <c r="A512" t="s">
        <v>259</v>
      </c>
      <c r="B512" t="s">
        <v>30</v>
      </c>
      <c r="C512" t="s">
        <v>283</v>
      </c>
      <c r="D512" s="8">
        <v>1.5611381299999999E-4</v>
      </c>
      <c r="E512" s="8">
        <v>2.1984772189999999E-4</v>
      </c>
      <c r="F512" s="8">
        <v>2.2665346440000001E-4</v>
      </c>
      <c r="G512" s="8">
        <v>2.1372062899999999E-4</v>
      </c>
      <c r="H512" s="8">
        <v>2.6941784158000001E-4</v>
      </c>
      <c r="I512" s="8">
        <v>2.6343263140999999E-4</v>
      </c>
      <c r="J512" s="8">
        <v>2.4495032863000002E-4</v>
      </c>
      <c r="K512" s="8">
        <v>2.2990001315E-4</v>
      </c>
      <c r="L512" s="8">
        <v>2.1405245927999999E-4</v>
      </c>
      <c r="M512" s="8">
        <v>1.960364045E-4</v>
      </c>
      <c r="N512" s="8">
        <v>1.8003398809899899E-4</v>
      </c>
      <c r="O512">
        <v>0</v>
      </c>
      <c r="P512">
        <v>0</v>
      </c>
      <c r="Q512">
        <v>0</v>
      </c>
      <c r="R512" t="s">
        <v>243</v>
      </c>
    </row>
    <row r="513" spans="1:18" x14ac:dyDescent="0.3">
      <c r="A513" t="s">
        <v>259</v>
      </c>
      <c r="B513" t="s">
        <v>30</v>
      </c>
      <c r="C513" t="s">
        <v>334</v>
      </c>
      <c r="D513">
        <v>1.3766200000000001E-3</v>
      </c>
      <c r="E513" s="8">
        <v>1.50309E-4</v>
      </c>
      <c r="F513" s="8">
        <v>8.9011900000000001E-5</v>
      </c>
      <c r="G513" s="8">
        <v>4.3383900000000003E-5</v>
      </c>
      <c r="H513" s="8">
        <v>4.2216699999999998E-5</v>
      </c>
      <c r="I513" s="8">
        <v>4.4396499999999899E-5</v>
      </c>
      <c r="J513" s="8">
        <v>4.43974799999999E-5</v>
      </c>
      <c r="K513" s="8">
        <v>4.4157630000000001E-5</v>
      </c>
      <c r="L513" s="8">
        <v>4.3345800000000001E-5</v>
      </c>
      <c r="M513" s="8">
        <v>4.2029020000000002E-5</v>
      </c>
      <c r="N513" s="8">
        <v>4.0709020000000001E-5</v>
      </c>
      <c r="O513">
        <v>0</v>
      </c>
      <c r="P513">
        <v>0</v>
      </c>
      <c r="Q513">
        <v>0</v>
      </c>
      <c r="R513" t="s">
        <v>243</v>
      </c>
    </row>
    <row r="514" spans="1:18" x14ac:dyDescent="0.3">
      <c r="A514" t="s">
        <v>259</v>
      </c>
      <c r="B514" t="s">
        <v>30</v>
      </c>
      <c r="C514" t="s">
        <v>335</v>
      </c>
      <c r="D514" s="8">
        <v>3.1593900000000003E-5</v>
      </c>
      <c r="E514" s="8">
        <v>2.7458200000000002E-6</v>
      </c>
      <c r="F514" s="8">
        <v>2.2866100000000001E-6</v>
      </c>
      <c r="G514" s="8">
        <v>8.58837E-7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243</v>
      </c>
    </row>
    <row r="515" spans="1:18" x14ac:dyDescent="0.3">
      <c r="A515" t="s">
        <v>259</v>
      </c>
      <c r="B515" t="s">
        <v>30</v>
      </c>
      <c r="C515" t="s">
        <v>336</v>
      </c>
      <c r="D515" s="8">
        <v>7.3679799999999999E-4</v>
      </c>
      <c r="E515" s="8">
        <v>7.3242000000000001E-5</v>
      </c>
      <c r="F515" s="8">
        <v>4.3000899999999997E-5</v>
      </c>
      <c r="G515" s="8">
        <v>2.27434E-5</v>
      </c>
      <c r="H515" s="8">
        <v>2.2416060000000001E-5</v>
      </c>
      <c r="I515" s="8">
        <v>2.3143689999999999E-5</v>
      </c>
      <c r="J515" s="8">
        <v>2.2967629999999999E-5</v>
      </c>
      <c r="K515" s="8">
        <v>2.2752760000000001E-5</v>
      </c>
      <c r="L515" s="8">
        <v>2.2304320000000001E-5</v>
      </c>
      <c r="M515" s="8">
        <v>2.16198799999999E-5</v>
      </c>
      <c r="N515" s="8">
        <v>2.0946289999999999E-5</v>
      </c>
      <c r="O515">
        <v>0</v>
      </c>
      <c r="P515">
        <v>0</v>
      </c>
      <c r="Q515">
        <v>0</v>
      </c>
      <c r="R515" t="s">
        <v>243</v>
      </c>
    </row>
    <row r="516" spans="1:18" x14ac:dyDescent="0.3">
      <c r="A516" t="s">
        <v>259</v>
      </c>
      <c r="B516" t="s">
        <v>30</v>
      </c>
      <c r="C516" t="s">
        <v>337</v>
      </c>
      <c r="D516" s="8">
        <v>5.2898300000000001E-4</v>
      </c>
      <c r="E516" s="8">
        <v>4.9728999999999998E-5</v>
      </c>
      <c r="F516" s="8">
        <v>2.9668000000000001E-5</v>
      </c>
      <c r="G516" s="8">
        <v>1.5861600000000001E-5</v>
      </c>
      <c r="H516" s="8">
        <v>1.55892199999999E-5</v>
      </c>
      <c r="I516" s="8">
        <v>1.5978729999999999E-5</v>
      </c>
      <c r="J516" s="8">
        <v>1.5827020000000001E-5</v>
      </c>
      <c r="K516" s="8">
        <v>1.566151E-5</v>
      </c>
      <c r="L516" s="8">
        <v>1.5344680000000001E-5</v>
      </c>
      <c r="M516" s="8">
        <v>1.487266E-5</v>
      </c>
      <c r="N516" s="8">
        <v>1.441176E-5</v>
      </c>
      <c r="O516">
        <v>0</v>
      </c>
      <c r="P516">
        <v>0</v>
      </c>
      <c r="Q516">
        <v>0</v>
      </c>
      <c r="R516" t="s">
        <v>243</v>
      </c>
    </row>
    <row r="517" spans="1:18" x14ac:dyDescent="0.3">
      <c r="A517" t="s">
        <v>259</v>
      </c>
      <c r="B517" t="s">
        <v>30</v>
      </c>
      <c r="C517" t="s">
        <v>338</v>
      </c>
      <c r="D517" s="8">
        <v>4.01617E-4</v>
      </c>
      <c r="E517" s="8">
        <v>3.6333900000000001E-5</v>
      </c>
      <c r="F517" s="8">
        <v>2.2187700000000001E-5</v>
      </c>
      <c r="G517" s="8">
        <v>1.18753E-5</v>
      </c>
      <c r="H517" s="8">
        <v>1.1650829999999901E-5</v>
      </c>
      <c r="I517" s="8">
        <v>1.1876619999999901E-5</v>
      </c>
      <c r="J517" s="8">
        <v>1.172688E-5</v>
      </c>
      <c r="K517" s="8">
        <v>1.158856E-5</v>
      </c>
      <c r="L517" s="8">
        <v>1.135208E-5</v>
      </c>
      <c r="M517" s="8">
        <v>1.100136E-5</v>
      </c>
      <c r="N517">
        <v>0</v>
      </c>
      <c r="O517">
        <v>0</v>
      </c>
      <c r="P517">
        <v>0</v>
      </c>
      <c r="Q517">
        <v>0</v>
      </c>
      <c r="R517" t="s">
        <v>243</v>
      </c>
    </row>
    <row r="518" spans="1:18" x14ac:dyDescent="0.3">
      <c r="A518" t="s">
        <v>259</v>
      </c>
      <c r="B518" t="s">
        <v>30</v>
      </c>
      <c r="C518" t="s">
        <v>339</v>
      </c>
      <c r="D518" s="8">
        <v>3.1440400000000001E-4</v>
      </c>
      <c r="E518" s="8">
        <v>2.7283800000000001E-5</v>
      </c>
      <c r="F518" s="8">
        <v>1.7240599999999999E-5</v>
      </c>
      <c r="G518" s="8">
        <v>9.1030400000000002E-6</v>
      </c>
      <c r="H518" s="8">
        <v>8.9077699999999992E-6</v>
      </c>
      <c r="I518" s="8">
        <v>9.0332299999999904E-6</v>
      </c>
      <c r="J518" s="8">
        <v>8.9043299999999992E-6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243</v>
      </c>
    </row>
    <row r="519" spans="1:18" x14ac:dyDescent="0.3">
      <c r="A519" t="s">
        <v>259</v>
      </c>
      <c r="B519" t="s">
        <v>30</v>
      </c>
      <c r="C519" t="s">
        <v>340</v>
      </c>
      <c r="D519" s="8">
        <v>2.4636699999999999E-4</v>
      </c>
      <c r="E519" s="8">
        <v>2.0627300000000002E-5</v>
      </c>
      <c r="F519" s="8">
        <v>1.3597199999999999E-5</v>
      </c>
      <c r="G519" s="8">
        <v>7.0064700000000002E-6</v>
      </c>
      <c r="H519" s="8">
        <v>6.8392599999999996E-6</v>
      </c>
      <c r="I519" s="8">
        <v>6.9056700000000002E-6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243</v>
      </c>
    </row>
    <row r="520" spans="1:18" x14ac:dyDescent="0.3">
      <c r="A520" t="s">
        <v>259</v>
      </c>
      <c r="B520" t="s">
        <v>30</v>
      </c>
      <c r="C520" t="s">
        <v>341</v>
      </c>
      <c r="D520" s="8">
        <v>1.8450199999999999E-4</v>
      </c>
      <c r="E520" s="8">
        <v>1.56836E-5</v>
      </c>
      <c r="F520" s="8">
        <v>1.06322E-5</v>
      </c>
      <c r="G520" s="8">
        <v>5.33458E-6</v>
      </c>
      <c r="H520" s="8">
        <v>5.20275999999999E-6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243</v>
      </c>
    </row>
    <row r="521" spans="1:18" x14ac:dyDescent="0.3">
      <c r="A521" t="s">
        <v>259</v>
      </c>
      <c r="B521" t="s">
        <v>30</v>
      </c>
      <c r="C521" t="s">
        <v>342</v>
      </c>
      <c r="D521" s="8">
        <v>1.3616799999999999E-4</v>
      </c>
      <c r="E521" s="8">
        <v>1.14406E-5</v>
      </c>
      <c r="F521" s="8">
        <v>7.8299200000000008E-6</v>
      </c>
      <c r="G521" s="8">
        <v>3.8142499999999999E-6</v>
      </c>
      <c r="H521" s="8">
        <v>3.70452E-6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243</v>
      </c>
    </row>
    <row r="522" spans="1:18" x14ac:dyDescent="0.3">
      <c r="A522" t="s">
        <v>259</v>
      </c>
      <c r="B522" t="s">
        <v>30</v>
      </c>
      <c r="C522" t="s">
        <v>343</v>
      </c>
      <c r="D522" s="8">
        <v>8.7489499999999996E-5</v>
      </c>
      <c r="E522" s="8">
        <v>7.7784399999999993E-6</v>
      </c>
      <c r="F522" s="8">
        <v>5.4514500000000001E-6</v>
      </c>
      <c r="G522" s="8">
        <v>2.5307300000000002E-6</v>
      </c>
      <c r="H522" s="8">
        <v>2.4591599999999998E-6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243</v>
      </c>
    </row>
    <row r="523" spans="1:18" x14ac:dyDescent="0.3">
      <c r="A523" t="s">
        <v>259</v>
      </c>
      <c r="B523" t="s">
        <v>30</v>
      </c>
      <c r="C523" t="s">
        <v>284</v>
      </c>
      <c r="D523">
        <v>1.0202002429999901E-3</v>
      </c>
      <c r="E523">
        <v>1.4505295950000001E-3</v>
      </c>
      <c r="F523">
        <v>1.5021543199999999E-3</v>
      </c>
      <c r="G523">
        <v>1.2629938000000001E-3</v>
      </c>
      <c r="H523">
        <v>1.17813882399999E-3</v>
      </c>
      <c r="I523">
        <v>1.6098923053E-3</v>
      </c>
      <c r="J523">
        <v>1.78829246289999E-3</v>
      </c>
      <c r="K523">
        <v>1.8127706877999999E-3</v>
      </c>
      <c r="L523">
        <v>1.7619385837E-3</v>
      </c>
      <c r="M523">
        <v>1.673809293E-3</v>
      </c>
      <c r="N523">
        <v>1.5777292586999999E-3</v>
      </c>
      <c r="O523">
        <v>0</v>
      </c>
      <c r="P523">
        <v>0</v>
      </c>
      <c r="Q523">
        <v>0</v>
      </c>
      <c r="R523" t="s">
        <v>243</v>
      </c>
    </row>
    <row r="524" spans="1:18" x14ac:dyDescent="0.3">
      <c r="A524" t="s">
        <v>259</v>
      </c>
      <c r="B524" t="s">
        <v>30</v>
      </c>
      <c r="C524" t="s">
        <v>285</v>
      </c>
      <c r="D524">
        <v>6.7889462399999901E-3</v>
      </c>
      <c r="E524">
        <v>9.9691405899999998E-3</v>
      </c>
      <c r="F524">
        <v>9.2405346699999998E-3</v>
      </c>
      <c r="G524">
        <v>8.1996411999999998E-3</v>
      </c>
      <c r="H524">
        <v>7.3757245219999998E-3</v>
      </c>
      <c r="I524">
        <v>6.9537173957999899E-3</v>
      </c>
      <c r="J524">
        <v>6.3890424931000002E-3</v>
      </c>
      <c r="K524">
        <v>5.9447536218999904E-3</v>
      </c>
      <c r="L524">
        <v>5.5392254146999897E-3</v>
      </c>
      <c r="M524">
        <v>5.0859522260000003E-3</v>
      </c>
      <c r="N524">
        <v>4.6607450249999899E-3</v>
      </c>
      <c r="O524">
        <v>0</v>
      </c>
      <c r="P524">
        <v>0</v>
      </c>
      <c r="Q524">
        <v>0</v>
      </c>
      <c r="R524" t="s">
        <v>243</v>
      </c>
    </row>
    <row r="525" spans="1:18" x14ac:dyDescent="0.3">
      <c r="A525" t="s">
        <v>259</v>
      </c>
      <c r="B525" t="s">
        <v>30</v>
      </c>
      <c r="C525" t="s">
        <v>286</v>
      </c>
      <c r="D525">
        <v>1.824667786E-3</v>
      </c>
      <c r="E525">
        <v>2.857066459E-3</v>
      </c>
      <c r="F525">
        <v>2.9389554270000001E-3</v>
      </c>
      <c r="G525">
        <v>2.3119853239999999E-3</v>
      </c>
      <c r="H525">
        <v>2.2008196069999999E-3</v>
      </c>
      <c r="I525">
        <v>2.7490622385999901E-3</v>
      </c>
      <c r="J525">
        <v>2.8881263953000002E-3</v>
      </c>
      <c r="K525">
        <v>2.8617945036999901E-3</v>
      </c>
      <c r="L525">
        <v>2.7508614703000002E-3</v>
      </c>
      <c r="M525">
        <v>2.59423805349999E-3</v>
      </c>
      <c r="N525">
        <v>2.4322842546000002E-3</v>
      </c>
      <c r="O525">
        <v>0</v>
      </c>
      <c r="P525">
        <v>0</v>
      </c>
      <c r="Q525">
        <v>0</v>
      </c>
      <c r="R525" t="s">
        <v>243</v>
      </c>
    </row>
    <row r="526" spans="1:18" x14ac:dyDescent="0.3">
      <c r="A526" t="s">
        <v>259</v>
      </c>
      <c r="B526" t="s">
        <v>30</v>
      </c>
      <c r="C526" t="s">
        <v>287</v>
      </c>
      <c r="D526">
        <v>2.3717507089999999E-3</v>
      </c>
      <c r="E526">
        <v>3.8361767319999998E-3</v>
      </c>
      <c r="F526">
        <v>3.8667932700000001E-3</v>
      </c>
      <c r="G526">
        <v>3.054212376E-3</v>
      </c>
      <c r="H526">
        <v>2.870607293E-3</v>
      </c>
      <c r="I526">
        <v>3.4098373773E-3</v>
      </c>
      <c r="J526">
        <v>3.4856556848999998E-3</v>
      </c>
      <c r="K526">
        <v>3.40998602079999E-3</v>
      </c>
      <c r="L526">
        <v>3.2556554074000001E-3</v>
      </c>
      <c r="M526">
        <v>3.0554963366E-3</v>
      </c>
      <c r="N526">
        <v>2.8542719609999999E-3</v>
      </c>
      <c r="O526">
        <v>0</v>
      </c>
      <c r="P526">
        <v>0</v>
      </c>
      <c r="Q526">
        <v>0</v>
      </c>
      <c r="R526" t="s">
        <v>243</v>
      </c>
    </row>
    <row r="527" spans="1:18" x14ac:dyDescent="0.3">
      <c r="A527" t="s">
        <v>259</v>
      </c>
      <c r="B527" t="s">
        <v>30</v>
      </c>
      <c r="C527" t="s">
        <v>288</v>
      </c>
      <c r="D527">
        <v>2.8777203740000001E-3</v>
      </c>
      <c r="E527">
        <v>4.7006354339999999E-3</v>
      </c>
      <c r="F527">
        <v>4.6452281099999904E-3</v>
      </c>
      <c r="G527">
        <v>3.705747574E-3</v>
      </c>
      <c r="H527">
        <v>3.4530832649999998E-3</v>
      </c>
      <c r="I527">
        <v>3.9322320185000001E-3</v>
      </c>
      <c r="J527">
        <v>3.9204656214999996E-3</v>
      </c>
      <c r="K527">
        <v>3.7928499612999902E-3</v>
      </c>
      <c r="L527">
        <v>3.6036235931999898E-3</v>
      </c>
      <c r="M527">
        <v>3.3687338430000002E-3</v>
      </c>
      <c r="N527">
        <v>3.1361309420000001E-3</v>
      </c>
      <c r="O527">
        <v>0</v>
      </c>
      <c r="P527">
        <v>0</v>
      </c>
      <c r="Q527">
        <v>0</v>
      </c>
      <c r="R527" t="s">
        <v>243</v>
      </c>
    </row>
    <row r="528" spans="1:18" x14ac:dyDescent="0.3">
      <c r="A528" t="s">
        <v>259</v>
      </c>
      <c r="B528" t="s">
        <v>30</v>
      </c>
      <c r="C528" t="s">
        <v>289</v>
      </c>
      <c r="D528">
        <v>3.35284470999999E-3</v>
      </c>
      <c r="E528">
        <v>5.5046853719999999E-3</v>
      </c>
      <c r="F528">
        <v>5.3284314799999901E-3</v>
      </c>
      <c r="G528">
        <v>4.3231028899999996E-3</v>
      </c>
      <c r="H528">
        <v>3.9895096029999898E-3</v>
      </c>
      <c r="I528">
        <v>4.3705068402999899E-3</v>
      </c>
      <c r="J528">
        <v>4.2754177524999904E-3</v>
      </c>
      <c r="K528">
        <v>4.0977501150999997E-3</v>
      </c>
      <c r="L528">
        <v>3.8761541282999901E-3</v>
      </c>
      <c r="M528">
        <v>3.6113612419999999E-3</v>
      </c>
      <c r="N528">
        <v>3.3535270959999899E-3</v>
      </c>
      <c r="O528">
        <v>0</v>
      </c>
      <c r="P528">
        <v>0</v>
      </c>
      <c r="Q528">
        <v>0</v>
      </c>
      <c r="R528" t="s">
        <v>243</v>
      </c>
    </row>
    <row r="529" spans="1:18" x14ac:dyDescent="0.3">
      <c r="A529" t="s">
        <v>259</v>
      </c>
      <c r="B529" t="s">
        <v>30</v>
      </c>
      <c r="C529" t="s">
        <v>290</v>
      </c>
      <c r="D529">
        <v>3.8346628160000002E-3</v>
      </c>
      <c r="E529">
        <v>6.2662061129999998E-3</v>
      </c>
      <c r="F529">
        <v>5.9537711499999899E-3</v>
      </c>
      <c r="G529">
        <v>4.9239017499999897E-3</v>
      </c>
      <c r="H529">
        <v>4.505231793E-3</v>
      </c>
      <c r="I529">
        <v>4.7662120304999998E-3</v>
      </c>
      <c r="J529">
        <v>4.5842814772999998E-3</v>
      </c>
      <c r="K529">
        <v>4.3614209982999899E-3</v>
      </c>
      <c r="L529">
        <v>4.1100133918999899E-3</v>
      </c>
      <c r="M529">
        <v>3.817367635E-3</v>
      </c>
      <c r="N529">
        <v>3.5370284600000001E-3</v>
      </c>
      <c r="O529">
        <v>0</v>
      </c>
      <c r="P529">
        <v>0</v>
      </c>
      <c r="Q529">
        <v>0</v>
      </c>
      <c r="R529" t="s">
        <v>243</v>
      </c>
    </row>
    <row r="530" spans="1:18" x14ac:dyDescent="0.3">
      <c r="A530" t="s">
        <v>259</v>
      </c>
      <c r="B530" t="s">
        <v>30</v>
      </c>
      <c r="C530" t="s">
        <v>291</v>
      </c>
      <c r="D530">
        <v>4.3947627310000001E-3</v>
      </c>
      <c r="E530">
        <v>6.9594200330000003E-3</v>
      </c>
      <c r="F530">
        <v>6.5635977899999899E-3</v>
      </c>
      <c r="G530">
        <v>5.5171878499999903E-3</v>
      </c>
      <c r="H530">
        <v>5.0232781749999997E-3</v>
      </c>
      <c r="I530">
        <v>5.1420848838000001E-3</v>
      </c>
      <c r="J530">
        <v>4.8720451032999903E-3</v>
      </c>
      <c r="K530">
        <v>4.6062237613999904E-3</v>
      </c>
      <c r="L530">
        <v>4.3299956353999997E-3</v>
      </c>
      <c r="M530">
        <v>4.0129232170000003E-3</v>
      </c>
      <c r="N530">
        <v>3.7100284500000001E-3</v>
      </c>
      <c r="O530">
        <v>0</v>
      </c>
      <c r="P530">
        <v>0</v>
      </c>
      <c r="Q530">
        <v>0</v>
      </c>
      <c r="R530" t="s">
        <v>243</v>
      </c>
    </row>
    <row r="531" spans="1:18" x14ac:dyDescent="0.3">
      <c r="A531" t="s">
        <v>259</v>
      </c>
      <c r="B531" t="s">
        <v>30</v>
      </c>
      <c r="C531" t="s">
        <v>292</v>
      </c>
      <c r="D531">
        <v>4.9439035399999999E-3</v>
      </c>
      <c r="E531">
        <v>7.66924921399999E-3</v>
      </c>
      <c r="F531">
        <v>7.2466731399999998E-3</v>
      </c>
      <c r="G531">
        <v>6.17368563E-3</v>
      </c>
      <c r="H531">
        <v>5.5672016690000003E-3</v>
      </c>
      <c r="I531">
        <v>5.5204636446999997E-3</v>
      </c>
      <c r="J531">
        <v>5.1717216736000002E-3</v>
      </c>
      <c r="K531">
        <v>4.8668351854E-3</v>
      </c>
      <c r="L531">
        <v>4.5657647136999897E-3</v>
      </c>
      <c r="M531">
        <v>4.2214068659999996E-3</v>
      </c>
      <c r="N531">
        <v>3.8947191899999902E-3</v>
      </c>
      <c r="O531">
        <v>0</v>
      </c>
      <c r="P531">
        <v>0</v>
      </c>
      <c r="Q531">
        <v>0</v>
      </c>
      <c r="R531" t="s">
        <v>243</v>
      </c>
    </row>
    <row r="532" spans="1:18" x14ac:dyDescent="0.3">
      <c r="A532" t="s">
        <v>259</v>
      </c>
      <c r="B532" t="s">
        <v>30</v>
      </c>
      <c r="C532" t="s">
        <v>293</v>
      </c>
      <c r="D532">
        <v>5.6336992739999996E-3</v>
      </c>
      <c r="E532">
        <v>8.4051644189999993E-3</v>
      </c>
      <c r="F532">
        <v>7.9380528999999991E-3</v>
      </c>
      <c r="G532">
        <v>6.8497512099999899E-3</v>
      </c>
      <c r="H532">
        <v>6.1677937970000003E-3</v>
      </c>
      <c r="I532">
        <v>5.9584927099E-3</v>
      </c>
      <c r="J532">
        <v>5.5288926179999903E-3</v>
      </c>
      <c r="K532">
        <v>5.1784075769999898E-3</v>
      </c>
      <c r="L532">
        <v>4.8469073858999996E-3</v>
      </c>
      <c r="M532">
        <v>4.4715352769999998E-3</v>
      </c>
      <c r="N532">
        <v>4.1171537750000001E-3</v>
      </c>
      <c r="O532">
        <v>0</v>
      </c>
      <c r="P532">
        <v>0</v>
      </c>
      <c r="Q532">
        <v>0</v>
      </c>
      <c r="R532" t="s">
        <v>243</v>
      </c>
    </row>
    <row r="533" spans="1:18" x14ac:dyDescent="0.3">
      <c r="A533" t="s">
        <v>259</v>
      </c>
      <c r="B533" t="s">
        <v>30</v>
      </c>
      <c r="C533" t="s">
        <v>344</v>
      </c>
      <c r="D533" s="8">
        <v>7.7495800000000004E-5</v>
      </c>
      <c r="E533" s="8">
        <v>8.3699200000000007E-6</v>
      </c>
      <c r="F533" s="8">
        <v>4.9123999999999998E-6</v>
      </c>
      <c r="G533" s="8">
        <v>2.4257100000000002E-6</v>
      </c>
      <c r="H533" s="8">
        <v>2.3616259999999998E-6</v>
      </c>
      <c r="I533" s="8">
        <v>2.4800099999999998E-6</v>
      </c>
      <c r="J533" s="8">
        <v>2.482086E-6</v>
      </c>
      <c r="K533" s="8">
        <v>2.469492E-6</v>
      </c>
      <c r="L533" s="8">
        <v>2.4224150000000001E-6</v>
      </c>
      <c r="M533" s="8">
        <v>2.3495929999999999E-6</v>
      </c>
      <c r="N533" s="8">
        <v>2.2760919999999999E-6</v>
      </c>
      <c r="O533">
        <v>0</v>
      </c>
      <c r="P533">
        <v>0</v>
      </c>
      <c r="Q533">
        <v>0</v>
      </c>
      <c r="R533" t="s">
        <v>243</v>
      </c>
    </row>
    <row r="534" spans="1:18" x14ac:dyDescent="0.3">
      <c r="A534" t="s">
        <v>259</v>
      </c>
      <c r="B534" t="s">
        <v>30</v>
      </c>
      <c r="C534" t="s">
        <v>345</v>
      </c>
      <c r="D534" s="8">
        <v>3.9215399999999999E-6</v>
      </c>
      <c r="E534" s="8">
        <v>3.5535999999999997E-7</v>
      </c>
      <c r="F534" s="8">
        <v>2.7381300000000002E-7</v>
      </c>
      <c r="G534" s="8">
        <v>1.09123E-7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243</v>
      </c>
    </row>
    <row r="535" spans="1:18" x14ac:dyDescent="0.3">
      <c r="A535" t="s">
        <v>259</v>
      </c>
      <c r="B535" t="s">
        <v>30</v>
      </c>
      <c r="C535" t="s">
        <v>346</v>
      </c>
      <c r="D535" s="8">
        <v>4.7770099999999999E-5</v>
      </c>
      <c r="E535" s="8">
        <v>4.8115800000000001E-6</v>
      </c>
      <c r="F535" s="8">
        <v>2.8031100000000002E-6</v>
      </c>
      <c r="G535" s="8">
        <v>1.4754300000000001E-6</v>
      </c>
      <c r="H535" s="8">
        <v>1.454913E-6</v>
      </c>
      <c r="I535" s="8">
        <v>1.499998E-6</v>
      </c>
      <c r="J535" s="8">
        <v>1.48977199999999E-6</v>
      </c>
      <c r="K535" s="8">
        <v>1.476372E-6</v>
      </c>
      <c r="L535" s="8">
        <v>1.4462479999999899E-6</v>
      </c>
      <c r="M535" s="8">
        <v>1.4023159999999999E-6</v>
      </c>
      <c r="N535" s="8">
        <v>1.358823E-6</v>
      </c>
      <c r="O535">
        <v>0</v>
      </c>
      <c r="P535">
        <v>0</v>
      </c>
      <c r="Q535">
        <v>0</v>
      </c>
      <c r="R535" t="s">
        <v>243</v>
      </c>
    </row>
    <row r="536" spans="1:18" x14ac:dyDescent="0.3">
      <c r="A536" t="s">
        <v>259</v>
      </c>
      <c r="B536" t="s">
        <v>30</v>
      </c>
      <c r="C536" t="s">
        <v>347</v>
      </c>
      <c r="D536" s="8">
        <v>3.6876699999999999E-5</v>
      </c>
      <c r="E536" s="8">
        <v>3.5583400000000001E-6</v>
      </c>
      <c r="F536" s="8">
        <v>2.09769E-6</v>
      </c>
      <c r="G536" s="8">
        <v>1.11396E-6</v>
      </c>
      <c r="H536" s="8">
        <v>1.095372E-6</v>
      </c>
      <c r="I536" s="8">
        <v>1.121126E-6</v>
      </c>
      <c r="J536" s="8">
        <v>1.111373E-6</v>
      </c>
      <c r="K536" s="8">
        <v>1.1001639999999999E-6</v>
      </c>
      <c r="L536" s="8">
        <v>1.077131E-6</v>
      </c>
      <c r="M536" s="8">
        <v>1.044333E-6</v>
      </c>
      <c r="N536" s="8">
        <v>1.012123E-6</v>
      </c>
      <c r="O536">
        <v>0</v>
      </c>
      <c r="P536">
        <v>0</v>
      </c>
      <c r="Q536">
        <v>0</v>
      </c>
      <c r="R536" t="s">
        <v>243</v>
      </c>
    </row>
    <row r="537" spans="1:18" x14ac:dyDescent="0.3">
      <c r="A537" t="s">
        <v>259</v>
      </c>
      <c r="B537" t="s">
        <v>30</v>
      </c>
      <c r="C537" t="s">
        <v>348</v>
      </c>
      <c r="D537" s="8">
        <v>2.9708499999999999E-5</v>
      </c>
      <c r="E537" s="8">
        <v>2.7812900000000001E-6</v>
      </c>
      <c r="F537" s="8">
        <v>1.6707299999999999E-6</v>
      </c>
      <c r="G537" s="8">
        <v>8.8662300000000001E-7</v>
      </c>
      <c r="H537" s="8">
        <v>8.70294E-7</v>
      </c>
      <c r="I537" s="8">
        <v>8.8587600000000004E-7</v>
      </c>
      <c r="J537" s="8">
        <v>8.7541699999999996E-7</v>
      </c>
      <c r="K537" s="8">
        <v>8.6542099999999995E-7</v>
      </c>
      <c r="L537" s="8">
        <v>8.4714099999999998E-7</v>
      </c>
      <c r="M537" s="8">
        <v>8.2123600000000001E-7</v>
      </c>
      <c r="N537" s="8">
        <v>7.9579800000000002E-7</v>
      </c>
      <c r="O537">
        <v>0</v>
      </c>
      <c r="P537">
        <v>0</v>
      </c>
      <c r="Q537">
        <v>0</v>
      </c>
      <c r="R537" t="s">
        <v>243</v>
      </c>
    </row>
    <row r="538" spans="1:18" x14ac:dyDescent="0.3">
      <c r="A538" t="s">
        <v>259</v>
      </c>
      <c r="B538" t="s">
        <v>30</v>
      </c>
      <c r="C538" t="s">
        <v>349</v>
      </c>
      <c r="D538" s="8">
        <v>2.44986E-5</v>
      </c>
      <c r="E538" s="8">
        <v>2.21982E-6</v>
      </c>
      <c r="F538" s="8">
        <v>1.36907E-6</v>
      </c>
      <c r="G538" s="8">
        <v>7.2066500000000003E-7</v>
      </c>
      <c r="H538" s="8">
        <v>7.0555699999999899E-7</v>
      </c>
      <c r="I538" s="8">
        <v>7.1445100000000002E-7</v>
      </c>
      <c r="J538" s="8">
        <v>7.0483360000000003E-7</v>
      </c>
      <c r="K538" s="8">
        <v>6.9587970000000003E-7</v>
      </c>
      <c r="L538" s="8">
        <v>6.80796E-7</v>
      </c>
      <c r="M538" s="8">
        <v>6.5985899999999995E-7</v>
      </c>
      <c r="N538" s="8">
        <v>6.3947999999999995E-7</v>
      </c>
      <c r="O538">
        <v>0</v>
      </c>
      <c r="P538">
        <v>0</v>
      </c>
      <c r="Q538">
        <v>0</v>
      </c>
      <c r="R538" t="s">
        <v>243</v>
      </c>
    </row>
    <row r="539" spans="1:18" x14ac:dyDescent="0.3">
      <c r="A539" t="s">
        <v>259</v>
      </c>
      <c r="B539" t="s">
        <v>30</v>
      </c>
      <c r="C539" t="s">
        <v>350</v>
      </c>
      <c r="D539" s="8">
        <v>2.02065E-5</v>
      </c>
      <c r="E539" s="8">
        <v>1.7791700000000001E-6</v>
      </c>
      <c r="F539" s="8">
        <v>1.1346999999999999E-6</v>
      </c>
      <c r="G539" s="8">
        <v>5.8653500000000003E-7</v>
      </c>
      <c r="H539" s="8">
        <v>5.7282300000000005E-7</v>
      </c>
      <c r="I539" s="8">
        <v>5.7753699999999899E-7</v>
      </c>
      <c r="J539" s="8">
        <v>5.6864949999999898E-7</v>
      </c>
      <c r="K539" s="8">
        <v>5.6087240000000004E-7</v>
      </c>
      <c r="L539" s="8">
        <v>5.4827699999999895E-7</v>
      </c>
      <c r="M539" s="8">
        <v>5.3116359999999998E-7</v>
      </c>
      <c r="N539" s="8">
        <v>5.1477849999999997E-7</v>
      </c>
      <c r="O539">
        <v>0</v>
      </c>
      <c r="P539">
        <v>0</v>
      </c>
      <c r="Q539">
        <v>0</v>
      </c>
      <c r="R539" t="s">
        <v>243</v>
      </c>
    </row>
    <row r="540" spans="1:18" x14ac:dyDescent="0.3">
      <c r="A540" t="s">
        <v>259</v>
      </c>
      <c r="B540" t="s">
        <v>30</v>
      </c>
      <c r="C540" t="s">
        <v>351</v>
      </c>
      <c r="D540" s="8">
        <v>1.6069000000000001E-5</v>
      </c>
      <c r="E540" s="8">
        <v>1.43329E-6</v>
      </c>
      <c r="F540" s="8">
        <v>9.3282199999999996E-7</v>
      </c>
      <c r="G540" s="8">
        <v>4.7286499999999999E-7</v>
      </c>
      <c r="H540" s="8">
        <v>4.6141099999999998E-7</v>
      </c>
      <c r="I540" s="8">
        <v>4.6321399999999998E-7</v>
      </c>
      <c r="J540" s="8">
        <v>4.5495049999999999E-7</v>
      </c>
      <c r="K540" s="8">
        <v>4.4820639999999998E-7</v>
      </c>
      <c r="L540" s="8">
        <v>4.3797299999999997E-7</v>
      </c>
      <c r="M540" s="8">
        <v>4.2425839999999998E-7</v>
      </c>
      <c r="N540" s="8">
        <v>4.1108169999999902E-7</v>
      </c>
      <c r="O540">
        <v>0</v>
      </c>
      <c r="P540">
        <v>0</v>
      </c>
      <c r="Q540">
        <v>0</v>
      </c>
      <c r="R540" t="s">
        <v>243</v>
      </c>
    </row>
    <row r="541" spans="1:18" x14ac:dyDescent="0.3">
      <c r="A541" t="s">
        <v>259</v>
      </c>
      <c r="B541" t="s">
        <v>30</v>
      </c>
      <c r="C541" t="s">
        <v>352</v>
      </c>
      <c r="D541" s="8">
        <v>1.26235E-5</v>
      </c>
      <c r="E541" s="8">
        <v>1.11346E-6</v>
      </c>
      <c r="F541" s="8">
        <v>7.3326299999999997E-7</v>
      </c>
      <c r="G541" s="8">
        <v>3.6146899999999999E-7</v>
      </c>
      <c r="H541" s="8">
        <v>3.51247E-7</v>
      </c>
      <c r="I541" s="8">
        <v>3.5066569999999902E-7</v>
      </c>
      <c r="J541" s="8">
        <v>3.4387309999999999E-7</v>
      </c>
      <c r="K541" s="8">
        <v>3.3848629999999998E-7</v>
      </c>
      <c r="L541" s="8">
        <v>3.305717E-7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243</v>
      </c>
    </row>
    <row r="542" spans="1:18" x14ac:dyDescent="0.3">
      <c r="A542" t="s">
        <v>259</v>
      </c>
      <c r="B542" t="s">
        <v>30</v>
      </c>
      <c r="C542" t="s">
        <v>353</v>
      </c>
      <c r="D542" s="8">
        <v>8.8713099999999999E-6</v>
      </c>
      <c r="E542" s="8">
        <v>8.1969699999999998E-7</v>
      </c>
      <c r="F542" s="8">
        <v>5.4762699999999996E-7</v>
      </c>
      <c r="G542" s="8">
        <v>2.6143999999999999E-7</v>
      </c>
      <c r="H542" s="8">
        <v>2.5417429999999999E-7</v>
      </c>
      <c r="I542" s="8">
        <v>2.523575E-7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243</v>
      </c>
    </row>
    <row r="543" spans="1:18" x14ac:dyDescent="0.3">
      <c r="A543" t="s">
        <v>259</v>
      </c>
      <c r="B543" t="s">
        <v>30</v>
      </c>
      <c r="C543" t="s">
        <v>294</v>
      </c>
      <c r="D543" s="8">
        <v>9.6904079999999998E-5</v>
      </c>
      <c r="E543" s="8">
        <v>1.6565784999999901E-4</v>
      </c>
      <c r="F543" s="8">
        <v>2.0035020999999899E-4</v>
      </c>
      <c r="G543" s="8">
        <v>1.737543E-4</v>
      </c>
      <c r="H543" s="8">
        <v>1.7089349799999899E-4</v>
      </c>
      <c r="I543" s="8">
        <v>2.3476901500000001E-4</v>
      </c>
      <c r="J543" s="8">
        <v>2.7714177000000002E-4</v>
      </c>
      <c r="K543" s="8">
        <v>2.949093596E-4</v>
      </c>
      <c r="L543" s="8">
        <v>2.9990844799999999E-4</v>
      </c>
      <c r="M543" s="8">
        <v>2.9813675799999898E-4</v>
      </c>
      <c r="N543" s="8">
        <v>2.9352482000000001E-4</v>
      </c>
      <c r="O543">
        <v>0</v>
      </c>
      <c r="P543">
        <v>0</v>
      </c>
      <c r="Q543">
        <v>0</v>
      </c>
      <c r="R543" t="s">
        <v>243</v>
      </c>
    </row>
    <row r="544" spans="1:18" x14ac:dyDescent="0.3">
      <c r="A544" t="s">
        <v>259</v>
      </c>
      <c r="B544" t="s">
        <v>30</v>
      </c>
      <c r="C544" t="s">
        <v>295</v>
      </c>
      <c r="D544">
        <v>1.4493469000000001E-3</v>
      </c>
      <c r="E544">
        <v>2.3086213E-3</v>
      </c>
      <c r="F544">
        <v>2.2322456000000001E-3</v>
      </c>
      <c r="G544">
        <v>2.0477558999999999E-3</v>
      </c>
      <c r="H544">
        <v>1.92984183999999E-3</v>
      </c>
      <c r="I544">
        <v>1.87847335E-3</v>
      </c>
      <c r="J544">
        <v>1.79203081E-3</v>
      </c>
      <c r="K544">
        <v>1.7322641519999999E-3</v>
      </c>
      <c r="L544">
        <v>1.67366330799999E-3</v>
      </c>
      <c r="M544">
        <v>1.60094029899999E-3</v>
      </c>
      <c r="N544">
        <v>1.5358778229999999E-3</v>
      </c>
      <c r="O544">
        <v>0</v>
      </c>
      <c r="P544">
        <v>0</v>
      </c>
      <c r="Q544">
        <v>0</v>
      </c>
      <c r="R544" t="s">
        <v>243</v>
      </c>
    </row>
    <row r="545" spans="1:18" x14ac:dyDescent="0.3">
      <c r="A545" t="s">
        <v>259</v>
      </c>
      <c r="B545" t="s">
        <v>30</v>
      </c>
      <c r="C545" t="s">
        <v>296</v>
      </c>
      <c r="D545" s="8">
        <v>1.8739249999999999E-4</v>
      </c>
      <c r="E545" s="8">
        <v>3.5678737E-4</v>
      </c>
      <c r="F545" s="8">
        <v>4.2699749999999999E-4</v>
      </c>
      <c r="G545" s="8">
        <v>3.4149940000000002E-4</v>
      </c>
      <c r="H545" s="8">
        <v>3.38019422E-4</v>
      </c>
      <c r="I545" s="8">
        <v>4.3941564100000001E-4</v>
      </c>
      <c r="J545" s="8">
        <v>4.9921655999999996E-4</v>
      </c>
      <c r="K545" s="8">
        <v>5.2739646299999898E-4</v>
      </c>
      <c r="L545" s="8">
        <v>5.3518715499999896E-4</v>
      </c>
      <c r="M545" s="8">
        <v>5.3164012200000005E-4</v>
      </c>
      <c r="N545" s="8">
        <v>5.2362830400000003E-4</v>
      </c>
      <c r="O545">
        <v>0</v>
      </c>
      <c r="P545">
        <v>0</v>
      </c>
      <c r="Q545">
        <v>0</v>
      </c>
      <c r="R545" t="s">
        <v>243</v>
      </c>
    </row>
    <row r="546" spans="1:18" x14ac:dyDescent="0.3">
      <c r="A546" t="s">
        <v>259</v>
      </c>
      <c r="B546" t="s">
        <v>30</v>
      </c>
      <c r="C546" t="s">
        <v>297</v>
      </c>
      <c r="D546" s="8">
        <v>2.5732659999999998E-4</v>
      </c>
      <c r="E546" s="8">
        <v>5.1143858999999896E-4</v>
      </c>
      <c r="F546" s="8">
        <v>5.9563779999999896E-4</v>
      </c>
      <c r="G546" s="8">
        <v>4.7538799999999998E-4</v>
      </c>
      <c r="H546" s="8">
        <v>4.6303432499999997E-4</v>
      </c>
      <c r="I546" s="8">
        <v>5.8512965199999998E-4</v>
      </c>
      <c r="J546" s="8">
        <v>6.5370270600000004E-4</v>
      </c>
      <c r="K546" s="8">
        <v>6.8637404799999895E-4</v>
      </c>
      <c r="L546" s="8">
        <v>6.9390427299999898E-4</v>
      </c>
      <c r="M546" s="8">
        <v>6.8749183799999896E-4</v>
      </c>
      <c r="N546" s="8">
        <v>6.7601422799999904E-4</v>
      </c>
      <c r="O546">
        <v>0</v>
      </c>
      <c r="P546">
        <v>0</v>
      </c>
      <c r="Q546">
        <v>0</v>
      </c>
      <c r="R546" t="s">
        <v>243</v>
      </c>
    </row>
    <row r="547" spans="1:18" x14ac:dyDescent="0.3">
      <c r="A547" t="s">
        <v>259</v>
      </c>
      <c r="B547" t="s">
        <v>30</v>
      </c>
      <c r="C547" t="s">
        <v>298</v>
      </c>
      <c r="D547" s="8">
        <v>3.2943809999999899E-4</v>
      </c>
      <c r="E547" s="8">
        <v>6.6707853999999902E-4</v>
      </c>
      <c r="F547" s="8">
        <v>7.5445189999999896E-4</v>
      </c>
      <c r="G547" s="8">
        <v>6.0577039999999997E-4</v>
      </c>
      <c r="H547" s="8">
        <v>5.8467404100000003E-4</v>
      </c>
      <c r="I547" s="8">
        <v>7.2077827000000005E-4</v>
      </c>
      <c r="J547" s="8">
        <v>7.8936800899999902E-4</v>
      </c>
      <c r="K547" s="8">
        <v>8.2175661399999905E-4</v>
      </c>
      <c r="L547" s="8">
        <v>8.27585064E-4</v>
      </c>
      <c r="M547" s="8">
        <v>8.1705890100000004E-4</v>
      </c>
      <c r="N547" s="8">
        <v>8.0101378999999895E-4</v>
      </c>
      <c r="O547">
        <v>0</v>
      </c>
      <c r="P547">
        <v>0</v>
      </c>
      <c r="Q547">
        <v>0</v>
      </c>
      <c r="R547" t="s">
        <v>243</v>
      </c>
    </row>
    <row r="548" spans="1:18" x14ac:dyDescent="0.3">
      <c r="A548" t="s">
        <v>259</v>
      </c>
      <c r="B548" t="s">
        <v>30</v>
      </c>
      <c r="C548" t="s">
        <v>299</v>
      </c>
      <c r="D548" s="8">
        <v>4.0511019999999999E-4</v>
      </c>
      <c r="E548" s="8">
        <v>8.3264359999999998E-4</v>
      </c>
      <c r="F548" s="8">
        <v>9.1022889999999902E-4</v>
      </c>
      <c r="G548" s="8">
        <v>7.4302639999999996E-4</v>
      </c>
      <c r="H548" s="8">
        <v>7.1017718999999999E-4</v>
      </c>
      <c r="I548" s="8">
        <v>8.5324581299999998E-4</v>
      </c>
      <c r="J548" s="8">
        <v>9.1959390199999901E-4</v>
      </c>
      <c r="K548" s="8">
        <v>9.4827109200000005E-4</v>
      </c>
      <c r="L548" s="8">
        <v>9.4970299999999901E-4</v>
      </c>
      <c r="M548" s="8">
        <v>9.3373574600000005E-4</v>
      </c>
      <c r="N548" s="8">
        <v>9.1288721399999896E-4</v>
      </c>
      <c r="O548">
        <v>0</v>
      </c>
      <c r="P548">
        <v>0</v>
      </c>
      <c r="Q548">
        <v>0</v>
      </c>
      <c r="R548" t="s">
        <v>243</v>
      </c>
    </row>
    <row r="549" spans="1:18" x14ac:dyDescent="0.3">
      <c r="A549" t="s">
        <v>259</v>
      </c>
      <c r="B549" t="s">
        <v>30</v>
      </c>
      <c r="C549" t="s">
        <v>300</v>
      </c>
      <c r="D549" s="8">
        <v>4.9168300000000003E-4</v>
      </c>
      <c r="E549">
        <v>1.0136680999999999E-3</v>
      </c>
      <c r="F549">
        <v>1.0696389E-3</v>
      </c>
      <c r="G549" s="8">
        <v>8.9262420000000002E-4</v>
      </c>
      <c r="H549" s="8">
        <v>8.4627648000000001E-4</v>
      </c>
      <c r="I549" s="8">
        <v>9.9144958899999996E-4</v>
      </c>
      <c r="J549">
        <v>1.04974010699999E-3</v>
      </c>
      <c r="K549">
        <v>1.072062788E-3</v>
      </c>
      <c r="L549">
        <v>1.0665234150000001E-3</v>
      </c>
      <c r="M549">
        <v>1.0430861220000001E-3</v>
      </c>
      <c r="N549">
        <v>1.0164892419999899E-3</v>
      </c>
      <c r="O549">
        <v>0</v>
      </c>
      <c r="P549">
        <v>0</v>
      </c>
      <c r="Q549">
        <v>0</v>
      </c>
      <c r="R549" t="s">
        <v>243</v>
      </c>
    </row>
    <row r="550" spans="1:18" x14ac:dyDescent="0.3">
      <c r="A550" t="s">
        <v>259</v>
      </c>
      <c r="B550" t="s">
        <v>30</v>
      </c>
      <c r="C550" t="s">
        <v>301</v>
      </c>
      <c r="D550" s="8">
        <v>6.0849929999999997E-4</v>
      </c>
      <c r="E550">
        <v>1.2053194E-3</v>
      </c>
      <c r="F550">
        <v>1.2443615E-3</v>
      </c>
      <c r="G550">
        <v>1.0599939999999899E-3</v>
      </c>
      <c r="H550">
        <v>1.00238357E-3</v>
      </c>
      <c r="I550">
        <v>1.1418830799999999E-3</v>
      </c>
      <c r="J550">
        <v>1.184464412E-3</v>
      </c>
      <c r="K550">
        <v>1.196202689E-3</v>
      </c>
      <c r="L550">
        <v>1.1825185649999999E-3</v>
      </c>
      <c r="M550">
        <v>1.15087412E-3</v>
      </c>
      <c r="N550">
        <v>1.116899309E-3</v>
      </c>
      <c r="O550">
        <v>0</v>
      </c>
      <c r="P550">
        <v>0</v>
      </c>
      <c r="Q550">
        <v>0</v>
      </c>
      <c r="R550" t="s">
        <v>243</v>
      </c>
    </row>
    <row r="551" spans="1:18" x14ac:dyDescent="0.3">
      <c r="A551" t="s">
        <v>259</v>
      </c>
      <c r="B551" t="s">
        <v>30</v>
      </c>
      <c r="C551" t="s">
        <v>302</v>
      </c>
      <c r="D551" s="8">
        <v>7.459818E-4</v>
      </c>
      <c r="E551">
        <v>1.4354086E-3</v>
      </c>
      <c r="F551">
        <v>1.4677337E-3</v>
      </c>
      <c r="G551">
        <v>1.2739822E-3</v>
      </c>
      <c r="H551">
        <v>1.1929811199999901E-3</v>
      </c>
      <c r="I551">
        <v>1.31073276E-3</v>
      </c>
      <c r="J551">
        <v>1.3312732570000001E-3</v>
      </c>
      <c r="K551">
        <v>1.32816170499999E-3</v>
      </c>
      <c r="L551">
        <v>1.3032086119999899E-3</v>
      </c>
      <c r="M551">
        <v>1.2604630000000001E-3</v>
      </c>
      <c r="N551">
        <v>1.217886131E-3</v>
      </c>
      <c r="O551">
        <v>0</v>
      </c>
      <c r="P551">
        <v>0</v>
      </c>
      <c r="Q551">
        <v>0</v>
      </c>
      <c r="R551" t="s">
        <v>243</v>
      </c>
    </row>
    <row r="552" spans="1:18" x14ac:dyDescent="0.3">
      <c r="A552" t="s">
        <v>259</v>
      </c>
      <c r="B552" t="s">
        <v>30</v>
      </c>
      <c r="C552" t="s">
        <v>303</v>
      </c>
      <c r="D552" s="8">
        <v>9.6490679999999905E-4</v>
      </c>
      <c r="E552">
        <v>1.7136736E-3</v>
      </c>
      <c r="F552">
        <v>1.7263275999999999E-3</v>
      </c>
      <c r="G552">
        <v>1.5302410999999999E-3</v>
      </c>
      <c r="H552">
        <v>1.4380218999999999E-3</v>
      </c>
      <c r="I552">
        <v>1.5131904700000001E-3</v>
      </c>
      <c r="J552">
        <v>1.4957836399999999E-3</v>
      </c>
      <c r="K552">
        <v>1.4697326990000001E-3</v>
      </c>
      <c r="L552">
        <v>1.4301903620000001E-3</v>
      </c>
      <c r="M552">
        <v>1.3751883879999901E-3</v>
      </c>
      <c r="N552">
        <v>1.32350532599999E-3</v>
      </c>
      <c r="O552">
        <v>0</v>
      </c>
      <c r="P552">
        <v>0</v>
      </c>
      <c r="Q552">
        <v>0</v>
      </c>
      <c r="R552" t="s">
        <v>243</v>
      </c>
    </row>
    <row r="553" spans="1:18" x14ac:dyDescent="0.3">
      <c r="A553" t="s">
        <v>259</v>
      </c>
      <c r="B553" t="s">
        <v>30</v>
      </c>
      <c r="C553" t="s">
        <v>304</v>
      </c>
      <c r="D553" s="8">
        <v>4.0267900000000003E-4</v>
      </c>
      <c r="E553" s="8">
        <v>5.3306299999999996E-4</v>
      </c>
      <c r="F553" s="8">
        <v>6.1909699999999998E-4</v>
      </c>
      <c r="G553" s="8">
        <v>5.7673399999999997E-4</v>
      </c>
      <c r="H553" s="8">
        <v>6.1007399999999995E-4</v>
      </c>
      <c r="I553" s="8">
        <v>6.8165099999999905E-4</v>
      </c>
      <c r="J553" s="8">
        <v>7.0293340000000001E-4</v>
      </c>
      <c r="K553" s="8">
        <v>7.1124899999999995E-4</v>
      </c>
      <c r="L553" s="8">
        <v>7.0350899999999995E-4</v>
      </c>
      <c r="M553" s="8">
        <v>6.8600699999999998E-4</v>
      </c>
      <c r="N553" s="8">
        <v>6.6651099999999995E-4</v>
      </c>
      <c r="O553">
        <v>0</v>
      </c>
      <c r="P553">
        <v>0</v>
      </c>
      <c r="Q553">
        <v>0</v>
      </c>
      <c r="R553" t="s">
        <v>243</v>
      </c>
    </row>
    <row r="554" spans="1:18" x14ac:dyDescent="0.3">
      <c r="A554" t="s">
        <v>259</v>
      </c>
      <c r="B554" t="s">
        <v>30</v>
      </c>
      <c r="C554" t="s">
        <v>305</v>
      </c>
      <c r="D554">
        <v>1.24537E-3</v>
      </c>
      <c r="E554">
        <v>1.7610799999999999E-3</v>
      </c>
      <c r="F554">
        <v>1.77674E-3</v>
      </c>
      <c r="G554">
        <v>1.72368E-3</v>
      </c>
      <c r="H554">
        <v>1.673655E-3</v>
      </c>
      <c r="I554">
        <v>1.6415259999999999E-3</v>
      </c>
      <c r="J554">
        <v>1.5969179999999999E-3</v>
      </c>
      <c r="K554">
        <v>1.5645799999999899E-3</v>
      </c>
      <c r="L554">
        <v>1.5241790000000001E-3</v>
      </c>
      <c r="M554">
        <v>1.4736789999999899E-3</v>
      </c>
      <c r="N554">
        <v>1.4265359999999999E-3</v>
      </c>
      <c r="O554">
        <v>0</v>
      </c>
      <c r="P554">
        <v>0</v>
      </c>
      <c r="Q554">
        <v>0</v>
      </c>
      <c r="R554" t="s">
        <v>243</v>
      </c>
    </row>
    <row r="555" spans="1:18" x14ac:dyDescent="0.3">
      <c r="A555" t="s">
        <v>259</v>
      </c>
      <c r="B555" t="s">
        <v>30</v>
      </c>
      <c r="C555" t="s">
        <v>306</v>
      </c>
      <c r="D555" s="8">
        <v>5.9234800000000003E-4</v>
      </c>
      <c r="E555" s="8">
        <v>8.3255600000000003E-4</v>
      </c>
      <c r="F555" s="8">
        <v>9.2645800000000001E-4</v>
      </c>
      <c r="G555" s="8">
        <v>8.3509600000000002E-4</v>
      </c>
      <c r="H555" s="8">
        <v>8.5527900000000002E-4</v>
      </c>
      <c r="I555" s="8">
        <v>8.9652700000000004E-4</v>
      </c>
      <c r="J555" s="8">
        <v>8.9552699999999904E-4</v>
      </c>
      <c r="K555" s="8">
        <v>8.8905500000000003E-4</v>
      </c>
      <c r="L555" s="8">
        <v>8.7145300000000001E-4</v>
      </c>
      <c r="M555" s="8">
        <v>8.4535100000000005E-4</v>
      </c>
      <c r="N555" s="8">
        <v>8.1918799999999999E-4</v>
      </c>
      <c r="O555">
        <v>0</v>
      </c>
      <c r="P555">
        <v>0</v>
      </c>
      <c r="Q555">
        <v>0</v>
      </c>
      <c r="R555" t="s">
        <v>243</v>
      </c>
    </row>
    <row r="556" spans="1:18" x14ac:dyDescent="0.3">
      <c r="A556" t="s">
        <v>259</v>
      </c>
      <c r="B556" t="s">
        <v>30</v>
      </c>
      <c r="C556" t="s">
        <v>307</v>
      </c>
      <c r="D556" s="8">
        <v>6.8623800000000004E-4</v>
      </c>
      <c r="E556" s="8">
        <v>9.7718499999999999E-4</v>
      </c>
      <c r="F556">
        <v>1.0606999999999999E-3</v>
      </c>
      <c r="G556" s="8">
        <v>9.6200500000000004E-4</v>
      </c>
      <c r="H556" s="8">
        <v>9.6213199999999998E-4</v>
      </c>
      <c r="I556" s="8">
        <v>9.9020599999999999E-4</v>
      </c>
      <c r="J556" s="8">
        <v>9.8303600000000007E-4</v>
      </c>
      <c r="K556" s="8">
        <v>9.7332299999999903E-4</v>
      </c>
      <c r="L556" s="8">
        <v>9.5299600000000001E-4</v>
      </c>
      <c r="M556" s="8">
        <v>9.2405999999999999E-4</v>
      </c>
      <c r="N556" s="8">
        <v>8.9553899999999999E-4</v>
      </c>
      <c r="O556">
        <v>0</v>
      </c>
      <c r="P556">
        <v>0</v>
      </c>
      <c r="Q556">
        <v>0</v>
      </c>
      <c r="R556" t="s">
        <v>243</v>
      </c>
    </row>
    <row r="557" spans="1:18" x14ac:dyDescent="0.3">
      <c r="A557" t="s">
        <v>259</v>
      </c>
      <c r="B557" t="s">
        <v>30</v>
      </c>
      <c r="C557" t="s">
        <v>308</v>
      </c>
      <c r="D557" s="8">
        <v>7.5678200000000001E-4</v>
      </c>
      <c r="E557">
        <v>1.08062E-3</v>
      </c>
      <c r="F557">
        <v>1.1543600000000001E-3</v>
      </c>
      <c r="G557">
        <v>1.0526699999999999E-3</v>
      </c>
      <c r="H557">
        <v>1.0407280000000001E-3</v>
      </c>
      <c r="I557">
        <v>1.0611150000000001E-3</v>
      </c>
      <c r="J557">
        <v>1.0488990000000001E-3</v>
      </c>
      <c r="K557">
        <v>1.0369159999999999E-3</v>
      </c>
      <c r="L557">
        <v>1.0150160000000001E-3</v>
      </c>
      <c r="M557" s="8">
        <v>9.8400299999999892E-4</v>
      </c>
      <c r="N557" s="8">
        <v>9.5350999999999997E-4</v>
      </c>
      <c r="O557">
        <v>0</v>
      </c>
      <c r="P557">
        <v>0</v>
      </c>
      <c r="Q557">
        <v>0</v>
      </c>
      <c r="R557" t="s">
        <v>243</v>
      </c>
    </row>
    <row r="558" spans="1:18" x14ac:dyDescent="0.3">
      <c r="A558" t="s">
        <v>259</v>
      </c>
      <c r="B558" t="s">
        <v>30</v>
      </c>
      <c r="C558" t="s">
        <v>309</v>
      </c>
      <c r="D558" s="8">
        <v>8.1359200000000003E-4</v>
      </c>
      <c r="E558">
        <v>1.1661099999999999E-3</v>
      </c>
      <c r="F558">
        <v>1.2299399999999999E-3</v>
      </c>
      <c r="G558">
        <v>1.12907E-3</v>
      </c>
      <c r="H558">
        <v>1.1082609999999999E-3</v>
      </c>
      <c r="I558">
        <v>1.122629E-3</v>
      </c>
      <c r="J558">
        <v>1.1074919999999901E-3</v>
      </c>
      <c r="K558">
        <v>1.093405E-3</v>
      </c>
      <c r="L558">
        <v>1.069705E-3</v>
      </c>
      <c r="M558">
        <v>1.036815E-3</v>
      </c>
      <c r="N558">
        <v>1.0047879999999999E-3</v>
      </c>
      <c r="O558">
        <v>0</v>
      </c>
      <c r="P558">
        <v>0</v>
      </c>
      <c r="Q558">
        <v>0</v>
      </c>
      <c r="R558" t="s">
        <v>243</v>
      </c>
    </row>
    <row r="559" spans="1:18" x14ac:dyDescent="0.3">
      <c r="A559" t="s">
        <v>259</v>
      </c>
      <c r="B559" t="s">
        <v>30</v>
      </c>
      <c r="C559" t="s">
        <v>310</v>
      </c>
      <c r="D559" s="8">
        <v>8.6561299999999999E-4</v>
      </c>
      <c r="E559">
        <v>1.24427E-3</v>
      </c>
      <c r="F559">
        <v>1.2980800000000001E-3</v>
      </c>
      <c r="G559">
        <v>1.20016E-3</v>
      </c>
      <c r="H559">
        <v>1.172906E-3</v>
      </c>
      <c r="I559">
        <v>1.182525E-3</v>
      </c>
      <c r="J559">
        <v>1.1641989999999899E-3</v>
      </c>
      <c r="K559">
        <v>1.1482699999999901E-3</v>
      </c>
      <c r="L559">
        <v>1.122484E-3</v>
      </c>
      <c r="M559">
        <v>1.0874490000000001E-3</v>
      </c>
      <c r="N559">
        <v>1.0539029999999999E-3</v>
      </c>
      <c r="O559">
        <v>0</v>
      </c>
      <c r="P559">
        <v>0</v>
      </c>
      <c r="Q559">
        <v>0</v>
      </c>
      <c r="R559" t="s">
        <v>243</v>
      </c>
    </row>
    <row r="560" spans="1:18" x14ac:dyDescent="0.3">
      <c r="A560" t="s">
        <v>259</v>
      </c>
      <c r="B560" t="s">
        <v>30</v>
      </c>
      <c r="C560" t="s">
        <v>311</v>
      </c>
      <c r="D560" s="8">
        <v>9.2324900000000001E-4</v>
      </c>
      <c r="E560">
        <v>1.31803E-3</v>
      </c>
      <c r="F560">
        <v>1.36696E-3</v>
      </c>
      <c r="G560">
        <v>1.2717500000000001E-3</v>
      </c>
      <c r="H560">
        <v>1.241004E-3</v>
      </c>
      <c r="I560">
        <v>1.245709E-3</v>
      </c>
      <c r="J560">
        <v>1.223324E-3</v>
      </c>
      <c r="K560">
        <v>1.2051900000000001E-3</v>
      </c>
      <c r="L560">
        <v>1.177673E-3</v>
      </c>
      <c r="M560">
        <v>1.1407979999999999E-3</v>
      </c>
      <c r="N560">
        <v>1.1053650000000001E-3</v>
      </c>
      <c r="O560">
        <v>0</v>
      </c>
      <c r="P560">
        <v>0</v>
      </c>
      <c r="Q560">
        <v>0</v>
      </c>
      <c r="R560" t="s">
        <v>243</v>
      </c>
    </row>
    <row r="561" spans="1:18" x14ac:dyDescent="0.3">
      <c r="A561" t="s">
        <v>259</v>
      </c>
      <c r="B561" t="s">
        <v>30</v>
      </c>
      <c r="C561" t="s">
        <v>312</v>
      </c>
      <c r="D561" s="8">
        <v>9.8112999999999998E-4</v>
      </c>
      <c r="E561">
        <v>1.40117E-3</v>
      </c>
      <c r="F561">
        <v>1.45115E-3</v>
      </c>
      <c r="G561">
        <v>1.358E-3</v>
      </c>
      <c r="H561">
        <v>1.3194459999999999E-3</v>
      </c>
      <c r="I561">
        <v>1.3170930000000001E-3</v>
      </c>
      <c r="J561">
        <v>1.2914090000000001E-3</v>
      </c>
      <c r="K561">
        <v>1.2711770000000001E-3</v>
      </c>
      <c r="L561">
        <v>1.2414559999999999E-3</v>
      </c>
      <c r="M561">
        <v>1.2019579999999999E-3</v>
      </c>
      <c r="N561">
        <v>1.164329E-3</v>
      </c>
      <c r="O561">
        <v>0</v>
      </c>
      <c r="P561">
        <v>0</v>
      </c>
      <c r="Q561">
        <v>0</v>
      </c>
      <c r="R561" t="s">
        <v>243</v>
      </c>
    </row>
    <row r="562" spans="1:18" x14ac:dyDescent="0.3">
      <c r="A562" t="s">
        <v>259</v>
      </c>
      <c r="B562" t="s">
        <v>30</v>
      </c>
      <c r="C562" t="s">
        <v>313</v>
      </c>
      <c r="D562">
        <v>1.06314E-3</v>
      </c>
      <c r="E562">
        <v>1.5010799999999999E-3</v>
      </c>
      <c r="F562">
        <v>1.5491400000000001E-3</v>
      </c>
      <c r="G562">
        <v>1.46156E-3</v>
      </c>
      <c r="H562">
        <v>1.4207619999999999E-3</v>
      </c>
      <c r="I562">
        <v>1.410426E-3</v>
      </c>
      <c r="J562">
        <v>1.3787459999999999E-3</v>
      </c>
      <c r="K562">
        <v>1.354526E-3</v>
      </c>
      <c r="L562">
        <v>1.3214899999999901E-3</v>
      </c>
      <c r="M562">
        <v>1.27892499999999E-3</v>
      </c>
      <c r="N562">
        <v>1.2387309999999901E-3</v>
      </c>
      <c r="O562">
        <v>0</v>
      </c>
      <c r="P562">
        <v>0</v>
      </c>
      <c r="Q562">
        <v>0</v>
      </c>
      <c r="R562" t="s">
        <v>243</v>
      </c>
    </row>
    <row r="563" spans="1:18" x14ac:dyDescent="0.3">
      <c r="A563" t="s">
        <v>259</v>
      </c>
      <c r="B563" t="s">
        <v>30</v>
      </c>
      <c r="C563" t="s">
        <v>314</v>
      </c>
      <c r="D563" s="8">
        <v>6.6727600000000001E-5</v>
      </c>
      <c r="E563" s="8">
        <v>8.8892299999999996E-5</v>
      </c>
      <c r="F563" s="8">
        <v>1.05728E-4</v>
      </c>
      <c r="G563" s="8">
        <v>9.88635E-5</v>
      </c>
      <c r="H563" s="8">
        <v>1.0623799999999999E-4</v>
      </c>
      <c r="I563" s="8">
        <v>1.21765E-4</v>
      </c>
      <c r="J563" s="8">
        <v>1.28424E-4</v>
      </c>
      <c r="K563" s="8">
        <v>1.3068500000000001E-4</v>
      </c>
      <c r="L563" s="8">
        <v>1.2929799999999999E-4</v>
      </c>
      <c r="M563" s="8">
        <v>1.2593599999999999E-4</v>
      </c>
      <c r="N563" s="8">
        <v>1.21747E-4</v>
      </c>
      <c r="O563">
        <v>0</v>
      </c>
      <c r="P563">
        <v>0</v>
      </c>
      <c r="Q563">
        <v>0</v>
      </c>
      <c r="R563" t="s">
        <v>243</v>
      </c>
    </row>
    <row r="564" spans="1:18" x14ac:dyDescent="0.3">
      <c r="A564" t="s">
        <v>259</v>
      </c>
      <c r="B564" t="s">
        <v>30</v>
      </c>
      <c r="C564" t="s">
        <v>315</v>
      </c>
      <c r="D564" s="8">
        <v>2.5724800000000001E-4</v>
      </c>
      <c r="E564" s="8">
        <v>3.5850999999999998E-4</v>
      </c>
      <c r="F564" s="8">
        <v>3.59427E-4</v>
      </c>
      <c r="G564" s="8">
        <v>3.4952600000000001E-4</v>
      </c>
      <c r="H564" s="8">
        <v>3.3153099999999998E-4</v>
      </c>
      <c r="I564" s="8">
        <v>3.1958300000000002E-4</v>
      </c>
      <c r="J564" s="8">
        <v>3.1092000000000001E-4</v>
      </c>
      <c r="K564" s="8">
        <v>3.0087199999999999E-4</v>
      </c>
      <c r="L564" s="8">
        <v>2.8976799999999998E-4</v>
      </c>
      <c r="M564" s="8">
        <v>2.77967E-4</v>
      </c>
      <c r="N564" s="8">
        <v>2.6624999999999999E-4</v>
      </c>
      <c r="O564">
        <v>0</v>
      </c>
      <c r="P564">
        <v>0</v>
      </c>
      <c r="Q564">
        <v>0</v>
      </c>
      <c r="R564" t="s">
        <v>243</v>
      </c>
    </row>
    <row r="565" spans="1:18" x14ac:dyDescent="0.3">
      <c r="A565" t="s">
        <v>259</v>
      </c>
      <c r="B565" t="s">
        <v>30</v>
      </c>
      <c r="C565" t="s">
        <v>316</v>
      </c>
      <c r="D565" s="8">
        <v>1.06394E-4</v>
      </c>
      <c r="E565" s="8">
        <v>1.51831E-4</v>
      </c>
      <c r="F565" s="8">
        <v>1.7294500000000001E-4</v>
      </c>
      <c r="G565" s="8">
        <v>1.5468E-4</v>
      </c>
      <c r="H565" s="8">
        <v>1.6081E-4</v>
      </c>
      <c r="I565" s="8">
        <v>1.70402E-4</v>
      </c>
      <c r="J565" s="8">
        <v>1.7202600000000001E-4</v>
      </c>
      <c r="K565" s="8">
        <v>1.69813E-4</v>
      </c>
      <c r="L565" s="8">
        <v>1.6510400000000001E-4</v>
      </c>
      <c r="M565" s="8">
        <v>1.5907200000000001E-4</v>
      </c>
      <c r="N565" s="8">
        <v>1.5267500000000001E-4</v>
      </c>
      <c r="O565">
        <v>0</v>
      </c>
      <c r="P565">
        <v>0</v>
      </c>
      <c r="Q565">
        <v>0</v>
      </c>
      <c r="R565" t="s">
        <v>243</v>
      </c>
    </row>
    <row r="566" spans="1:18" x14ac:dyDescent="0.3">
      <c r="A566" t="s">
        <v>259</v>
      </c>
      <c r="B566" t="s">
        <v>30</v>
      </c>
      <c r="C566" t="s">
        <v>317</v>
      </c>
      <c r="D566" s="8">
        <v>1.28629E-4</v>
      </c>
      <c r="E566" s="8">
        <v>1.8630900000000001E-4</v>
      </c>
      <c r="F566" s="8">
        <v>2.0542999999999999E-4</v>
      </c>
      <c r="G566" s="8">
        <v>1.8500600000000001E-4</v>
      </c>
      <c r="H566" s="8">
        <v>1.8591199999999999E-4</v>
      </c>
      <c r="I566" s="8">
        <v>1.9122099999999999E-4</v>
      </c>
      <c r="J566" s="8">
        <v>1.907E-4</v>
      </c>
      <c r="K566" s="8">
        <v>1.8691500000000001E-4</v>
      </c>
      <c r="L566" s="8">
        <v>1.81115E-4</v>
      </c>
      <c r="M566" s="8">
        <v>1.7423699999999999E-4</v>
      </c>
      <c r="N566" s="8">
        <v>1.67119E-4</v>
      </c>
      <c r="O566">
        <v>0</v>
      </c>
      <c r="P566">
        <v>0</v>
      </c>
      <c r="Q566">
        <v>0</v>
      </c>
      <c r="R566" t="s">
        <v>243</v>
      </c>
    </row>
    <row r="567" spans="1:18" x14ac:dyDescent="0.3">
      <c r="A567" t="s">
        <v>259</v>
      </c>
      <c r="B567" t="s">
        <v>30</v>
      </c>
      <c r="C567" t="s">
        <v>318</v>
      </c>
      <c r="D567" s="8">
        <v>1.46417E-4</v>
      </c>
      <c r="E567" s="8">
        <v>2.11988E-4</v>
      </c>
      <c r="F567" s="8">
        <v>2.2821699999999999E-4</v>
      </c>
      <c r="G567" s="8">
        <v>2.0716899999999999E-4</v>
      </c>
      <c r="H567" s="8">
        <v>2.0384999999999999E-4</v>
      </c>
      <c r="I567" s="8">
        <v>2.06102E-4</v>
      </c>
      <c r="J567" s="8">
        <v>2.04021E-4</v>
      </c>
      <c r="K567" s="8">
        <v>1.9934099999999999E-4</v>
      </c>
      <c r="L567" s="8">
        <v>1.9299000000000001E-4</v>
      </c>
      <c r="M567" s="8">
        <v>1.85589E-4</v>
      </c>
      <c r="N567" s="8">
        <v>1.7796000000000001E-4</v>
      </c>
      <c r="O567">
        <v>0</v>
      </c>
      <c r="P567">
        <v>0</v>
      </c>
      <c r="Q567">
        <v>0</v>
      </c>
      <c r="R567" t="s">
        <v>243</v>
      </c>
    </row>
    <row r="568" spans="1:18" x14ac:dyDescent="0.3">
      <c r="A568" t="s">
        <v>259</v>
      </c>
      <c r="B568" t="s">
        <v>30</v>
      </c>
      <c r="C568" t="s">
        <v>319</v>
      </c>
      <c r="D568" s="8">
        <v>1.6111599999999999E-4</v>
      </c>
      <c r="E568" s="8">
        <v>2.3295499999999999E-4</v>
      </c>
      <c r="F568" s="8">
        <v>2.4598699999999997E-4</v>
      </c>
      <c r="G568" s="8">
        <v>2.25465E-4</v>
      </c>
      <c r="H568" s="8">
        <v>2.1853000000000001E-4</v>
      </c>
      <c r="I568" s="8">
        <v>2.1848899999999999E-4</v>
      </c>
      <c r="J568" s="8">
        <v>2.15579E-4</v>
      </c>
      <c r="K568" s="8">
        <v>2.1024600000000001E-4</v>
      </c>
      <c r="L568" s="8">
        <v>2.03396E-4</v>
      </c>
      <c r="M568" s="8">
        <v>1.9555899999999999E-4</v>
      </c>
      <c r="N568" s="8">
        <v>1.8753300000000001E-4</v>
      </c>
      <c r="O568">
        <v>0</v>
      </c>
      <c r="P568">
        <v>0</v>
      </c>
      <c r="Q568">
        <v>0</v>
      </c>
      <c r="R568" t="s">
        <v>243</v>
      </c>
    </row>
    <row r="569" spans="1:18" x14ac:dyDescent="0.3">
      <c r="A569" t="s">
        <v>259</v>
      </c>
      <c r="B569" t="s">
        <v>30</v>
      </c>
      <c r="C569" t="s">
        <v>320</v>
      </c>
      <c r="D569" s="8">
        <v>1.7445899999999999E-4</v>
      </c>
      <c r="E569" s="8">
        <v>2.5123700000000002E-4</v>
      </c>
      <c r="F569" s="8">
        <v>2.6125999999999998E-4</v>
      </c>
      <c r="G569" s="8">
        <v>2.41728E-4</v>
      </c>
      <c r="H569" s="8">
        <v>2.3198199999999999E-4</v>
      </c>
      <c r="I569" s="8">
        <v>2.3028999999999999E-4</v>
      </c>
      <c r="J569" s="8">
        <v>2.2665900000000001E-4</v>
      </c>
      <c r="K569" s="8">
        <v>2.2080400000000001E-4</v>
      </c>
      <c r="L569" s="8">
        <v>2.1342799999999999E-4</v>
      </c>
      <c r="M569" s="8">
        <v>2.0511100000000001E-4</v>
      </c>
      <c r="N569" s="8">
        <v>1.9670000000000001E-4</v>
      </c>
      <c r="O569">
        <v>0</v>
      </c>
      <c r="P569">
        <v>0</v>
      </c>
      <c r="Q569">
        <v>0</v>
      </c>
      <c r="R569" t="s">
        <v>243</v>
      </c>
    </row>
    <row r="570" spans="1:18" x14ac:dyDescent="0.3">
      <c r="A570" t="s">
        <v>259</v>
      </c>
      <c r="B570" t="s">
        <v>30</v>
      </c>
      <c r="C570" t="s">
        <v>321</v>
      </c>
      <c r="D570" s="8">
        <v>1.8861099999999999E-4</v>
      </c>
      <c r="E570" s="8">
        <v>2.6752900000000002E-4</v>
      </c>
      <c r="F570" s="8">
        <v>2.7601699999999998E-4</v>
      </c>
      <c r="G570" s="8">
        <v>2.5728200000000001E-4</v>
      </c>
      <c r="H570" s="8">
        <v>2.45744E-4</v>
      </c>
      <c r="I570" s="8">
        <v>2.4262400000000001E-4</v>
      </c>
      <c r="J570" s="8">
        <v>2.3817700000000001E-4</v>
      </c>
      <c r="K570" s="8">
        <v>2.31752E-4</v>
      </c>
      <c r="L570" s="8">
        <v>2.2391800000000001E-4</v>
      </c>
      <c r="M570" s="8">
        <v>2.1517500000000001E-4</v>
      </c>
      <c r="N570" s="8">
        <v>2.06305E-4</v>
      </c>
      <c r="O570">
        <v>0</v>
      </c>
      <c r="P570">
        <v>0</v>
      </c>
      <c r="Q570">
        <v>0</v>
      </c>
      <c r="R570" t="s">
        <v>243</v>
      </c>
    </row>
    <row r="571" spans="1:18" x14ac:dyDescent="0.3">
      <c r="A571" t="s">
        <v>259</v>
      </c>
      <c r="B571" t="s">
        <v>30</v>
      </c>
      <c r="C571" t="s">
        <v>322</v>
      </c>
      <c r="D571" s="8">
        <v>2.0189399999999999E-4</v>
      </c>
      <c r="E571" s="8">
        <v>2.8505000000000002E-4</v>
      </c>
      <c r="F571" s="8">
        <v>2.9344700000000001E-4</v>
      </c>
      <c r="G571" s="8">
        <v>2.7525100000000001E-4</v>
      </c>
      <c r="H571" s="8">
        <v>2.6135399999999999E-4</v>
      </c>
      <c r="I571" s="8">
        <v>2.5650500000000003E-4</v>
      </c>
      <c r="J571" s="8">
        <v>2.51442E-4</v>
      </c>
      <c r="K571" s="8">
        <v>2.4444199999999999E-4</v>
      </c>
      <c r="L571" s="8">
        <v>2.3603799999999999E-4</v>
      </c>
      <c r="M571" s="8">
        <v>2.2671200000000001E-4</v>
      </c>
      <c r="N571" s="8">
        <v>2.1730999999999999E-4</v>
      </c>
      <c r="O571">
        <v>0</v>
      </c>
      <c r="P571">
        <v>0</v>
      </c>
      <c r="Q571">
        <v>0</v>
      </c>
      <c r="R571" t="s">
        <v>243</v>
      </c>
    </row>
    <row r="572" spans="1:18" x14ac:dyDescent="0.3">
      <c r="A572" t="s">
        <v>259</v>
      </c>
      <c r="B572" t="s">
        <v>30</v>
      </c>
      <c r="C572" t="s">
        <v>323</v>
      </c>
      <c r="D572" s="8">
        <v>2.1949900000000001E-4</v>
      </c>
      <c r="E572" s="8">
        <v>3.05562E-4</v>
      </c>
      <c r="F572" s="8">
        <v>3.13374E-4</v>
      </c>
      <c r="G572" s="8">
        <v>2.9636499999999999E-4</v>
      </c>
      <c r="H572" s="8">
        <v>2.8143800000000001E-4</v>
      </c>
      <c r="I572" s="8">
        <v>2.7465600000000002E-4</v>
      </c>
      <c r="J572" s="8">
        <v>2.6844199999999998E-4</v>
      </c>
      <c r="K572" s="8">
        <v>2.6047199999999998E-4</v>
      </c>
      <c r="L572" s="8">
        <v>2.5124799999999998E-4</v>
      </c>
      <c r="M572" s="8">
        <v>2.4123100000000001E-4</v>
      </c>
      <c r="N572" s="8">
        <v>2.3119699999999999E-4</v>
      </c>
      <c r="O572">
        <v>0</v>
      </c>
      <c r="P572">
        <v>0</v>
      </c>
      <c r="Q572">
        <v>0</v>
      </c>
      <c r="R572" t="s">
        <v>243</v>
      </c>
    </row>
    <row r="573" spans="1:18" x14ac:dyDescent="0.3">
      <c r="A573" t="s">
        <v>259</v>
      </c>
      <c r="B573" t="s">
        <v>12</v>
      </c>
      <c r="C573" t="s">
        <v>261</v>
      </c>
      <c r="D573">
        <v>1.9820800000000002E-3</v>
      </c>
      <c r="E573">
        <v>3.7970399999999998E-3</v>
      </c>
      <c r="F573">
        <v>5.0459699989999999E-3</v>
      </c>
      <c r="G573">
        <v>4.0358599979999996E-3</v>
      </c>
      <c r="H573">
        <v>4.4236452460000002E-3</v>
      </c>
      <c r="I573">
        <v>3.7220711155999901E-3</v>
      </c>
      <c r="J573">
        <v>3.5798622666E-3</v>
      </c>
      <c r="K573">
        <v>3.4844689748999998E-3</v>
      </c>
      <c r="L573">
        <v>3.3807551432999999E-3</v>
      </c>
      <c r="M573">
        <v>3.2314976326999999E-3</v>
      </c>
      <c r="N573">
        <v>3.0989945271999901E-3</v>
      </c>
      <c r="O573">
        <v>0</v>
      </c>
      <c r="P573">
        <v>0</v>
      </c>
      <c r="Q573">
        <v>0</v>
      </c>
      <c r="R573" t="s">
        <v>243</v>
      </c>
    </row>
    <row r="574" spans="1:18" x14ac:dyDescent="0.3">
      <c r="A574" t="s">
        <v>259</v>
      </c>
      <c r="B574" t="s">
        <v>12</v>
      </c>
      <c r="C574" t="s">
        <v>262</v>
      </c>
      <c r="D574" s="8">
        <v>1.4042343E-4</v>
      </c>
      <c r="E574" s="8">
        <v>8.3256274999999995E-4</v>
      </c>
      <c r="F574">
        <v>1.2375355899999999E-3</v>
      </c>
      <c r="G574">
        <v>1.38913095E-3</v>
      </c>
      <c r="H574">
        <v>1.44742321E-3</v>
      </c>
      <c r="I574">
        <v>1.19817861671E-3</v>
      </c>
      <c r="J574">
        <v>1.1893069013889999E-3</v>
      </c>
      <c r="K574">
        <v>1.1358442521999901E-3</v>
      </c>
      <c r="L574">
        <v>1.0350018359299999E-3</v>
      </c>
      <c r="M574" s="8">
        <v>9.8538169300999901E-4</v>
      </c>
      <c r="N574" s="8">
        <v>9.3856828683999997E-4</v>
      </c>
      <c r="O574">
        <v>0</v>
      </c>
      <c r="P574">
        <v>0</v>
      </c>
      <c r="Q574">
        <v>0</v>
      </c>
      <c r="R574" t="s">
        <v>243</v>
      </c>
    </row>
    <row r="575" spans="1:18" x14ac:dyDescent="0.3">
      <c r="A575" t="s">
        <v>259</v>
      </c>
      <c r="B575" t="s">
        <v>12</v>
      </c>
      <c r="C575" t="s">
        <v>263</v>
      </c>
      <c r="D575">
        <v>1.235479E-3</v>
      </c>
      <c r="E575">
        <v>2.3795150299999999E-3</v>
      </c>
      <c r="F575">
        <v>4.6821656999999897E-3</v>
      </c>
      <c r="G575">
        <v>3.7223648600000002E-3</v>
      </c>
      <c r="H575">
        <v>4.0320590000000002E-3</v>
      </c>
      <c r="I575">
        <v>4.9710573397E-3</v>
      </c>
      <c r="J575">
        <v>5.5332493550000004E-3</v>
      </c>
      <c r="K575">
        <v>6.0419004240000003E-3</v>
      </c>
      <c r="L575">
        <v>6.4548558899999902E-3</v>
      </c>
      <c r="M575">
        <v>6.7907176499999904E-3</v>
      </c>
      <c r="N575">
        <v>7.08810715E-3</v>
      </c>
      <c r="O575">
        <v>0</v>
      </c>
      <c r="P575">
        <v>0</v>
      </c>
      <c r="Q575">
        <v>0</v>
      </c>
      <c r="R575" t="s">
        <v>243</v>
      </c>
    </row>
    <row r="576" spans="1:18" x14ac:dyDescent="0.3">
      <c r="A576" t="s">
        <v>259</v>
      </c>
      <c r="B576" t="s">
        <v>12</v>
      </c>
      <c r="C576" t="s">
        <v>264</v>
      </c>
      <c r="D576" s="8">
        <v>1.9892919999999999E-5</v>
      </c>
      <c r="E576" s="8">
        <v>4.2155739999999901E-5</v>
      </c>
      <c r="F576" s="8">
        <v>4.1916569999999901E-5</v>
      </c>
      <c r="G576" s="8">
        <v>4.2606659999999997E-5</v>
      </c>
      <c r="H576" s="8">
        <v>4.9465799999999902E-5</v>
      </c>
      <c r="I576" s="8">
        <v>7.352851E-5</v>
      </c>
      <c r="J576" s="8">
        <v>8.5876309999999997E-5</v>
      </c>
      <c r="K576" s="8">
        <v>9.4077400000000002E-5</v>
      </c>
      <c r="L576" s="8">
        <v>9.7891570000000001E-5</v>
      </c>
      <c r="M576" s="8">
        <v>1.0005517E-4</v>
      </c>
      <c r="N576" s="8">
        <v>1.0253705E-4</v>
      </c>
      <c r="O576">
        <v>0</v>
      </c>
      <c r="P576">
        <v>0</v>
      </c>
      <c r="Q576">
        <v>0</v>
      </c>
      <c r="R576" t="s">
        <v>243</v>
      </c>
    </row>
    <row r="577" spans="1:18" x14ac:dyDescent="0.3">
      <c r="A577" t="s">
        <v>259</v>
      </c>
      <c r="B577" t="s">
        <v>12</v>
      </c>
      <c r="C577" t="s">
        <v>265</v>
      </c>
      <c r="D577" s="8">
        <v>1.3417370000000001E-4</v>
      </c>
      <c r="E577" s="8">
        <v>3.3974539999999999E-4</v>
      </c>
      <c r="F577" s="8">
        <v>3.3614590000000002E-4</v>
      </c>
      <c r="G577" s="8">
        <v>3.4581329999999998E-4</v>
      </c>
      <c r="H577" s="8">
        <v>3.7323160000000001E-4</v>
      </c>
      <c r="I577" s="8">
        <v>4.039426E-4</v>
      </c>
      <c r="J577" s="8">
        <v>4.4389254E-4</v>
      </c>
      <c r="K577" s="8">
        <v>4.6357149999999998E-4</v>
      </c>
      <c r="L577" s="8">
        <v>4.6168899999999999E-4</v>
      </c>
      <c r="M577" s="8">
        <v>4.5282739999999899E-4</v>
      </c>
      <c r="N577" s="8">
        <v>4.4386579999999999E-4</v>
      </c>
      <c r="O577">
        <v>0</v>
      </c>
      <c r="P577">
        <v>0</v>
      </c>
      <c r="Q577">
        <v>0</v>
      </c>
      <c r="R577" t="s">
        <v>243</v>
      </c>
    </row>
    <row r="578" spans="1:18" x14ac:dyDescent="0.3">
      <c r="A578" t="s">
        <v>259</v>
      </c>
      <c r="B578" t="s">
        <v>12</v>
      </c>
      <c r="C578" t="s">
        <v>266</v>
      </c>
      <c r="D578" s="8">
        <v>3.1470000000000002E-5</v>
      </c>
      <c r="E578" s="8">
        <v>7.1484199999999996E-5</v>
      </c>
      <c r="F578" s="8">
        <v>7.2746399999999999E-5</v>
      </c>
      <c r="G578" s="8">
        <v>7.3974799999999995E-5</v>
      </c>
      <c r="H578" s="8">
        <v>8.1344309999999994E-5</v>
      </c>
      <c r="I578" s="8">
        <v>1.1638902E-4</v>
      </c>
      <c r="J578" s="8">
        <v>1.3574375999999999E-4</v>
      </c>
      <c r="K578" s="8">
        <v>1.4887173E-4</v>
      </c>
      <c r="L578" s="8">
        <v>1.5518444999999999E-4</v>
      </c>
      <c r="M578" s="8">
        <v>1.5902903E-4</v>
      </c>
      <c r="N578" s="8">
        <v>1.6332386E-4</v>
      </c>
      <c r="O578">
        <v>0</v>
      </c>
      <c r="P578">
        <v>0</v>
      </c>
      <c r="Q578">
        <v>0</v>
      </c>
      <c r="R578" t="s">
        <v>243</v>
      </c>
    </row>
    <row r="579" spans="1:18" x14ac:dyDescent="0.3">
      <c r="A579" t="s">
        <v>259</v>
      </c>
      <c r="B579" t="s">
        <v>12</v>
      </c>
      <c r="C579" t="s">
        <v>267</v>
      </c>
      <c r="D579" s="8">
        <v>4.109695E-5</v>
      </c>
      <c r="E579" s="8">
        <v>9.4950699999999999E-5</v>
      </c>
      <c r="F579" s="8">
        <v>9.4927199999999995E-5</v>
      </c>
      <c r="G579" s="8">
        <v>9.7260400000000001E-5</v>
      </c>
      <c r="H579" s="8">
        <v>1.04336679999999E-4</v>
      </c>
      <c r="I579" s="8">
        <v>1.4656389999999901E-4</v>
      </c>
      <c r="J579" s="8">
        <v>1.6965582999999999E-4</v>
      </c>
      <c r="K579" s="8">
        <v>1.8526750000000001E-4</v>
      </c>
      <c r="L579" s="8">
        <v>1.9240416999999999E-4</v>
      </c>
      <c r="M579" s="8">
        <v>1.9623249999999899E-4</v>
      </c>
      <c r="N579" s="8">
        <v>2.0041500000000001E-4</v>
      </c>
      <c r="O579">
        <v>0</v>
      </c>
      <c r="P579">
        <v>0</v>
      </c>
      <c r="Q579">
        <v>0</v>
      </c>
      <c r="R579" t="s">
        <v>243</v>
      </c>
    </row>
    <row r="580" spans="1:18" x14ac:dyDescent="0.3">
      <c r="A580" t="s">
        <v>259</v>
      </c>
      <c r="B580" t="s">
        <v>12</v>
      </c>
      <c r="C580" t="s">
        <v>268</v>
      </c>
      <c r="D580" s="8">
        <v>4.8084399999999902E-5</v>
      </c>
      <c r="E580" s="8">
        <v>1.157338E-4</v>
      </c>
      <c r="F580" s="8">
        <v>1.151169E-4</v>
      </c>
      <c r="G580" s="8">
        <v>1.17552799999999E-4</v>
      </c>
      <c r="H580" s="8">
        <v>1.2413516999999999E-4</v>
      </c>
      <c r="I580" s="8">
        <v>1.7022122000000001E-4</v>
      </c>
      <c r="J580" s="8">
        <v>1.9657341E-4</v>
      </c>
      <c r="K580" s="8">
        <v>2.14208099999999E-4</v>
      </c>
      <c r="L580" s="8">
        <v>2.22022E-4</v>
      </c>
      <c r="M580" s="8">
        <v>2.2648349999999999E-4</v>
      </c>
      <c r="N580" s="8">
        <v>2.3128229999999999E-4</v>
      </c>
      <c r="O580">
        <v>0</v>
      </c>
      <c r="P580">
        <v>0</v>
      </c>
      <c r="Q580">
        <v>0</v>
      </c>
      <c r="R580" t="s">
        <v>243</v>
      </c>
    </row>
    <row r="581" spans="1:18" x14ac:dyDescent="0.3">
      <c r="A581" t="s">
        <v>259</v>
      </c>
      <c r="B581" t="s">
        <v>12</v>
      </c>
      <c r="C581" t="s">
        <v>269</v>
      </c>
      <c r="D581" s="8">
        <v>5.5183250000000001E-5</v>
      </c>
      <c r="E581" s="8">
        <v>1.3725249999999999E-4</v>
      </c>
      <c r="F581" s="8">
        <v>1.3428490000000001E-4</v>
      </c>
      <c r="G581" s="8">
        <v>1.377362E-4</v>
      </c>
      <c r="H581" s="8">
        <v>1.431185E-4</v>
      </c>
      <c r="I581" s="8">
        <v>1.9336844999999999E-4</v>
      </c>
      <c r="J581" s="8">
        <v>2.2271943000000001E-4</v>
      </c>
      <c r="K581" s="8">
        <v>2.4205209999999901E-4</v>
      </c>
      <c r="L581" s="8">
        <v>2.501871E-4</v>
      </c>
      <c r="M581" s="8">
        <v>2.5403239999999998E-4</v>
      </c>
      <c r="N581" s="8">
        <v>2.584493E-4</v>
      </c>
      <c r="O581">
        <v>0</v>
      </c>
      <c r="P581">
        <v>0</v>
      </c>
      <c r="Q581">
        <v>0</v>
      </c>
      <c r="R581" t="s">
        <v>243</v>
      </c>
    </row>
    <row r="582" spans="1:18" x14ac:dyDescent="0.3">
      <c r="A582" t="s">
        <v>259</v>
      </c>
      <c r="B582" t="s">
        <v>12</v>
      </c>
      <c r="C582" t="s">
        <v>270</v>
      </c>
      <c r="D582" s="8">
        <v>6.328479E-5</v>
      </c>
      <c r="E582" s="8">
        <v>1.5913470000000001E-4</v>
      </c>
      <c r="F582" s="8">
        <v>1.5331439999999999E-4</v>
      </c>
      <c r="G582" s="8">
        <v>1.5761630000000001E-4</v>
      </c>
      <c r="H582" s="8">
        <v>1.635145E-4</v>
      </c>
      <c r="I582" s="8">
        <v>2.1708517E-4</v>
      </c>
      <c r="J582" s="8">
        <v>2.4903863999999997E-4</v>
      </c>
      <c r="K582" s="8">
        <v>2.6923950000000001E-4</v>
      </c>
      <c r="L582" s="8">
        <v>2.7694459999999998E-4</v>
      </c>
      <c r="M582" s="8">
        <v>2.8044069999999999E-4</v>
      </c>
      <c r="N582" s="8">
        <v>2.8425370000000001E-4</v>
      </c>
      <c r="O582">
        <v>0</v>
      </c>
      <c r="P582">
        <v>0</v>
      </c>
      <c r="Q582">
        <v>0</v>
      </c>
      <c r="R582" t="s">
        <v>243</v>
      </c>
    </row>
    <row r="583" spans="1:18" x14ac:dyDescent="0.3">
      <c r="A583" t="s">
        <v>259</v>
      </c>
      <c r="B583" t="s">
        <v>12</v>
      </c>
      <c r="C583" t="s">
        <v>271</v>
      </c>
      <c r="D583" s="8">
        <v>7.2661159999999999E-5</v>
      </c>
      <c r="E583" s="8">
        <v>1.8201980000000001E-4</v>
      </c>
      <c r="F583" s="8">
        <v>1.7409519999999999E-4</v>
      </c>
      <c r="G583" s="8">
        <v>1.7725759999999999E-4</v>
      </c>
      <c r="H583" s="8">
        <v>1.8664539999999999E-4</v>
      </c>
      <c r="I583" s="8">
        <v>2.4164115000000001E-4</v>
      </c>
      <c r="J583" s="8">
        <v>2.7575857000000002E-4</v>
      </c>
      <c r="K583" s="8">
        <v>2.9794689999999998E-4</v>
      </c>
      <c r="L583" s="8">
        <v>3.0616559999999999E-4</v>
      </c>
      <c r="M583" s="8">
        <v>3.0917340000000002E-4</v>
      </c>
      <c r="N583" s="8">
        <v>3.1220139999999999E-4</v>
      </c>
      <c r="O583">
        <v>0</v>
      </c>
      <c r="P583">
        <v>0</v>
      </c>
      <c r="Q583">
        <v>0</v>
      </c>
      <c r="R583" t="s">
        <v>243</v>
      </c>
    </row>
    <row r="584" spans="1:18" x14ac:dyDescent="0.3">
      <c r="A584" t="s">
        <v>259</v>
      </c>
      <c r="B584" t="s">
        <v>12</v>
      </c>
      <c r="C584" t="s">
        <v>272</v>
      </c>
      <c r="D584" s="8">
        <v>8.3302300000000004E-5</v>
      </c>
      <c r="E584" s="8">
        <v>2.0922949999999999E-4</v>
      </c>
      <c r="F584" s="8">
        <v>1.9900340000000001E-4</v>
      </c>
      <c r="G584" s="8">
        <v>2.0458290000000001E-4</v>
      </c>
      <c r="H584" s="8">
        <v>2.1431259999999999E-4</v>
      </c>
      <c r="I584" s="8">
        <v>2.7152269999999997E-4</v>
      </c>
      <c r="J584" s="8">
        <v>3.0843947E-4</v>
      </c>
      <c r="K584" s="8">
        <v>3.3120429999999998E-4</v>
      </c>
      <c r="L584" s="8">
        <v>3.3853000000000003E-4</v>
      </c>
      <c r="M584" s="8">
        <v>3.4007589999999999E-4</v>
      </c>
      <c r="N584" s="8">
        <v>3.4156939999999998E-4</v>
      </c>
      <c r="O584">
        <v>0</v>
      </c>
      <c r="P584">
        <v>0</v>
      </c>
      <c r="Q584">
        <v>0</v>
      </c>
      <c r="R584" t="s">
        <v>243</v>
      </c>
    </row>
    <row r="585" spans="1:18" x14ac:dyDescent="0.3">
      <c r="A585" t="s">
        <v>259</v>
      </c>
      <c r="B585" t="s">
        <v>12</v>
      </c>
      <c r="C585" t="s">
        <v>273</v>
      </c>
      <c r="D585" s="8">
        <v>1.01926099999999E-4</v>
      </c>
      <c r="E585" s="8">
        <v>2.4425800000000002E-4</v>
      </c>
      <c r="F585" s="8">
        <v>2.3766099999999999E-4</v>
      </c>
      <c r="G585" s="8">
        <v>2.4194749999999999E-4</v>
      </c>
      <c r="H585" s="8">
        <v>2.5710589999999899E-4</v>
      </c>
      <c r="I585" s="8">
        <v>3.1187629999999999E-4</v>
      </c>
      <c r="J585" s="8">
        <v>3.5108265000000002E-4</v>
      </c>
      <c r="K585" s="8">
        <v>3.7461850000000002E-4</v>
      </c>
      <c r="L585" s="8">
        <v>3.8007520000000002E-4</v>
      </c>
      <c r="M585" s="8">
        <v>3.7894440000000001E-4</v>
      </c>
      <c r="N585" s="8">
        <v>3.7753059999999999E-4</v>
      </c>
      <c r="O585">
        <v>0</v>
      </c>
      <c r="P585">
        <v>0</v>
      </c>
      <c r="Q585">
        <v>0</v>
      </c>
      <c r="R585" t="s">
        <v>243</v>
      </c>
    </row>
    <row r="586" spans="1:18" x14ac:dyDescent="0.3">
      <c r="A586" t="s">
        <v>259</v>
      </c>
      <c r="B586" t="s">
        <v>12</v>
      </c>
      <c r="C586" t="s">
        <v>274</v>
      </c>
      <c r="D586" s="8">
        <v>2.8922457830000001E-5</v>
      </c>
      <c r="E586" s="8">
        <v>9.430641636E-5</v>
      </c>
      <c r="F586" s="8">
        <v>1.1795764814E-4</v>
      </c>
      <c r="G586" s="8">
        <v>1.0120352775999999E-4</v>
      </c>
      <c r="H586" s="8">
        <v>1.3801670191000001E-4</v>
      </c>
      <c r="I586" s="8">
        <v>1.201227862E-4</v>
      </c>
      <c r="J586" s="8">
        <v>1.1729084332E-4</v>
      </c>
      <c r="K586" s="8">
        <v>1.1402308138E-4</v>
      </c>
      <c r="L586" s="8">
        <v>1.12283612979999E-4</v>
      </c>
      <c r="M586" s="8">
        <v>1.08864171259999E-4</v>
      </c>
      <c r="N586" s="8">
        <v>1.0567665878E-4</v>
      </c>
      <c r="O586">
        <v>0</v>
      </c>
      <c r="P586">
        <v>0</v>
      </c>
      <c r="Q586">
        <v>0</v>
      </c>
      <c r="R586" t="s">
        <v>243</v>
      </c>
    </row>
    <row r="587" spans="1:18" x14ac:dyDescent="0.3">
      <c r="A587" t="s">
        <v>259</v>
      </c>
      <c r="B587" t="s">
        <v>12</v>
      </c>
      <c r="C587" t="s">
        <v>275</v>
      </c>
      <c r="D587" s="8">
        <v>4.7290467099999999E-5</v>
      </c>
      <c r="E587" s="8">
        <v>1.5283601919999999E-4</v>
      </c>
      <c r="F587" s="8">
        <v>1.828818577E-4</v>
      </c>
      <c r="G587" s="8">
        <v>1.5912383599999999E-4</v>
      </c>
      <c r="H587" s="8">
        <v>1.8947701029999999E-4</v>
      </c>
      <c r="I587" s="8">
        <v>1.5449632136E-4</v>
      </c>
      <c r="J587" s="8">
        <v>1.48123924529999E-4</v>
      </c>
      <c r="K587" s="8">
        <v>1.4272094691E-4</v>
      </c>
      <c r="L587" s="8">
        <v>1.3895097505999999E-4</v>
      </c>
      <c r="M587" s="8">
        <v>1.3297502749999999E-4</v>
      </c>
      <c r="N587" s="8">
        <v>1.276179818E-4</v>
      </c>
      <c r="O587">
        <v>0</v>
      </c>
      <c r="P587">
        <v>0</v>
      </c>
      <c r="Q587">
        <v>0</v>
      </c>
      <c r="R587" t="s">
        <v>243</v>
      </c>
    </row>
    <row r="588" spans="1:18" x14ac:dyDescent="0.3">
      <c r="A588" t="s">
        <v>259</v>
      </c>
      <c r="B588" t="s">
        <v>12</v>
      </c>
      <c r="C588" t="s">
        <v>276</v>
      </c>
      <c r="D588" s="8">
        <v>3.4637892069999901E-5</v>
      </c>
      <c r="E588" s="8">
        <v>1.1120074497E-4</v>
      </c>
      <c r="F588" s="8">
        <v>1.3721189657E-4</v>
      </c>
      <c r="G588" s="8">
        <v>1.193488775E-4</v>
      </c>
      <c r="H588" s="8">
        <v>1.5201627501E-4</v>
      </c>
      <c r="I588" s="8">
        <v>1.2797883113E-4</v>
      </c>
      <c r="J588" s="8">
        <v>1.2408497768E-4</v>
      </c>
      <c r="K588" s="8">
        <v>1.2035539766E-4</v>
      </c>
      <c r="L588" s="8">
        <v>1.1823550435999999E-4</v>
      </c>
      <c r="M588" s="8">
        <v>1.1429791815000001E-4</v>
      </c>
      <c r="N588" s="8">
        <v>1.1072703966E-4</v>
      </c>
      <c r="O588">
        <v>0</v>
      </c>
      <c r="P588">
        <v>0</v>
      </c>
      <c r="Q588">
        <v>0</v>
      </c>
      <c r="R588" t="s">
        <v>243</v>
      </c>
    </row>
    <row r="589" spans="1:18" x14ac:dyDescent="0.3">
      <c r="A589" t="s">
        <v>259</v>
      </c>
      <c r="B589" t="s">
        <v>12</v>
      </c>
      <c r="C589" t="s">
        <v>277</v>
      </c>
      <c r="D589" s="8">
        <v>3.7412888440000002E-5</v>
      </c>
      <c r="E589" s="8">
        <v>1.1852932124999999E-4</v>
      </c>
      <c r="F589" s="8">
        <v>1.4480938918E-4</v>
      </c>
      <c r="G589" s="8">
        <v>1.26542412519999E-4</v>
      </c>
      <c r="H589" s="8">
        <v>1.5777015626E-4</v>
      </c>
      <c r="I589" s="8">
        <v>1.3188112521999901E-4</v>
      </c>
      <c r="J589" s="8">
        <v>1.2753775568999999E-4</v>
      </c>
      <c r="K589" s="8">
        <v>1.2357772976E-4</v>
      </c>
      <c r="L589" s="8">
        <v>1.21226447229999E-4</v>
      </c>
      <c r="M589" s="8">
        <v>1.1697759075E-4</v>
      </c>
      <c r="N589" s="8">
        <v>1.1314037455E-4</v>
      </c>
      <c r="O589">
        <v>0</v>
      </c>
      <c r="P589">
        <v>0</v>
      </c>
      <c r="Q589">
        <v>0</v>
      </c>
      <c r="R589" t="s">
        <v>243</v>
      </c>
    </row>
    <row r="590" spans="1:18" x14ac:dyDescent="0.3">
      <c r="A590" t="s">
        <v>259</v>
      </c>
      <c r="B590" t="s">
        <v>12</v>
      </c>
      <c r="C590" t="s">
        <v>278</v>
      </c>
      <c r="D590" s="8">
        <v>3.8848448679999998E-5</v>
      </c>
      <c r="E590" s="8">
        <v>1.2323169106000001E-4</v>
      </c>
      <c r="F590" s="8">
        <v>1.5002672743999999E-4</v>
      </c>
      <c r="G590" s="8">
        <v>1.3112475342000001E-4</v>
      </c>
      <c r="H590" s="8">
        <v>1.6162556086E-4</v>
      </c>
      <c r="I590" s="8">
        <v>1.3448759834E-4</v>
      </c>
      <c r="J590" s="8">
        <v>1.2989521723999901E-4</v>
      </c>
      <c r="K590" s="8">
        <v>1.25786409389999E-4</v>
      </c>
      <c r="L590" s="8">
        <v>1.23282413929999E-4</v>
      </c>
      <c r="M590" s="8">
        <v>1.1887681290999999E-4</v>
      </c>
      <c r="N590" s="8">
        <v>1.1491227312999999E-4</v>
      </c>
      <c r="O590">
        <v>0</v>
      </c>
      <c r="P590">
        <v>0</v>
      </c>
      <c r="Q590">
        <v>0</v>
      </c>
      <c r="R590" t="s">
        <v>243</v>
      </c>
    </row>
    <row r="591" spans="1:18" x14ac:dyDescent="0.3">
      <c r="A591" t="s">
        <v>259</v>
      </c>
      <c r="B591" t="s">
        <v>12</v>
      </c>
      <c r="C591" t="s">
        <v>279</v>
      </c>
      <c r="D591" s="8">
        <v>4.0011840600000001E-5</v>
      </c>
      <c r="E591" s="8">
        <v>1.2721600439999999E-4</v>
      </c>
      <c r="F591" s="8">
        <v>1.5417799664999999E-4</v>
      </c>
      <c r="G591" s="8">
        <v>1.3486703169999999E-4</v>
      </c>
      <c r="H591" s="8">
        <v>1.6480209641999999E-4</v>
      </c>
      <c r="I591" s="8">
        <v>1.3681604541999901E-4</v>
      </c>
      <c r="J591" s="8">
        <v>1.3203715474E-4</v>
      </c>
      <c r="K591" s="8">
        <v>1.2780995316000001E-4</v>
      </c>
      <c r="L591" s="8">
        <v>1.2517406619999999E-4</v>
      </c>
      <c r="M591" s="8">
        <v>1.2056882238E-4</v>
      </c>
      <c r="N591" s="8">
        <v>1.1645485927E-4</v>
      </c>
      <c r="O591">
        <v>0</v>
      </c>
      <c r="P591">
        <v>0</v>
      </c>
      <c r="Q591">
        <v>0</v>
      </c>
      <c r="R591" t="s">
        <v>243</v>
      </c>
    </row>
    <row r="592" spans="1:18" x14ac:dyDescent="0.3">
      <c r="A592" t="s">
        <v>259</v>
      </c>
      <c r="B592" t="s">
        <v>12</v>
      </c>
      <c r="C592" t="s">
        <v>280</v>
      </c>
      <c r="D592" s="8">
        <v>4.1108515800000002E-5</v>
      </c>
      <c r="E592" s="8">
        <v>1.3073228090000001E-4</v>
      </c>
      <c r="F592" s="8">
        <v>1.5781023209999901E-4</v>
      </c>
      <c r="G592" s="8">
        <v>1.380622695E-4</v>
      </c>
      <c r="H592" s="8">
        <v>1.6782943983000001E-4</v>
      </c>
      <c r="I592" s="8">
        <v>1.3901469414E-4</v>
      </c>
      <c r="J592" s="8">
        <v>1.3403738324E-4</v>
      </c>
      <c r="K592" s="8">
        <v>1.29636518709999E-4</v>
      </c>
      <c r="L592" s="8">
        <v>1.2683400033000001E-4</v>
      </c>
      <c r="M592" s="8">
        <v>1.2207481974999999E-4</v>
      </c>
      <c r="N592" s="8">
        <v>1.1781593518E-4</v>
      </c>
      <c r="O592">
        <v>0</v>
      </c>
      <c r="P592">
        <v>0</v>
      </c>
      <c r="Q592">
        <v>0</v>
      </c>
      <c r="R592" t="s">
        <v>243</v>
      </c>
    </row>
    <row r="593" spans="1:18" x14ac:dyDescent="0.3">
      <c r="A593" t="s">
        <v>259</v>
      </c>
      <c r="B593" t="s">
        <v>12</v>
      </c>
      <c r="C593" t="s">
        <v>281</v>
      </c>
      <c r="D593" s="8">
        <v>4.2183085500000003E-5</v>
      </c>
      <c r="E593" s="8">
        <v>1.3403854100000001E-4</v>
      </c>
      <c r="F593" s="8">
        <v>1.613844639E-4</v>
      </c>
      <c r="G593" s="8">
        <v>1.4089348009999999E-4</v>
      </c>
      <c r="H593" s="8">
        <v>1.7093192025999999E-4</v>
      </c>
      <c r="I593" s="8">
        <v>1.4117405718000001E-4</v>
      </c>
      <c r="J593" s="8">
        <v>1.3598561418E-4</v>
      </c>
      <c r="K593" s="8">
        <v>1.3150916590999999E-4</v>
      </c>
      <c r="L593" s="8">
        <v>1.2863464417E-4</v>
      </c>
      <c r="M593" s="8">
        <v>1.23734727629999E-4</v>
      </c>
      <c r="N593" s="8">
        <v>1.1934162004E-4</v>
      </c>
      <c r="O593">
        <v>0</v>
      </c>
      <c r="P593">
        <v>0</v>
      </c>
      <c r="Q593">
        <v>0</v>
      </c>
      <c r="R593" t="s">
        <v>243</v>
      </c>
    </row>
    <row r="594" spans="1:18" x14ac:dyDescent="0.3">
      <c r="A594" t="s">
        <v>259</v>
      </c>
      <c r="B594" t="s">
        <v>12</v>
      </c>
      <c r="C594" t="s">
        <v>282</v>
      </c>
      <c r="D594" s="8">
        <v>4.3243551599999901E-5</v>
      </c>
      <c r="E594" s="8">
        <v>1.3763682389999999E-4</v>
      </c>
      <c r="F594" s="8">
        <v>1.6527671630000001E-4</v>
      </c>
      <c r="G594" s="8">
        <v>1.444477444E-4</v>
      </c>
      <c r="H594" s="8">
        <v>1.7424019161999999E-4</v>
      </c>
      <c r="I594" s="8">
        <v>1.4362443187999999E-4</v>
      </c>
      <c r="J594" s="8">
        <v>1.3823516957E-4</v>
      </c>
      <c r="K594" s="8">
        <v>1.3357509347E-4</v>
      </c>
      <c r="L594" s="8">
        <v>1.3052749676999999E-4</v>
      </c>
      <c r="M594" s="8">
        <v>1.2542083688000001E-4</v>
      </c>
      <c r="N594" s="8">
        <v>1.20851704419999E-4</v>
      </c>
      <c r="O594">
        <v>0</v>
      </c>
      <c r="P594">
        <v>0</v>
      </c>
      <c r="Q594">
        <v>0</v>
      </c>
      <c r="R594" t="s">
        <v>243</v>
      </c>
    </row>
    <row r="595" spans="1:18" x14ac:dyDescent="0.3">
      <c r="A595" t="s">
        <v>259</v>
      </c>
      <c r="B595" t="s">
        <v>12</v>
      </c>
      <c r="C595" t="s">
        <v>283</v>
      </c>
      <c r="D595" s="8">
        <v>4.4861157499999997E-5</v>
      </c>
      <c r="E595" s="8">
        <v>1.4191716049999901E-4</v>
      </c>
      <c r="F595" s="8">
        <v>1.7072506950000001E-4</v>
      </c>
      <c r="G595" s="8">
        <v>1.4879306759999999E-4</v>
      </c>
      <c r="H595" s="8">
        <v>1.7884564711000001E-4</v>
      </c>
      <c r="I595" s="8">
        <v>1.4685731946E-4</v>
      </c>
      <c r="J595" s="8">
        <v>1.4116161356000001E-4</v>
      </c>
      <c r="K595" s="8">
        <v>1.3631393918999999E-4</v>
      </c>
      <c r="L595" s="8">
        <v>1.3305550026999999E-4</v>
      </c>
      <c r="M595" s="8">
        <v>1.27679883829999E-4</v>
      </c>
      <c r="N595" s="8">
        <v>1.2286491669000001E-4</v>
      </c>
      <c r="O595">
        <v>0</v>
      </c>
      <c r="P595">
        <v>0</v>
      </c>
      <c r="Q595">
        <v>0</v>
      </c>
      <c r="R595" t="s">
        <v>243</v>
      </c>
    </row>
    <row r="596" spans="1:18" x14ac:dyDescent="0.3">
      <c r="A596" t="s">
        <v>259</v>
      </c>
      <c r="B596" t="s">
        <v>12</v>
      </c>
      <c r="C596" t="s">
        <v>284</v>
      </c>
      <c r="D596" s="8">
        <v>9.3828566400000005E-5</v>
      </c>
      <c r="E596" s="8">
        <v>2.1435995100000001E-4</v>
      </c>
      <c r="F596" s="8">
        <v>1.7633193999999999E-4</v>
      </c>
      <c r="G596" s="8">
        <v>1.6537236999999999E-4</v>
      </c>
      <c r="H596" s="8">
        <v>1.7043098799999999E-4</v>
      </c>
      <c r="I596" s="8">
        <v>1.9002857199999901E-4</v>
      </c>
      <c r="J596" s="8">
        <v>1.8451294400000001E-4</v>
      </c>
      <c r="K596" s="8">
        <v>1.9088634300000001E-4</v>
      </c>
      <c r="L596" s="8">
        <v>1.94149077E-4</v>
      </c>
      <c r="M596" s="8">
        <v>1.92141975999999E-4</v>
      </c>
      <c r="N596" s="8">
        <v>1.9335518199999901E-4</v>
      </c>
      <c r="O596">
        <v>0</v>
      </c>
      <c r="P596">
        <v>0</v>
      </c>
      <c r="Q596">
        <v>0</v>
      </c>
      <c r="R596" t="s">
        <v>243</v>
      </c>
    </row>
    <row r="597" spans="1:18" x14ac:dyDescent="0.3">
      <c r="A597" t="s">
        <v>259</v>
      </c>
      <c r="B597" t="s">
        <v>12</v>
      </c>
      <c r="C597" t="s">
        <v>285</v>
      </c>
      <c r="D597" s="8">
        <v>3.6169503500000001E-4</v>
      </c>
      <c r="E597" s="8">
        <v>8.3242653599999996E-4</v>
      </c>
      <c r="F597" s="8">
        <v>7.5250059999999903E-4</v>
      </c>
      <c r="G597" s="8">
        <v>7.5641079999999995E-4</v>
      </c>
      <c r="H597" s="8">
        <v>6.9987032000000003E-4</v>
      </c>
      <c r="I597" s="8">
        <v>5.5357413399999896E-4</v>
      </c>
      <c r="J597" s="8">
        <v>4.5101324999999998E-4</v>
      </c>
      <c r="K597" s="8">
        <v>4.2615057500000001E-4</v>
      </c>
      <c r="L597" s="8">
        <v>4.1166481400000001E-4</v>
      </c>
      <c r="M597" s="8">
        <v>3.7294015599999899E-4</v>
      </c>
      <c r="N597" s="8">
        <v>3.5577435699999998E-4</v>
      </c>
      <c r="O597">
        <v>0</v>
      </c>
      <c r="P597">
        <v>0</v>
      </c>
      <c r="Q597">
        <v>0</v>
      </c>
      <c r="R597" t="s">
        <v>243</v>
      </c>
    </row>
    <row r="598" spans="1:18" x14ac:dyDescent="0.3">
      <c r="A598" t="s">
        <v>259</v>
      </c>
      <c r="B598" t="s">
        <v>12</v>
      </c>
      <c r="C598" t="s">
        <v>286</v>
      </c>
      <c r="D598" s="8">
        <v>1.3929214250000001E-4</v>
      </c>
      <c r="E598" s="8">
        <v>3.3420579599999998E-4</v>
      </c>
      <c r="F598" s="8">
        <v>2.8395642999999999E-4</v>
      </c>
      <c r="G598" s="8">
        <v>2.6860243999999998E-4</v>
      </c>
      <c r="H598" s="8">
        <v>2.6185276999999999E-4</v>
      </c>
      <c r="I598" s="8">
        <v>2.7343457599999902E-4</v>
      </c>
      <c r="J598" s="8">
        <v>2.5621004799999898E-4</v>
      </c>
      <c r="K598" s="8">
        <v>2.6118905699999901E-4</v>
      </c>
      <c r="L598" s="8">
        <v>2.6213475599999901E-4</v>
      </c>
      <c r="M598" s="8">
        <v>2.5483570399999997E-4</v>
      </c>
      <c r="N598" s="8">
        <v>2.5301012200000002E-4</v>
      </c>
      <c r="O598">
        <v>0</v>
      </c>
      <c r="P598">
        <v>0</v>
      </c>
      <c r="Q598">
        <v>0</v>
      </c>
      <c r="R598" t="s">
        <v>243</v>
      </c>
    </row>
    <row r="599" spans="1:18" x14ac:dyDescent="0.3">
      <c r="A599" t="s">
        <v>259</v>
      </c>
      <c r="B599" t="s">
        <v>12</v>
      </c>
      <c r="C599" t="s">
        <v>287</v>
      </c>
      <c r="D599" s="8">
        <v>1.7290628920000001E-4</v>
      </c>
      <c r="E599" s="8">
        <v>4.1633534299999998E-4</v>
      </c>
      <c r="F599" s="8">
        <v>3.5193733000000001E-4</v>
      </c>
      <c r="G599" s="8">
        <v>3.3683132000000002E-4</v>
      </c>
      <c r="H599" s="8">
        <v>3.2076692999999899E-4</v>
      </c>
      <c r="I599" s="8">
        <v>3.2331029500000001E-4</v>
      </c>
      <c r="J599" s="8">
        <v>2.95696568999999E-4</v>
      </c>
      <c r="K599" s="8">
        <v>2.97621745999999E-4</v>
      </c>
      <c r="L599" s="8">
        <v>2.9552250399999901E-4</v>
      </c>
      <c r="M599" s="8">
        <v>2.8330800199999898E-4</v>
      </c>
      <c r="N599" s="8">
        <v>2.7827310299999899E-4</v>
      </c>
      <c r="O599">
        <v>0</v>
      </c>
      <c r="P599">
        <v>0</v>
      </c>
      <c r="Q599">
        <v>0</v>
      </c>
      <c r="R599" t="s">
        <v>243</v>
      </c>
    </row>
    <row r="600" spans="1:18" x14ac:dyDescent="0.3">
      <c r="A600" t="s">
        <v>259</v>
      </c>
      <c r="B600" t="s">
        <v>12</v>
      </c>
      <c r="C600" t="s">
        <v>288</v>
      </c>
      <c r="D600" s="8">
        <v>1.9514637889999999E-4</v>
      </c>
      <c r="E600" s="8">
        <v>4.8016602E-4</v>
      </c>
      <c r="F600" s="8">
        <v>4.0768910000000001E-4</v>
      </c>
      <c r="G600" s="8">
        <v>3.9103917000000001E-4</v>
      </c>
      <c r="H600" s="8">
        <v>3.6712124E-4</v>
      </c>
      <c r="I600" s="8">
        <v>3.5821203800000002E-4</v>
      </c>
      <c r="J600" s="8">
        <v>3.2228786699999999E-4</v>
      </c>
      <c r="K600" s="8">
        <v>3.21497768999999E-4</v>
      </c>
      <c r="L600" s="8">
        <v>3.17123067E-4</v>
      </c>
      <c r="M600" s="8">
        <v>3.0142792399999999E-4</v>
      </c>
      <c r="N600" s="8">
        <v>2.9444791400000002E-4</v>
      </c>
      <c r="O600">
        <v>0</v>
      </c>
      <c r="P600">
        <v>0</v>
      </c>
      <c r="Q600">
        <v>0</v>
      </c>
      <c r="R600" t="s">
        <v>243</v>
      </c>
    </row>
    <row r="601" spans="1:18" x14ac:dyDescent="0.3">
      <c r="A601" t="s">
        <v>259</v>
      </c>
      <c r="B601" t="s">
        <v>12</v>
      </c>
      <c r="C601" t="s">
        <v>289</v>
      </c>
      <c r="D601" s="8">
        <v>2.160344245E-4</v>
      </c>
      <c r="E601" s="8">
        <v>5.38395407E-4</v>
      </c>
      <c r="F601" s="8">
        <v>4.5568623999999998E-4</v>
      </c>
      <c r="G601" s="8">
        <v>4.4048079999999999E-4</v>
      </c>
      <c r="H601" s="8">
        <v>4.0824424000000001E-4</v>
      </c>
      <c r="I601" s="8">
        <v>3.8876020299999999E-4</v>
      </c>
      <c r="J601" s="8">
        <v>3.4482524799999998E-4</v>
      </c>
      <c r="K601" s="8">
        <v>3.4122438499999998E-4</v>
      </c>
      <c r="L601" s="8">
        <v>3.3451577500000001E-4</v>
      </c>
      <c r="M601" s="8">
        <v>3.1506524999999998E-4</v>
      </c>
      <c r="N601" s="8">
        <v>3.06082834999999E-4</v>
      </c>
      <c r="O601">
        <v>0</v>
      </c>
      <c r="P601">
        <v>0</v>
      </c>
      <c r="Q601">
        <v>0</v>
      </c>
      <c r="R601" t="s">
        <v>243</v>
      </c>
    </row>
    <row r="602" spans="1:18" x14ac:dyDescent="0.3">
      <c r="A602" t="s">
        <v>259</v>
      </c>
      <c r="B602" t="s">
        <v>12</v>
      </c>
      <c r="C602" t="s">
        <v>290</v>
      </c>
      <c r="D602" s="8">
        <v>2.379149293E-4</v>
      </c>
      <c r="E602" s="8">
        <v>5.9028652800000004E-4</v>
      </c>
      <c r="F602" s="8">
        <v>4.9895943999999997E-4</v>
      </c>
      <c r="G602" s="8">
        <v>4.8513819999999999E-4</v>
      </c>
      <c r="H602" s="8">
        <v>4.4830706999999999E-4</v>
      </c>
      <c r="I602" s="8">
        <v>4.1640450499999998E-4</v>
      </c>
      <c r="J602" s="8">
        <v>3.6447997299999998E-4</v>
      </c>
      <c r="K602" s="8">
        <v>3.5736203399999998E-4</v>
      </c>
      <c r="L602" s="8">
        <v>3.4836451699999998E-4</v>
      </c>
      <c r="M602" s="8">
        <v>3.2575047299999901E-4</v>
      </c>
      <c r="N602" s="8">
        <v>3.1503268599999902E-4</v>
      </c>
      <c r="O602">
        <v>0</v>
      </c>
      <c r="P602">
        <v>0</v>
      </c>
      <c r="Q602">
        <v>0</v>
      </c>
      <c r="R602" t="s">
        <v>243</v>
      </c>
    </row>
    <row r="603" spans="1:18" x14ac:dyDescent="0.3">
      <c r="A603" t="s">
        <v>259</v>
      </c>
      <c r="B603" t="s">
        <v>12</v>
      </c>
      <c r="C603" t="s">
        <v>291</v>
      </c>
      <c r="D603" s="8">
        <v>2.60831039E-4</v>
      </c>
      <c r="E603" s="8">
        <v>6.3753920800000005E-4</v>
      </c>
      <c r="F603" s="8">
        <v>5.4163509999999998E-4</v>
      </c>
      <c r="G603" s="8">
        <v>5.2558759999999998E-4</v>
      </c>
      <c r="H603" s="8">
        <v>4.8895625999999996E-4</v>
      </c>
      <c r="I603" s="8">
        <v>4.4161109199999899E-4</v>
      </c>
      <c r="J603" s="8">
        <v>3.81803409E-4</v>
      </c>
      <c r="K603" s="8">
        <v>3.71711369999999E-4</v>
      </c>
      <c r="L603" s="8">
        <v>3.6135730000000002E-4</v>
      </c>
      <c r="M603" s="8">
        <v>3.3567825700000001E-4</v>
      </c>
      <c r="N603" s="8">
        <v>3.2334662500000001E-4</v>
      </c>
      <c r="O603">
        <v>0</v>
      </c>
      <c r="P603">
        <v>0</v>
      </c>
      <c r="Q603">
        <v>0</v>
      </c>
      <c r="R603" t="s">
        <v>243</v>
      </c>
    </row>
    <row r="604" spans="1:18" x14ac:dyDescent="0.3">
      <c r="A604" t="s">
        <v>259</v>
      </c>
      <c r="B604" t="s">
        <v>12</v>
      </c>
      <c r="C604" t="s">
        <v>292</v>
      </c>
      <c r="D604" s="8">
        <v>2.8398608200000001E-4</v>
      </c>
      <c r="E604" s="8">
        <v>6.8556388499999997E-4</v>
      </c>
      <c r="F604" s="8">
        <v>5.870494E-4</v>
      </c>
      <c r="G604" s="8">
        <v>5.7627609999999995E-4</v>
      </c>
      <c r="H604" s="8">
        <v>5.3318412999999896E-4</v>
      </c>
      <c r="I604" s="8">
        <v>4.6869232599999999E-4</v>
      </c>
      <c r="J604" s="8">
        <v>3.9949616000000001E-4</v>
      </c>
      <c r="K604" s="8">
        <v>3.8556145799999999E-4</v>
      </c>
      <c r="L604" s="8">
        <v>3.7326132100000002E-4</v>
      </c>
      <c r="M604" s="8">
        <v>3.4427443399999999E-4</v>
      </c>
      <c r="N604" s="8">
        <v>3.3051820599999898E-4</v>
      </c>
      <c r="O604">
        <v>0</v>
      </c>
      <c r="P604">
        <v>0</v>
      </c>
      <c r="Q604">
        <v>0</v>
      </c>
      <c r="R604" t="s">
        <v>243</v>
      </c>
    </row>
    <row r="605" spans="1:18" x14ac:dyDescent="0.3">
      <c r="A605" t="s">
        <v>259</v>
      </c>
      <c r="B605" t="s">
        <v>12</v>
      </c>
      <c r="C605" t="s">
        <v>293</v>
      </c>
      <c r="D605" s="8">
        <v>3.1809332999999898E-4</v>
      </c>
      <c r="E605" s="8">
        <v>7.3641244299999995E-4</v>
      </c>
      <c r="F605" s="8">
        <v>6.4661039999999996E-4</v>
      </c>
      <c r="G605" s="8">
        <v>6.3610540000000001E-4</v>
      </c>
      <c r="H605" s="8">
        <v>5.9067265999999995E-4</v>
      </c>
      <c r="I605" s="8">
        <v>4.9939586299999896E-4</v>
      </c>
      <c r="J605" s="8">
        <v>4.18502682E-4</v>
      </c>
      <c r="K605" s="8">
        <v>4.00230979E-4</v>
      </c>
      <c r="L605" s="8">
        <v>3.8655299799999999E-4</v>
      </c>
      <c r="M605" s="8">
        <v>3.5385824600000002E-4</v>
      </c>
      <c r="N605" s="8">
        <v>3.38633580999999E-4</v>
      </c>
      <c r="O605">
        <v>0</v>
      </c>
      <c r="P605">
        <v>0</v>
      </c>
      <c r="Q605">
        <v>0</v>
      </c>
      <c r="R605" t="s">
        <v>243</v>
      </c>
    </row>
    <row r="606" spans="1:18" x14ac:dyDescent="0.3">
      <c r="A606" t="s">
        <v>259</v>
      </c>
      <c r="B606" t="s">
        <v>12</v>
      </c>
      <c r="C606" t="s">
        <v>294</v>
      </c>
      <c r="D606" s="8">
        <v>9.3242099999999901E-6</v>
      </c>
      <c r="E606" s="8">
        <v>1.3110650000000001E-4</v>
      </c>
      <c r="F606" s="8">
        <v>1.9537795429999999E-4</v>
      </c>
      <c r="G606" s="8">
        <v>2.0842848100000001E-4</v>
      </c>
      <c r="H606" s="8">
        <v>1.88055675E-4</v>
      </c>
      <c r="I606" s="8">
        <v>1.9600400930000001E-4</v>
      </c>
      <c r="J606" s="8">
        <v>1.973132636E-4</v>
      </c>
      <c r="K606" s="8">
        <v>1.8255318130000001E-4</v>
      </c>
      <c r="L606" s="8">
        <v>1.896306296E-4</v>
      </c>
      <c r="M606" s="8">
        <v>1.932289201E-4</v>
      </c>
      <c r="N606" s="8">
        <v>1.9581500700000001E-4</v>
      </c>
      <c r="O606">
        <v>0</v>
      </c>
      <c r="P606">
        <v>0</v>
      </c>
      <c r="Q606">
        <v>0</v>
      </c>
      <c r="R606" t="s">
        <v>243</v>
      </c>
    </row>
    <row r="607" spans="1:18" x14ac:dyDescent="0.3">
      <c r="A607" t="s">
        <v>259</v>
      </c>
      <c r="B607" t="s">
        <v>12</v>
      </c>
      <c r="C607" t="s">
        <v>295</v>
      </c>
      <c r="D607" s="8">
        <v>5.7254199999999998E-5</v>
      </c>
      <c r="E607" s="8">
        <v>6.1415410000000004E-4</v>
      </c>
      <c r="F607" s="8">
        <v>8.0318376600000004E-4</v>
      </c>
      <c r="G607" s="8">
        <v>8.8303365899999897E-4</v>
      </c>
      <c r="H607" s="8">
        <v>8.0646666399999999E-4</v>
      </c>
      <c r="I607" s="8">
        <v>6.4882406270000002E-4</v>
      </c>
      <c r="J607" s="8">
        <v>5.8153429799999998E-4</v>
      </c>
      <c r="K607" s="8">
        <v>4.609776483E-4</v>
      </c>
      <c r="L607" s="8">
        <v>4.4792778599999999E-4</v>
      </c>
      <c r="M607" s="8">
        <v>4.3240715899999898E-4</v>
      </c>
      <c r="N607" s="8">
        <v>4.1677153100000002E-4</v>
      </c>
      <c r="O607">
        <v>0</v>
      </c>
      <c r="P607">
        <v>0</v>
      </c>
      <c r="Q607">
        <v>0</v>
      </c>
      <c r="R607" t="s">
        <v>243</v>
      </c>
    </row>
    <row r="608" spans="1:18" x14ac:dyDescent="0.3">
      <c r="A608" t="s">
        <v>259</v>
      </c>
      <c r="B608" t="s">
        <v>12</v>
      </c>
      <c r="C608" t="s">
        <v>296</v>
      </c>
      <c r="D608" s="8">
        <v>1.46157E-5</v>
      </c>
      <c r="E608" s="8">
        <v>2.0995899999999999E-4</v>
      </c>
      <c r="F608" s="8">
        <v>3.1284061E-4</v>
      </c>
      <c r="G608" s="8">
        <v>3.34779074999999E-4</v>
      </c>
      <c r="H608" s="8">
        <v>2.9249351809999997E-4</v>
      </c>
      <c r="I608" s="8">
        <v>2.9018644809999998E-4</v>
      </c>
      <c r="J608" s="8">
        <v>2.8517108989999898E-4</v>
      </c>
      <c r="K608" s="8">
        <v>2.5660463450000002E-4</v>
      </c>
      <c r="L608" s="8">
        <v>2.6379757019999998E-4</v>
      </c>
      <c r="M608" s="8">
        <v>2.6614445199999999E-4</v>
      </c>
      <c r="N608" s="8">
        <v>2.6713699009999999E-4</v>
      </c>
      <c r="O608">
        <v>0</v>
      </c>
      <c r="P608">
        <v>0</v>
      </c>
      <c r="Q608">
        <v>0</v>
      </c>
      <c r="R608" t="s">
        <v>243</v>
      </c>
    </row>
    <row r="609" spans="1:18" x14ac:dyDescent="0.3">
      <c r="A609" t="s">
        <v>259</v>
      </c>
      <c r="B609" t="s">
        <v>12</v>
      </c>
      <c r="C609" t="s">
        <v>297</v>
      </c>
      <c r="D609" s="8">
        <v>1.8942719999999999E-5</v>
      </c>
      <c r="E609" s="8">
        <v>2.668134E-4</v>
      </c>
      <c r="F609" s="8">
        <v>3.8627592699999998E-4</v>
      </c>
      <c r="G609" s="8">
        <v>4.1661412699999997E-4</v>
      </c>
      <c r="H609" s="8">
        <v>3.6042204129999901E-4</v>
      </c>
      <c r="I609" s="8">
        <v>3.4871314399999997E-4</v>
      </c>
      <c r="J609" s="8">
        <v>3.3703350800000001E-4</v>
      </c>
      <c r="K609" s="8">
        <v>2.9712920730000001E-4</v>
      </c>
      <c r="L609" s="8">
        <v>3.0230902300000003E-4</v>
      </c>
      <c r="M609" s="8">
        <v>3.0186191E-4</v>
      </c>
      <c r="N609" s="8">
        <v>3.0002756930000001E-4</v>
      </c>
      <c r="O609">
        <v>0</v>
      </c>
      <c r="P609">
        <v>0</v>
      </c>
      <c r="Q609">
        <v>0</v>
      </c>
      <c r="R609" t="s">
        <v>243</v>
      </c>
    </row>
    <row r="610" spans="1:18" x14ac:dyDescent="0.3">
      <c r="A610" t="s">
        <v>259</v>
      </c>
      <c r="B610" t="s">
        <v>12</v>
      </c>
      <c r="C610" t="s">
        <v>298</v>
      </c>
      <c r="D610" s="8">
        <v>2.2042199999999899E-5</v>
      </c>
      <c r="E610" s="8">
        <v>3.1290700000000002E-4</v>
      </c>
      <c r="F610" s="8">
        <v>4.4601411099999999E-4</v>
      </c>
      <c r="G610" s="8">
        <v>4.8061258499999999E-4</v>
      </c>
      <c r="H610" s="8">
        <v>4.1418865489999899E-4</v>
      </c>
      <c r="I610" s="8">
        <v>3.9129768409999999E-4</v>
      </c>
      <c r="J610" s="8">
        <v>3.7421457079999998E-4</v>
      </c>
      <c r="K610" s="8">
        <v>3.2494599959999998E-4</v>
      </c>
      <c r="L610" s="8">
        <v>3.2826065999999902E-4</v>
      </c>
      <c r="M610" s="8">
        <v>3.2602213499999998E-4</v>
      </c>
      <c r="N610" s="8">
        <v>3.2241149559999999E-4</v>
      </c>
      <c r="O610">
        <v>0</v>
      </c>
      <c r="P610">
        <v>0</v>
      </c>
      <c r="Q610">
        <v>0</v>
      </c>
      <c r="R610" t="s">
        <v>243</v>
      </c>
    </row>
    <row r="611" spans="1:18" x14ac:dyDescent="0.3">
      <c r="A611" t="s">
        <v>259</v>
      </c>
      <c r="B611" t="s">
        <v>12</v>
      </c>
      <c r="C611" t="s">
        <v>299</v>
      </c>
      <c r="D611" s="8">
        <v>2.5156699999999999E-5</v>
      </c>
      <c r="E611" s="8">
        <v>3.566779E-4</v>
      </c>
      <c r="F611" s="8">
        <v>4.9706202699999896E-4</v>
      </c>
      <c r="G611" s="8">
        <v>5.3814321900000003E-4</v>
      </c>
      <c r="H611" s="8">
        <v>4.6225254489999998E-4</v>
      </c>
      <c r="I611" s="8">
        <v>4.2921984629999899E-4</v>
      </c>
      <c r="J611" s="8">
        <v>4.0675288060000001E-4</v>
      </c>
      <c r="K611" s="8">
        <v>3.4845336429999998E-4</v>
      </c>
      <c r="L611" s="8">
        <v>3.4956914300000001E-4</v>
      </c>
      <c r="M611" s="8">
        <v>3.4474629999999999E-4</v>
      </c>
      <c r="N611" s="8">
        <v>3.3896451290000001E-4</v>
      </c>
      <c r="O611">
        <v>0</v>
      </c>
      <c r="P611">
        <v>0</v>
      </c>
      <c r="Q611">
        <v>0</v>
      </c>
      <c r="R611" t="s">
        <v>243</v>
      </c>
    </row>
    <row r="612" spans="1:18" x14ac:dyDescent="0.3">
      <c r="A612" t="s">
        <v>259</v>
      </c>
      <c r="B612" t="s">
        <v>12</v>
      </c>
      <c r="C612" t="s">
        <v>300</v>
      </c>
      <c r="D612" s="8">
        <v>2.8667099999999999E-5</v>
      </c>
      <c r="E612" s="8">
        <v>3.9731290000000002E-4</v>
      </c>
      <c r="F612" s="8">
        <v>5.42761055E-4</v>
      </c>
      <c r="G612" s="8">
        <v>5.8936911999999905E-4</v>
      </c>
      <c r="H612" s="8">
        <v>5.0866617880000005E-4</v>
      </c>
      <c r="I612" s="8">
        <v>4.6410856769999999E-4</v>
      </c>
      <c r="J612" s="8">
        <v>4.3603106009999998E-4</v>
      </c>
      <c r="K612" s="8">
        <v>3.6860944399999898E-4</v>
      </c>
      <c r="L612" s="8">
        <v>3.6709566300000002E-4</v>
      </c>
      <c r="M612" s="8">
        <v>3.6017692299999997E-4</v>
      </c>
      <c r="N612" s="8">
        <v>3.5241245359999998E-4</v>
      </c>
      <c r="O612">
        <v>0</v>
      </c>
      <c r="P612">
        <v>0</v>
      </c>
      <c r="Q612">
        <v>0</v>
      </c>
      <c r="R612" t="s">
        <v>243</v>
      </c>
    </row>
    <row r="613" spans="1:18" x14ac:dyDescent="0.3">
      <c r="A613" t="s">
        <v>259</v>
      </c>
      <c r="B613" t="s">
        <v>12</v>
      </c>
      <c r="C613" t="s">
        <v>301</v>
      </c>
      <c r="D613" s="8">
        <v>3.2669999999999997E-5</v>
      </c>
      <c r="E613" s="8">
        <v>4.3588889999999998E-4</v>
      </c>
      <c r="F613" s="8">
        <v>5.8749454300000004E-4</v>
      </c>
      <c r="G613" s="8">
        <v>6.3512655799999903E-4</v>
      </c>
      <c r="H613" s="8">
        <v>5.5520301449999896E-4</v>
      </c>
      <c r="I613" s="8">
        <v>4.9642101290000001E-4</v>
      </c>
      <c r="J613" s="8">
        <v>4.6250484159999898E-4</v>
      </c>
      <c r="K613" s="8">
        <v>3.8717609889999901E-4</v>
      </c>
      <c r="L613" s="8">
        <v>3.8357068499999999E-4</v>
      </c>
      <c r="M613" s="8">
        <v>3.7462167600000001E-4</v>
      </c>
      <c r="N613" s="8">
        <v>3.6497994070000002E-4</v>
      </c>
      <c r="O613">
        <v>0</v>
      </c>
      <c r="P613">
        <v>0</v>
      </c>
      <c r="Q613">
        <v>0</v>
      </c>
      <c r="R613" t="s">
        <v>243</v>
      </c>
    </row>
    <row r="614" spans="1:18" x14ac:dyDescent="0.3">
      <c r="A614" t="s">
        <v>259</v>
      </c>
      <c r="B614" t="s">
        <v>12</v>
      </c>
      <c r="C614" t="s">
        <v>302</v>
      </c>
      <c r="D614" s="8">
        <v>3.7135399999999997E-5</v>
      </c>
      <c r="E614" s="8">
        <v>4.7689210000000001E-4</v>
      </c>
      <c r="F614" s="8">
        <v>6.3471550800000003E-4</v>
      </c>
      <c r="G614" s="8">
        <v>6.9154727000000004E-4</v>
      </c>
      <c r="H614" s="8">
        <v>6.0730538540000004E-4</v>
      </c>
      <c r="I614" s="8">
        <v>5.3240719590000004E-4</v>
      </c>
      <c r="J614" s="8">
        <v>4.915436274E-4</v>
      </c>
      <c r="K614" s="8">
        <v>4.0567430629999998E-4</v>
      </c>
      <c r="L614" s="8">
        <v>3.9925871199999899E-4</v>
      </c>
      <c r="M614" s="8">
        <v>3.8804371399999999E-4</v>
      </c>
      <c r="N614" s="8">
        <v>3.7652973999999998E-4</v>
      </c>
      <c r="O614">
        <v>0</v>
      </c>
      <c r="P614">
        <v>0</v>
      </c>
      <c r="Q614">
        <v>0</v>
      </c>
      <c r="R614" t="s">
        <v>243</v>
      </c>
    </row>
    <row r="615" spans="1:18" x14ac:dyDescent="0.3">
      <c r="A615" t="s">
        <v>259</v>
      </c>
      <c r="B615" t="s">
        <v>12</v>
      </c>
      <c r="C615" t="s">
        <v>303</v>
      </c>
      <c r="D615" s="8">
        <v>4.47424E-5</v>
      </c>
      <c r="E615" s="8">
        <v>5.2257300000000003E-4</v>
      </c>
      <c r="F615" s="8">
        <v>6.9598873399999905E-4</v>
      </c>
      <c r="G615" s="8">
        <v>7.5672779099999999E-4</v>
      </c>
      <c r="H615" s="8">
        <v>6.7471378699999996E-4</v>
      </c>
      <c r="I615" s="8">
        <v>5.74075939E-4</v>
      </c>
      <c r="J615" s="8">
        <v>5.239923188E-4</v>
      </c>
      <c r="K615" s="8">
        <v>4.2588371380000001E-4</v>
      </c>
      <c r="L615" s="8">
        <v>4.1636807200000001E-4</v>
      </c>
      <c r="M615" s="8">
        <v>4.0292579300000003E-4</v>
      </c>
      <c r="N615" s="8">
        <v>3.8946393899999998E-4</v>
      </c>
      <c r="O615">
        <v>0</v>
      </c>
      <c r="P615">
        <v>0</v>
      </c>
      <c r="Q615">
        <v>0</v>
      </c>
      <c r="R615" t="s">
        <v>243</v>
      </c>
    </row>
    <row r="616" spans="1:18" x14ac:dyDescent="0.3">
      <c r="A616" t="s">
        <v>259</v>
      </c>
      <c r="B616" t="s">
        <v>12</v>
      </c>
      <c r="C616" t="s">
        <v>304</v>
      </c>
      <c r="D616" s="8">
        <v>2.7186300000000001E-5</v>
      </c>
      <c r="E616" s="8">
        <v>8.3191399999999998E-5</v>
      </c>
      <c r="F616" s="8">
        <v>1.0783199999999999E-4</v>
      </c>
      <c r="G616" s="8">
        <v>9.0363400000000003E-5</v>
      </c>
      <c r="H616" s="8">
        <v>1.3499429999999901E-4</v>
      </c>
      <c r="I616" s="8">
        <v>1.5267939999999999E-4</v>
      </c>
      <c r="J616" s="8">
        <v>1.7083739999999999E-4</v>
      </c>
      <c r="K616" s="8">
        <v>1.8913099999999999E-4</v>
      </c>
      <c r="L616" s="8">
        <v>2.0505750000000001E-4</v>
      </c>
      <c r="M616" s="8">
        <v>2.185849E-4</v>
      </c>
      <c r="N616" s="8">
        <v>2.30478099999999E-4</v>
      </c>
      <c r="O616">
        <v>0</v>
      </c>
      <c r="P616">
        <v>0</v>
      </c>
      <c r="Q616">
        <v>0</v>
      </c>
      <c r="R616" t="s">
        <v>243</v>
      </c>
    </row>
    <row r="617" spans="1:18" x14ac:dyDescent="0.3">
      <c r="A617" t="s">
        <v>259</v>
      </c>
      <c r="B617" t="s">
        <v>12</v>
      </c>
      <c r="C617" t="s">
        <v>305</v>
      </c>
      <c r="D617" s="8">
        <v>1.37909E-4</v>
      </c>
      <c r="E617" s="8">
        <v>4.1442999999999997E-4</v>
      </c>
      <c r="F617" s="8">
        <v>4.8638300000000001E-4</v>
      </c>
      <c r="G617" s="8">
        <v>4.3826800000000001E-4</v>
      </c>
      <c r="H617" s="8">
        <v>4.8463E-4</v>
      </c>
      <c r="I617" s="8">
        <v>3.9704669999999999E-4</v>
      </c>
      <c r="J617" s="8">
        <v>4.0358620000000001E-4</v>
      </c>
      <c r="K617" s="8">
        <v>4.1096820000000001E-4</v>
      </c>
      <c r="L617" s="8">
        <v>4.1697549999999999E-4</v>
      </c>
      <c r="M617" s="8">
        <v>4.2056400000000001E-4</v>
      </c>
      <c r="N617" s="8">
        <v>4.2369700000000001E-4</v>
      </c>
      <c r="O617">
        <v>0</v>
      </c>
      <c r="P617">
        <v>0</v>
      </c>
      <c r="Q617">
        <v>0</v>
      </c>
      <c r="R617" t="s">
        <v>243</v>
      </c>
    </row>
    <row r="618" spans="1:18" x14ac:dyDescent="0.3">
      <c r="A618" t="s">
        <v>259</v>
      </c>
      <c r="B618" t="s">
        <v>12</v>
      </c>
      <c r="C618" t="s">
        <v>306</v>
      </c>
      <c r="D618" s="8">
        <v>4.17571E-5</v>
      </c>
      <c r="E618" s="8">
        <v>1.34265E-4</v>
      </c>
      <c r="F618" s="8">
        <v>1.7505600000000001E-4</v>
      </c>
      <c r="G618" s="8">
        <v>1.47961E-4</v>
      </c>
      <c r="H618" s="8">
        <v>2.025958E-4</v>
      </c>
      <c r="I618" s="8">
        <v>2.1480149999999901E-4</v>
      </c>
      <c r="J618" s="8">
        <v>2.35832399999999E-4</v>
      </c>
      <c r="K618" s="8">
        <v>2.5653040000000001E-4</v>
      </c>
      <c r="L618" s="8">
        <v>2.7354739999999999E-4</v>
      </c>
      <c r="M618" s="8">
        <v>2.8711539999999998E-4</v>
      </c>
      <c r="N618" s="8">
        <v>2.9836609999999998E-4</v>
      </c>
      <c r="O618">
        <v>0</v>
      </c>
      <c r="P618">
        <v>0</v>
      </c>
      <c r="Q618">
        <v>0</v>
      </c>
      <c r="R618" t="s">
        <v>243</v>
      </c>
    </row>
    <row r="619" spans="1:18" x14ac:dyDescent="0.3">
      <c r="A619" t="s">
        <v>259</v>
      </c>
      <c r="B619" t="s">
        <v>12</v>
      </c>
      <c r="C619" t="s">
        <v>307</v>
      </c>
      <c r="D619" s="8">
        <v>5.32439E-5</v>
      </c>
      <c r="E619" s="8">
        <v>1.7162899999999999E-4</v>
      </c>
      <c r="F619" s="8">
        <v>2.1814100000000001E-4</v>
      </c>
      <c r="G619" s="8">
        <v>1.8658300000000001E-4</v>
      </c>
      <c r="H619" s="8">
        <v>2.4452399999999998E-4</v>
      </c>
      <c r="I619" s="8">
        <v>2.5025630000000002E-4</v>
      </c>
      <c r="J619" s="8">
        <v>2.705502E-4</v>
      </c>
      <c r="K619" s="8">
        <v>2.9018350000000002E-4</v>
      </c>
      <c r="L619" s="8">
        <v>3.056194E-4</v>
      </c>
      <c r="M619" s="8">
        <v>3.170537E-4</v>
      </c>
      <c r="N619" s="8">
        <v>3.2606779999999998E-4</v>
      </c>
      <c r="O619">
        <v>0</v>
      </c>
      <c r="P619">
        <v>0</v>
      </c>
      <c r="Q619">
        <v>0</v>
      </c>
      <c r="R619" t="s">
        <v>243</v>
      </c>
    </row>
    <row r="620" spans="1:18" x14ac:dyDescent="0.3">
      <c r="A620" t="s">
        <v>259</v>
      </c>
      <c r="B620" t="s">
        <v>12</v>
      </c>
      <c r="C620" t="s">
        <v>308</v>
      </c>
      <c r="D620" s="8">
        <v>6.1232499999999994E-5</v>
      </c>
      <c r="E620" s="8">
        <v>2.0229300000000001E-4</v>
      </c>
      <c r="F620" s="8">
        <v>2.5388199999999998E-4</v>
      </c>
      <c r="G620" s="8">
        <v>2.1761999999999999E-4</v>
      </c>
      <c r="H620" s="8">
        <v>2.7664999999999998E-4</v>
      </c>
      <c r="I620" s="8">
        <v>2.7409709999999998E-4</v>
      </c>
      <c r="J620" s="8">
        <v>2.935991E-4</v>
      </c>
      <c r="K620" s="8">
        <v>3.119334E-4</v>
      </c>
      <c r="L620" s="8">
        <v>3.2586270000000003E-4</v>
      </c>
      <c r="M620" s="8">
        <v>3.359692E-4</v>
      </c>
      <c r="N620" s="8">
        <v>3.4372500000000002E-4</v>
      </c>
      <c r="O620">
        <v>0</v>
      </c>
      <c r="P620">
        <v>0</v>
      </c>
      <c r="Q620">
        <v>0</v>
      </c>
      <c r="R620" t="s">
        <v>243</v>
      </c>
    </row>
    <row r="621" spans="1:18" x14ac:dyDescent="0.3">
      <c r="A621" t="s">
        <v>259</v>
      </c>
      <c r="B621" t="s">
        <v>12</v>
      </c>
      <c r="C621" t="s">
        <v>309</v>
      </c>
      <c r="D621" s="8">
        <v>6.9060999999999995E-5</v>
      </c>
      <c r="E621" s="8">
        <v>2.31754E-4</v>
      </c>
      <c r="F621" s="8">
        <v>2.8497800000000002E-4</v>
      </c>
      <c r="G621" s="8">
        <v>2.4622799999999997E-4</v>
      </c>
      <c r="H621" s="8">
        <v>3.0433899999999999E-4</v>
      </c>
      <c r="I621" s="8">
        <v>2.9434010000000001E-4</v>
      </c>
      <c r="J621" s="8">
        <v>3.1268520000000001E-4</v>
      </c>
      <c r="K621" s="8">
        <v>3.294037E-4</v>
      </c>
      <c r="L621" s="8">
        <v>3.4167599999999898E-4</v>
      </c>
      <c r="M621" s="8">
        <v>3.4996119999999999E-4</v>
      </c>
      <c r="N621" s="8">
        <v>3.5631209999999999E-4</v>
      </c>
      <c r="O621">
        <v>0</v>
      </c>
      <c r="P621">
        <v>0</v>
      </c>
      <c r="Q621">
        <v>0</v>
      </c>
      <c r="R621" t="s">
        <v>243</v>
      </c>
    </row>
    <row r="622" spans="1:18" x14ac:dyDescent="0.3">
      <c r="A622" t="s">
        <v>259</v>
      </c>
      <c r="B622" t="s">
        <v>12</v>
      </c>
      <c r="C622" t="s">
        <v>310</v>
      </c>
      <c r="D622" s="8">
        <v>7.7647599999999998E-5</v>
      </c>
      <c r="E622" s="8">
        <v>2.5944100000000001E-4</v>
      </c>
      <c r="F622" s="8">
        <v>3.1330300000000002E-4</v>
      </c>
      <c r="G622" s="8">
        <v>2.7233800000000001E-4</v>
      </c>
      <c r="H622" s="8">
        <v>3.3107699999999999E-4</v>
      </c>
      <c r="I622" s="8">
        <v>3.1240700000000001E-4</v>
      </c>
      <c r="J622" s="8">
        <v>3.2912829999999998E-4</v>
      </c>
      <c r="K622" s="8">
        <v>3.4375429999999998E-4</v>
      </c>
      <c r="L622" s="8">
        <v>3.5423749999999998E-4</v>
      </c>
      <c r="M622" s="8">
        <v>3.612081E-4</v>
      </c>
      <c r="N622" s="8">
        <v>3.6644409999999998E-4</v>
      </c>
      <c r="O622">
        <v>0</v>
      </c>
      <c r="P622">
        <v>0</v>
      </c>
      <c r="Q622">
        <v>0</v>
      </c>
      <c r="R622" t="s">
        <v>243</v>
      </c>
    </row>
    <row r="623" spans="1:18" x14ac:dyDescent="0.3">
      <c r="A623" t="s">
        <v>259</v>
      </c>
      <c r="B623" t="s">
        <v>12</v>
      </c>
      <c r="C623" t="s">
        <v>311</v>
      </c>
      <c r="D623" s="8">
        <v>8.7127700000000003E-5</v>
      </c>
      <c r="E623" s="8">
        <v>2.8606200000000001E-4</v>
      </c>
      <c r="F623" s="8">
        <v>3.4153299999999998E-4</v>
      </c>
      <c r="G623" s="8">
        <v>2.9623099999999999E-4</v>
      </c>
      <c r="H623" s="8">
        <v>3.5799599999999899E-4</v>
      </c>
      <c r="I623" s="8">
        <v>3.286602E-4</v>
      </c>
      <c r="J623" s="8">
        <v>3.4342949999999998E-4</v>
      </c>
      <c r="K623" s="8">
        <v>3.565827E-4</v>
      </c>
      <c r="L623" s="8">
        <v>3.658782E-4</v>
      </c>
      <c r="M623" s="8">
        <v>3.7171030000000002E-4</v>
      </c>
      <c r="N623" s="8">
        <v>3.7608629999999899E-4</v>
      </c>
      <c r="O623">
        <v>0</v>
      </c>
      <c r="P623">
        <v>0</v>
      </c>
      <c r="Q623">
        <v>0</v>
      </c>
      <c r="R623" t="s">
        <v>243</v>
      </c>
    </row>
    <row r="624" spans="1:18" x14ac:dyDescent="0.3">
      <c r="A624" t="s">
        <v>259</v>
      </c>
      <c r="B624" t="s">
        <v>12</v>
      </c>
      <c r="C624" t="s">
        <v>312</v>
      </c>
      <c r="D624" s="8">
        <v>9.7308900000000006E-5</v>
      </c>
      <c r="E624" s="8">
        <v>3.1476099999999999E-4</v>
      </c>
      <c r="F624" s="8">
        <v>3.7193699999999997E-4</v>
      </c>
      <c r="G624" s="8">
        <v>3.2653400000000001E-4</v>
      </c>
      <c r="H624" s="8">
        <v>3.85879E-4</v>
      </c>
      <c r="I624" s="8">
        <v>3.4537519999999999E-4</v>
      </c>
      <c r="J624" s="8">
        <v>3.5812250000000001E-4</v>
      </c>
      <c r="K624" s="8">
        <v>3.6914839999999902E-4</v>
      </c>
      <c r="L624" s="8">
        <v>3.7697989999999998E-4</v>
      </c>
      <c r="M624" s="8">
        <v>3.817305E-4</v>
      </c>
      <c r="N624" s="8">
        <v>3.8542619999999998E-4</v>
      </c>
      <c r="O624">
        <v>0</v>
      </c>
      <c r="P624">
        <v>0</v>
      </c>
      <c r="Q624">
        <v>0</v>
      </c>
      <c r="R624" t="s">
        <v>243</v>
      </c>
    </row>
    <row r="625" spans="1:18" x14ac:dyDescent="0.3">
      <c r="A625" t="s">
        <v>259</v>
      </c>
      <c r="B625" t="s">
        <v>12</v>
      </c>
      <c r="C625" t="s">
        <v>313</v>
      </c>
      <c r="D625" s="8">
        <v>1.13687E-4</v>
      </c>
      <c r="E625" s="8">
        <v>3.4729500000000001E-4</v>
      </c>
      <c r="F625" s="8">
        <v>4.12445E-4</v>
      </c>
      <c r="G625" s="8">
        <v>3.6288999999999999E-4</v>
      </c>
      <c r="H625" s="8">
        <v>4.2134399999999998E-4</v>
      </c>
      <c r="I625" s="8">
        <v>3.6402309999999997E-4</v>
      </c>
      <c r="J625" s="8">
        <v>3.7403600000000001E-4</v>
      </c>
      <c r="K625" s="8">
        <v>3.8315539999999898E-4</v>
      </c>
      <c r="L625" s="8">
        <v>3.8975130000000002E-4</v>
      </c>
      <c r="M625" s="8">
        <v>3.9363620000000001E-4</v>
      </c>
      <c r="N625" s="8">
        <v>3.968086E-4</v>
      </c>
      <c r="O625">
        <v>0</v>
      </c>
      <c r="P625">
        <v>0</v>
      </c>
      <c r="Q625">
        <v>0</v>
      </c>
      <c r="R625" t="s">
        <v>243</v>
      </c>
    </row>
    <row r="626" spans="1:18" x14ac:dyDescent="0.3">
      <c r="A626" t="s">
        <v>259</v>
      </c>
      <c r="B626" t="s">
        <v>12</v>
      </c>
      <c r="C626" t="s">
        <v>314</v>
      </c>
      <c r="D626" s="8">
        <v>3.3083000000000002E-6</v>
      </c>
      <c r="E626" s="8">
        <v>1.03063E-5</v>
      </c>
      <c r="F626" s="8">
        <v>1.3359801699999999E-5</v>
      </c>
      <c r="G626" s="8">
        <v>1.1224687000000001E-5</v>
      </c>
      <c r="H626" s="8">
        <v>1.59006995E-5</v>
      </c>
      <c r="I626" s="8">
        <v>1.7097630999999999E-5</v>
      </c>
      <c r="J626" s="8">
        <v>1.8708932000000001E-5</v>
      </c>
      <c r="K626" s="8">
        <v>2.0123253999999998E-5</v>
      </c>
      <c r="L626" s="8">
        <v>2.1221422999999999E-5</v>
      </c>
      <c r="M626" s="8">
        <v>2.2049575000000001E-5</v>
      </c>
      <c r="N626" s="8">
        <v>2.2678823500000001E-5</v>
      </c>
      <c r="O626">
        <v>0</v>
      </c>
      <c r="P626">
        <v>0</v>
      </c>
      <c r="Q626">
        <v>0</v>
      </c>
      <c r="R626" t="s">
        <v>243</v>
      </c>
    </row>
    <row r="627" spans="1:18" x14ac:dyDescent="0.3">
      <c r="A627" t="s">
        <v>259</v>
      </c>
      <c r="B627" t="s">
        <v>12</v>
      </c>
      <c r="C627" t="s">
        <v>315</v>
      </c>
      <c r="D627" s="8">
        <v>1.3705E-5</v>
      </c>
      <c r="E627" s="8">
        <v>3.91364E-5</v>
      </c>
      <c r="F627" s="8">
        <v>4.5983937E-5</v>
      </c>
      <c r="G627" s="8">
        <v>4.1566421E-5</v>
      </c>
      <c r="H627" s="8">
        <v>4.3767570999999998E-5</v>
      </c>
      <c r="I627" s="8">
        <v>3.5050447000000001E-5</v>
      </c>
      <c r="J627" s="8">
        <v>3.5355623E-5</v>
      </c>
      <c r="K627" s="8">
        <v>3.5559516999999997E-5</v>
      </c>
      <c r="L627" s="8">
        <v>3.5614658999999998E-5</v>
      </c>
      <c r="M627" s="8">
        <v>3.5562545999999901E-5</v>
      </c>
      <c r="N627" s="8">
        <v>3.5438290999999998E-5</v>
      </c>
      <c r="O627">
        <v>0</v>
      </c>
      <c r="P627">
        <v>0</v>
      </c>
      <c r="Q627">
        <v>0</v>
      </c>
      <c r="R627" t="s">
        <v>243</v>
      </c>
    </row>
    <row r="628" spans="1:18" x14ac:dyDescent="0.3">
      <c r="A628" t="s">
        <v>259</v>
      </c>
      <c r="B628" t="s">
        <v>12</v>
      </c>
      <c r="C628" t="s">
        <v>316</v>
      </c>
      <c r="D628" s="8">
        <v>4.9578799999999999E-6</v>
      </c>
      <c r="E628" s="8">
        <v>1.6010399999999998E-5</v>
      </c>
      <c r="F628" s="8">
        <v>2.0756031000000001E-5</v>
      </c>
      <c r="G628" s="8">
        <v>1.7644067999999998E-5</v>
      </c>
      <c r="H628" s="8">
        <v>2.2752107000000001E-5</v>
      </c>
      <c r="I628" s="8">
        <v>2.2587425000000002E-5</v>
      </c>
      <c r="J628" s="8">
        <v>2.4117592999999998E-5</v>
      </c>
      <c r="K628" s="8">
        <v>2.5336640999999999E-5</v>
      </c>
      <c r="L628" s="8">
        <v>2.6162323999999899E-5</v>
      </c>
      <c r="M628" s="8">
        <v>2.6691818E-5</v>
      </c>
      <c r="N628" s="8">
        <v>2.7013664E-5</v>
      </c>
      <c r="O628">
        <v>0</v>
      </c>
      <c r="P628">
        <v>0</v>
      </c>
      <c r="Q628">
        <v>0</v>
      </c>
      <c r="R628" t="s">
        <v>243</v>
      </c>
    </row>
    <row r="629" spans="1:18" x14ac:dyDescent="0.3">
      <c r="A629" t="s">
        <v>259</v>
      </c>
      <c r="B629" t="s">
        <v>12</v>
      </c>
      <c r="C629" t="s">
        <v>317</v>
      </c>
      <c r="D629" s="8">
        <v>6.2007800000000003E-6</v>
      </c>
      <c r="E629" s="8">
        <v>1.9893799999999999E-5</v>
      </c>
      <c r="F629" s="8">
        <v>2.5129036000000001E-5</v>
      </c>
      <c r="G629" s="8">
        <v>2.1639099999999899E-5</v>
      </c>
      <c r="H629" s="8">
        <v>2.6626944000000001E-5</v>
      </c>
      <c r="I629" s="8">
        <v>2.5335865999999999E-5</v>
      </c>
      <c r="J629" s="8">
        <v>2.66150119999999E-5</v>
      </c>
      <c r="K629" s="8">
        <v>2.7563854E-5</v>
      </c>
      <c r="L629" s="8">
        <v>2.8137233999999999E-5</v>
      </c>
      <c r="M629" s="8">
        <v>2.8436542999999999E-5</v>
      </c>
      <c r="N629" s="8">
        <v>2.8562423999999998E-5</v>
      </c>
      <c r="O629">
        <v>0</v>
      </c>
      <c r="P629">
        <v>0</v>
      </c>
      <c r="Q629">
        <v>0</v>
      </c>
      <c r="R629" t="s">
        <v>243</v>
      </c>
    </row>
    <row r="630" spans="1:18" x14ac:dyDescent="0.3">
      <c r="A630" t="s">
        <v>259</v>
      </c>
      <c r="B630" t="s">
        <v>12</v>
      </c>
      <c r="C630" t="s">
        <v>318</v>
      </c>
      <c r="D630" s="8">
        <v>7.0347099999999996E-6</v>
      </c>
      <c r="E630" s="8">
        <v>2.2894000000000001E-5</v>
      </c>
      <c r="F630" s="8">
        <v>2.8536978000000001E-5</v>
      </c>
      <c r="G630" s="8">
        <v>2.4669006E-5</v>
      </c>
      <c r="H630" s="8">
        <v>2.9399824000000002E-5</v>
      </c>
      <c r="I630" s="8">
        <v>2.7030843999999999E-5</v>
      </c>
      <c r="J630" s="8">
        <v>2.8131963999999999E-5</v>
      </c>
      <c r="K630" s="8">
        <v>2.8890491999999999E-5</v>
      </c>
      <c r="L630" s="8">
        <v>2.9305179000000001E-5</v>
      </c>
      <c r="M630" s="8">
        <v>2.9497635999999999E-5</v>
      </c>
      <c r="N630" s="8">
        <v>2.9544648E-5</v>
      </c>
      <c r="O630">
        <v>0</v>
      </c>
      <c r="P630">
        <v>0</v>
      </c>
      <c r="Q630">
        <v>0</v>
      </c>
      <c r="R630" t="s">
        <v>243</v>
      </c>
    </row>
    <row r="631" spans="1:18" x14ac:dyDescent="0.3">
      <c r="A631" t="s">
        <v>259</v>
      </c>
      <c r="B631" t="s">
        <v>12</v>
      </c>
      <c r="C631" t="s">
        <v>319</v>
      </c>
      <c r="D631" s="8">
        <v>7.82865E-6</v>
      </c>
      <c r="E631" s="8">
        <v>2.56176E-5</v>
      </c>
      <c r="F631" s="8">
        <v>3.1338726999999999E-5</v>
      </c>
      <c r="G631" s="8">
        <v>2.7317188E-5</v>
      </c>
      <c r="H631" s="8">
        <v>3.1652574999999899E-5</v>
      </c>
      <c r="I631" s="8">
        <v>2.8379496000000001E-5</v>
      </c>
      <c r="J631" s="8">
        <v>2.9314535000000001E-5</v>
      </c>
      <c r="K631" s="8">
        <v>2.9911790999999999E-5</v>
      </c>
      <c r="L631" s="8">
        <v>3.0203899999999899E-5</v>
      </c>
      <c r="M631" s="8">
        <v>3.0296195999999999E-5</v>
      </c>
      <c r="N631" s="8">
        <v>3.0280712999999998E-5</v>
      </c>
      <c r="O631">
        <v>0</v>
      </c>
      <c r="P631">
        <v>0</v>
      </c>
      <c r="Q631">
        <v>0</v>
      </c>
      <c r="R631" t="s">
        <v>243</v>
      </c>
    </row>
    <row r="632" spans="1:18" x14ac:dyDescent="0.3">
      <c r="A632" t="s">
        <v>259</v>
      </c>
      <c r="B632" t="s">
        <v>12</v>
      </c>
      <c r="C632" t="s">
        <v>320</v>
      </c>
      <c r="D632" s="8">
        <v>8.6694399999999998E-6</v>
      </c>
      <c r="E632" s="8">
        <v>2.8030799999999999E-5</v>
      </c>
      <c r="F632" s="8">
        <v>3.3755757999999998E-5</v>
      </c>
      <c r="G632" s="8">
        <v>2.9612173E-5</v>
      </c>
      <c r="H632" s="8">
        <v>3.3706159E-5</v>
      </c>
      <c r="I632" s="8">
        <v>2.9520856E-5</v>
      </c>
      <c r="J632" s="8">
        <v>3.0293991E-5</v>
      </c>
      <c r="K632" s="8">
        <v>3.0742618000000002E-5</v>
      </c>
      <c r="L632" s="8">
        <v>3.0934218999999998E-5</v>
      </c>
      <c r="M632" s="8">
        <v>3.0973694000000002E-5</v>
      </c>
      <c r="N632" s="8">
        <v>3.0920263000000002E-5</v>
      </c>
      <c r="O632">
        <v>0</v>
      </c>
      <c r="P632">
        <v>0</v>
      </c>
      <c r="Q632">
        <v>0</v>
      </c>
      <c r="R632" t="s">
        <v>243</v>
      </c>
    </row>
    <row r="633" spans="1:18" x14ac:dyDescent="0.3">
      <c r="A633" t="s">
        <v>259</v>
      </c>
      <c r="B633" t="s">
        <v>12</v>
      </c>
      <c r="C633" t="s">
        <v>321</v>
      </c>
      <c r="D633" s="8">
        <v>9.5639100000000007E-6</v>
      </c>
      <c r="E633" s="8">
        <v>3.02175E-5</v>
      </c>
      <c r="F633" s="8">
        <v>3.6036301999999998E-5</v>
      </c>
      <c r="G633" s="8">
        <v>3.1610194999999997E-5</v>
      </c>
      <c r="H633" s="8">
        <v>3.5655435E-5</v>
      </c>
      <c r="I633" s="8">
        <v>3.0509913999999999E-5</v>
      </c>
      <c r="J633" s="8">
        <v>3.1134289999999997E-5</v>
      </c>
      <c r="K633" s="8">
        <v>3.1503797E-5</v>
      </c>
      <c r="L633" s="8">
        <v>3.16510399999999E-5</v>
      </c>
      <c r="M633" s="8">
        <v>3.1658734000000002E-5</v>
      </c>
      <c r="N633" s="8">
        <v>3.1585323E-5</v>
      </c>
      <c r="O633">
        <v>0</v>
      </c>
      <c r="P633">
        <v>0</v>
      </c>
      <c r="Q633">
        <v>0</v>
      </c>
      <c r="R633" t="s">
        <v>243</v>
      </c>
    </row>
    <row r="634" spans="1:18" x14ac:dyDescent="0.3">
      <c r="A634" t="s">
        <v>259</v>
      </c>
      <c r="B634" t="s">
        <v>12</v>
      </c>
      <c r="C634" t="s">
        <v>322</v>
      </c>
      <c r="D634" s="8">
        <v>1.0483500000000001E-5</v>
      </c>
      <c r="E634" s="8">
        <v>3.2428200000000002E-5</v>
      </c>
      <c r="F634" s="8">
        <v>3.8350138999999997E-5</v>
      </c>
      <c r="G634" s="8">
        <v>3.4001670999999997E-5</v>
      </c>
      <c r="H634" s="8">
        <v>3.7557883000000002E-5</v>
      </c>
      <c r="I634" s="8">
        <v>3.1513249999999999E-5</v>
      </c>
      <c r="J634" s="8">
        <v>3.2016588999999998E-5</v>
      </c>
      <c r="K634" s="8">
        <v>3.2296367999999997E-5</v>
      </c>
      <c r="L634" s="8">
        <v>3.2396364999999998E-5</v>
      </c>
      <c r="M634" s="8">
        <v>3.2376251000000003E-5</v>
      </c>
      <c r="N634" s="8">
        <v>3.2286236999999997E-5</v>
      </c>
      <c r="O634">
        <v>0</v>
      </c>
      <c r="P634">
        <v>0</v>
      </c>
      <c r="Q634">
        <v>0</v>
      </c>
      <c r="R634" t="s">
        <v>243</v>
      </c>
    </row>
    <row r="635" spans="1:18" x14ac:dyDescent="0.3">
      <c r="A635" t="s">
        <v>259</v>
      </c>
      <c r="B635" t="s">
        <v>12</v>
      </c>
      <c r="C635" t="s">
        <v>323</v>
      </c>
      <c r="D635" s="8">
        <v>1.18692E-5</v>
      </c>
      <c r="E635" s="8">
        <v>3.4755400000000003E-5</v>
      </c>
      <c r="F635" s="8">
        <v>4.1215352999999902E-5</v>
      </c>
      <c r="G635" s="8">
        <v>3.6665734000000003E-5</v>
      </c>
      <c r="H635" s="8">
        <v>3.9827818999999997E-5</v>
      </c>
      <c r="I635" s="8">
        <v>3.2663219999999997E-5</v>
      </c>
      <c r="J635" s="8">
        <v>3.3046848999999997E-5</v>
      </c>
      <c r="K635" s="8">
        <v>3.3280218999999999E-5</v>
      </c>
      <c r="L635" s="8">
        <v>3.3350582999999999E-5</v>
      </c>
      <c r="M635" s="8">
        <v>3.3308541E-5</v>
      </c>
      <c r="N635" s="8">
        <v>3.31989619999999E-5</v>
      </c>
      <c r="O635">
        <v>0</v>
      </c>
      <c r="P635">
        <v>0</v>
      </c>
      <c r="Q635">
        <v>0</v>
      </c>
      <c r="R635" t="s">
        <v>243</v>
      </c>
    </row>
    <row r="636" spans="1:18" x14ac:dyDescent="0.3">
      <c r="A636" t="s">
        <v>259</v>
      </c>
      <c r="B636" t="s">
        <v>14</v>
      </c>
      <c r="C636" t="s">
        <v>261</v>
      </c>
      <c r="D636" s="8">
        <v>7.4027329999999897E-4</v>
      </c>
      <c r="E636">
        <v>1.81711E-3</v>
      </c>
      <c r="F636">
        <v>2.0964E-3</v>
      </c>
      <c r="G636">
        <v>2.0884208E-3</v>
      </c>
      <c r="H636">
        <v>2.1090007E-3</v>
      </c>
      <c r="I636">
        <v>2.1701855E-3</v>
      </c>
      <c r="J636">
        <v>2.0944806699999901E-3</v>
      </c>
      <c r="K636">
        <v>2.07416613E-3</v>
      </c>
      <c r="L636">
        <v>2.04002477E-3</v>
      </c>
      <c r="M636">
        <v>1.9819880499999999E-3</v>
      </c>
      <c r="N636">
        <v>1.9255846099999899E-3</v>
      </c>
      <c r="O636">
        <v>0</v>
      </c>
      <c r="P636">
        <v>0</v>
      </c>
      <c r="Q636">
        <v>0</v>
      </c>
      <c r="R636" t="s">
        <v>243</v>
      </c>
    </row>
    <row r="637" spans="1:18" x14ac:dyDescent="0.3">
      <c r="A637" t="s">
        <v>259</v>
      </c>
      <c r="B637" t="s">
        <v>14</v>
      </c>
      <c r="C637" t="s">
        <v>262</v>
      </c>
      <c r="D637">
        <v>0.1107098317</v>
      </c>
      <c r="E637">
        <v>6.7219770440000007E-2</v>
      </c>
      <c r="F637">
        <v>6.5605028570000001E-2</v>
      </c>
      <c r="G637">
        <v>5.7017656799999997E-2</v>
      </c>
      <c r="H637">
        <v>5.3935125399999999E-2</v>
      </c>
      <c r="I637">
        <v>5.3698964260000003E-2</v>
      </c>
      <c r="J637">
        <v>5.1927075060000001E-2</v>
      </c>
      <c r="K637">
        <v>4.6902674029999897E-2</v>
      </c>
      <c r="L637">
        <v>4.1185774368999901E-2</v>
      </c>
      <c r="M637">
        <v>3.9235626021000003E-2</v>
      </c>
      <c r="N637">
        <v>3.7366079410000003E-2</v>
      </c>
      <c r="O637">
        <v>0</v>
      </c>
      <c r="P637">
        <v>0</v>
      </c>
      <c r="Q637">
        <v>0</v>
      </c>
      <c r="R637" t="s">
        <v>243</v>
      </c>
    </row>
    <row r="638" spans="1:18" x14ac:dyDescent="0.3">
      <c r="A638" t="s">
        <v>259</v>
      </c>
      <c r="B638" t="s">
        <v>14</v>
      </c>
      <c r="C638" t="s">
        <v>263</v>
      </c>
      <c r="D638">
        <v>4.1209149899999999E-2</v>
      </c>
      <c r="E638">
        <v>6.2441799999999999E-2</v>
      </c>
      <c r="F638">
        <v>6.8551998999999905E-2</v>
      </c>
      <c r="G638">
        <v>6.5217399999999995E-2</v>
      </c>
      <c r="H638">
        <v>6.3580605900000003E-2</v>
      </c>
      <c r="I638">
        <v>6.7720894759999997E-2</v>
      </c>
      <c r="J638">
        <v>7.0471863100000004E-2</v>
      </c>
      <c r="K638">
        <v>7.1576919599999997E-2</v>
      </c>
      <c r="L638">
        <v>7.2513993600000007E-2</v>
      </c>
      <c r="M638">
        <v>7.3513694399999996E-2</v>
      </c>
      <c r="N638">
        <v>7.4194929300000004E-2</v>
      </c>
      <c r="O638">
        <v>0</v>
      </c>
      <c r="P638">
        <v>0</v>
      </c>
      <c r="Q638">
        <v>0</v>
      </c>
      <c r="R638" t="s">
        <v>243</v>
      </c>
    </row>
    <row r="639" spans="1:18" x14ac:dyDescent="0.3">
      <c r="A639" t="s">
        <v>259</v>
      </c>
      <c r="B639" t="s">
        <v>14</v>
      </c>
      <c r="C639" t="s">
        <v>324</v>
      </c>
      <c r="D639" s="8">
        <v>3.9374900000000001E-5</v>
      </c>
      <c r="E639" s="8">
        <v>9.8695400000000004E-6</v>
      </c>
      <c r="F639" s="8">
        <v>1.33542E-5</v>
      </c>
      <c r="G639" s="8">
        <v>1.1619300000000001E-5</v>
      </c>
      <c r="H639" s="8">
        <v>1.20984399999999E-5</v>
      </c>
      <c r="I639" s="8">
        <v>1.261831E-5</v>
      </c>
      <c r="J639" s="8">
        <v>1.241753E-5</v>
      </c>
      <c r="K639" s="8">
        <v>1.236521E-5</v>
      </c>
      <c r="L639" s="8">
        <v>1.2362259999999901E-5</v>
      </c>
      <c r="M639" s="8">
        <v>1.2333390000000001E-5</v>
      </c>
      <c r="N639" s="8">
        <v>1.229675E-5</v>
      </c>
      <c r="O639">
        <v>0</v>
      </c>
      <c r="P639">
        <v>0</v>
      </c>
      <c r="Q639">
        <v>0</v>
      </c>
      <c r="R639" t="s">
        <v>243</v>
      </c>
    </row>
    <row r="640" spans="1:18" x14ac:dyDescent="0.3">
      <c r="A640" t="s">
        <v>259</v>
      </c>
      <c r="B640" t="s">
        <v>14</v>
      </c>
      <c r="C640" t="s">
        <v>325</v>
      </c>
      <c r="D640" s="8">
        <v>2.7092499999999999E-6</v>
      </c>
      <c r="E640" s="8">
        <v>4.2643199999999999E-7</v>
      </c>
      <c r="F640" s="8">
        <v>6.7989299999999996E-7</v>
      </c>
      <c r="G640" s="8">
        <v>6.3200300000000002E-7</v>
      </c>
      <c r="H640" s="8">
        <v>6.4299399999999997E-7</v>
      </c>
      <c r="I640" s="8">
        <v>6.7308000000000004E-7</v>
      </c>
      <c r="J640" s="8">
        <v>6.6077339999999995E-7</v>
      </c>
      <c r="K640" s="8">
        <v>6.5647920000000002E-7</v>
      </c>
      <c r="L640" s="8">
        <v>6.5565899999999996E-7</v>
      </c>
      <c r="M640" s="8">
        <v>6.5400699999999999E-7</v>
      </c>
      <c r="N640" s="8">
        <v>6.52408E-7</v>
      </c>
      <c r="O640">
        <v>0</v>
      </c>
      <c r="P640">
        <v>0</v>
      </c>
      <c r="Q640">
        <v>0</v>
      </c>
      <c r="R640" t="s">
        <v>243</v>
      </c>
    </row>
    <row r="641" spans="1:18" x14ac:dyDescent="0.3">
      <c r="A641" t="s">
        <v>259</v>
      </c>
      <c r="B641" t="s">
        <v>14</v>
      </c>
      <c r="C641" t="s">
        <v>326</v>
      </c>
      <c r="D641" s="8">
        <v>2.2994200000000001E-5</v>
      </c>
      <c r="E641" s="8">
        <v>5.3351400000000002E-6</v>
      </c>
      <c r="F641" s="8">
        <v>7.0611400000000003E-6</v>
      </c>
      <c r="G641" s="8">
        <v>6.1677100000000001E-6</v>
      </c>
      <c r="H641" s="8">
        <v>6.3030599999999996E-6</v>
      </c>
      <c r="I641" s="8">
        <v>6.5662400000000002E-6</v>
      </c>
      <c r="J641" s="8">
        <v>6.4610309999999901E-6</v>
      </c>
      <c r="K641" s="8">
        <v>6.4352980000000004E-6</v>
      </c>
      <c r="L641" s="8">
        <v>6.4378399999999998E-6</v>
      </c>
      <c r="M641" s="8">
        <v>6.4301639999999997E-6</v>
      </c>
      <c r="N641" s="8">
        <v>6.4208200000000001E-6</v>
      </c>
      <c r="O641">
        <v>0</v>
      </c>
      <c r="P641">
        <v>0</v>
      </c>
      <c r="Q641">
        <v>0</v>
      </c>
      <c r="R641" t="s">
        <v>243</v>
      </c>
    </row>
    <row r="642" spans="1:18" x14ac:dyDescent="0.3">
      <c r="A642" t="s">
        <v>259</v>
      </c>
      <c r="B642" t="s">
        <v>14</v>
      </c>
      <c r="C642" t="s">
        <v>327</v>
      </c>
      <c r="D642" s="8">
        <v>1.6498400000000001E-5</v>
      </c>
      <c r="E642" s="8">
        <v>3.7336499999999998E-6</v>
      </c>
      <c r="F642" s="8">
        <v>5.0748299999999997E-6</v>
      </c>
      <c r="G642" s="8">
        <v>4.4058299999999998E-6</v>
      </c>
      <c r="H642" s="8">
        <v>4.4684499999999902E-6</v>
      </c>
      <c r="I642" s="8">
        <v>4.6615899999999997E-6</v>
      </c>
      <c r="J642" s="8">
        <v>4.579578E-6</v>
      </c>
      <c r="K642" s="8">
        <v>4.557178E-6</v>
      </c>
      <c r="L642" s="8">
        <v>4.5558989999999996E-6</v>
      </c>
      <c r="M642" s="8">
        <v>4.5462629999999996E-6</v>
      </c>
      <c r="N642" s="8">
        <v>4.5355960000000001E-6</v>
      </c>
      <c r="O642">
        <v>0</v>
      </c>
      <c r="P642">
        <v>0</v>
      </c>
      <c r="Q642">
        <v>0</v>
      </c>
      <c r="R642" t="s">
        <v>243</v>
      </c>
    </row>
    <row r="643" spans="1:18" x14ac:dyDescent="0.3">
      <c r="A643" t="s">
        <v>259</v>
      </c>
      <c r="B643" t="s">
        <v>14</v>
      </c>
      <c r="C643" t="s">
        <v>328</v>
      </c>
      <c r="D643" s="8">
        <v>1.3462799999999999E-5</v>
      </c>
      <c r="E643" s="8">
        <v>2.86894E-6</v>
      </c>
      <c r="F643" s="8">
        <v>3.94709E-6</v>
      </c>
      <c r="G643" s="8">
        <v>3.4532799999999999E-6</v>
      </c>
      <c r="H643" s="8">
        <v>3.4863399999999998E-6</v>
      </c>
      <c r="I643" s="8">
        <v>3.6321310000000001E-6</v>
      </c>
      <c r="J643" s="8">
        <v>3.567931E-6</v>
      </c>
      <c r="K643" s="8">
        <v>3.5500509999999998E-6</v>
      </c>
      <c r="L643" s="8">
        <v>3.548969E-6</v>
      </c>
      <c r="M643" s="8">
        <v>3.5441059999999998E-6</v>
      </c>
      <c r="N643" s="8">
        <v>3.5388809999999998E-6</v>
      </c>
      <c r="O643">
        <v>0</v>
      </c>
      <c r="P643">
        <v>0</v>
      </c>
      <c r="Q643">
        <v>0</v>
      </c>
      <c r="R643" t="s">
        <v>243</v>
      </c>
    </row>
    <row r="644" spans="1:18" x14ac:dyDescent="0.3">
      <c r="A644" t="s">
        <v>259</v>
      </c>
      <c r="B644" t="s">
        <v>14</v>
      </c>
      <c r="C644" t="s">
        <v>329</v>
      </c>
      <c r="D644" s="8">
        <v>1.11977E-5</v>
      </c>
      <c r="E644" s="8">
        <v>2.2600899999999999E-6</v>
      </c>
      <c r="F644" s="8">
        <v>3.20223E-6</v>
      </c>
      <c r="G644" s="8">
        <v>2.7962699999999998E-6</v>
      </c>
      <c r="H644" s="8">
        <v>2.8103E-6</v>
      </c>
      <c r="I644" s="8">
        <v>2.9309719999999899E-6</v>
      </c>
      <c r="J644" s="8">
        <v>2.8793529999999899E-6</v>
      </c>
      <c r="K644" s="8">
        <v>2.8646239999999999E-6</v>
      </c>
      <c r="L644" s="8">
        <v>2.8632859999999998E-6</v>
      </c>
      <c r="M644" s="8">
        <v>2.8572060000000001E-6</v>
      </c>
      <c r="N644" s="8">
        <v>2.852308E-6</v>
      </c>
      <c r="O644">
        <v>0</v>
      </c>
      <c r="P644">
        <v>0</v>
      </c>
      <c r="Q644">
        <v>0</v>
      </c>
      <c r="R644" t="s">
        <v>243</v>
      </c>
    </row>
    <row r="645" spans="1:18" x14ac:dyDescent="0.3">
      <c r="A645" t="s">
        <v>259</v>
      </c>
      <c r="B645" t="s">
        <v>14</v>
      </c>
      <c r="C645" t="s">
        <v>330</v>
      </c>
      <c r="D645" s="8">
        <v>9.2639600000000003E-6</v>
      </c>
      <c r="E645" s="8">
        <v>1.8194399999999999E-6</v>
      </c>
      <c r="F645" s="8">
        <v>2.6546E-6</v>
      </c>
      <c r="G645" s="8">
        <v>2.3188600000000001E-6</v>
      </c>
      <c r="H645" s="8">
        <v>2.329465E-6</v>
      </c>
      <c r="I645" s="8">
        <v>2.4310169999999999E-6</v>
      </c>
      <c r="J645" s="8">
        <v>2.3875929999999998E-6</v>
      </c>
      <c r="K645" s="8">
        <v>2.37324299999999E-6</v>
      </c>
      <c r="L645" s="8">
        <v>2.3703579999999999E-6</v>
      </c>
      <c r="M645" s="8">
        <v>2.3653259999999999E-6</v>
      </c>
      <c r="N645" s="8">
        <v>2.3608349999999998E-6</v>
      </c>
      <c r="O645">
        <v>0</v>
      </c>
      <c r="P645">
        <v>0</v>
      </c>
      <c r="Q645">
        <v>0</v>
      </c>
      <c r="R645" t="s">
        <v>243</v>
      </c>
    </row>
    <row r="646" spans="1:18" x14ac:dyDescent="0.3">
      <c r="A646" t="s">
        <v>259</v>
      </c>
      <c r="B646" t="s">
        <v>14</v>
      </c>
      <c r="C646" t="s">
        <v>331</v>
      </c>
      <c r="D646" s="8">
        <v>7.5927600000000001E-6</v>
      </c>
      <c r="E646" s="8">
        <v>1.4759299999999999E-6</v>
      </c>
      <c r="F646" s="8">
        <v>2.2021099999999999E-6</v>
      </c>
      <c r="G646" s="8">
        <v>1.9596599999999998E-6</v>
      </c>
      <c r="H646" s="8">
        <v>1.976645E-6</v>
      </c>
      <c r="I646" s="8">
        <v>2.0609999999999998E-6</v>
      </c>
      <c r="J646" s="8">
        <v>2.022979E-6</v>
      </c>
      <c r="K646" s="8">
        <v>2.012271E-6</v>
      </c>
      <c r="L646" s="8">
        <v>2.0113589999999998E-6</v>
      </c>
      <c r="M646" s="8">
        <v>2.007513E-6</v>
      </c>
      <c r="N646" s="8">
        <v>2.0038510000000001E-6</v>
      </c>
      <c r="O646">
        <v>0</v>
      </c>
      <c r="P646">
        <v>0</v>
      </c>
      <c r="Q646">
        <v>0</v>
      </c>
      <c r="R646" t="s">
        <v>243</v>
      </c>
    </row>
    <row r="647" spans="1:18" x14ac:dyDescent="0.3">
      <c r="A647" t="s">
        <v>259</v>
      </c>
      <c r="B647" t="s">
        <v>14</v>
      </c>
      <c r="C647" t="s">
        <v>332</v>
      </c>
      <c r="D647" s="8">
        <v>6.1841499999999999E-6</v>
      </c>
      <c r="E647" s="8">
        <v>1.1726899999999999E-6</v>
      </c>
      <c r="F647" s="8">
        <v>1.7913900000000001E-6</v>
      </c>
      <c r="G647" s="8">
        <v>1.58228E-6</v>
      </c>
      <c r="H647" s="8">
        <v>1.593781E-6</v>
      </c>
      <c r="I647" s="8">
        <v>1.6645139999999899E-6</v>
      </c>
      <c r="J647" s="8">
        <v>1.6342059999999999E-6</v>
      </c>
      <c r="K647" s="8">
        <v>1.62460399999999E-6</v>
      </c>
      <c r="L647" s="8">
        <v>1.6232949999999901E-6</v>
      </c>
      <c r="M647" s="8">
        <v>1.619635E-6</v>
      </c>
      <c r="N647" s="8">
        <v>1.6163389999999999E-6</v>
      </c>
      <c r="O647">
        <v>0</v>
      </c>
      <c r="P647">
        <v>0</v>
      </c>
      <c r="Q647">
        <v>0</v>
      </c>
      <c r="R647" t="s">
        <v>243</v>
      </c>
    </row>
    <row r="648" spans="1:18" x14ac:dyDescent="0.3">
      <c r="A648" t="s">
        <v>259</v>
      </c>
      <c r="B648" t="s">
        <v>14</v>
      </c>
      <c r="C648" t="s">
        <v>333</v>
      </c>
      <c r="D648" s="8">
        <v>4.4712399999999999E-6</v>
      </c>
      <c r="E648" s="8">
        <v>8.8840000000000004E-7</v>
      </c>
      <c r="F648" s="8">
        <v>1.3365799999999999E-6</v>
      </c>
      <c r="G648" s="8">
        <v>1.2117199999999999E-6</v>
      </c>
      <c r="H648" s="8">
        <v>1.2254749999999999E-6</v>
      </c>
      <c r="I648" s="8">
        <v>1.279363E-6</v>
      </c>
      <c r="J648" s="8">
        <v>1.2555370000000001E-6</v>
      </c>
      <c r="K648" s="8">
        <v>1.248293E-6</v>
      </c>
      <c r="L648" s="8">
        <v>1.246913E-6</v>
      </c>
      <c r="M648" s="8">
        <v>1.24353E-6</v>
      </c>
      <c r="N648" s="8">
        <v>1.240338E-6</v>
      </c>
      <c r="O648">
        <v>0</v>
      </c>
      <c r="P648">
        <v>0</v>
      </c>
      <c r="Q648">
        <v>0</v>
      </c>
      <c r="R648" t="s">
        <v>243</v>
      </c>
    </row>
    <row r="649" spans="1:18" x14ac:dyDescent="0.3">
      <c r="A649" t="s">
        <v>259</v>
      </c>
      <c r="B649" t="s">
        <v>14</v>
      </c>
      <c r="C649" t="s">
        <v>264</v>
      </c>
      <c r="D649">
        <v>2.1681375999999999E-3</v>
      </c>
      <c r="E649">
        <v>2.7781621999999999E-3</v>
      </c>
      <c r="F649">
        <v>3.3980221999999902E-3</v>
      </c>
      <c r="G649">
        <v>3.6216817999999902E-3</v>
      </c>
      <c r="H649">
        <v>3.6021142499999899E-3</v>
      </c>
      <c r="I649">
        <v>3.8455915600000001E-3</v>
      </c>
      <c r="J649">
        <v>3.94664357E-3</v>
      </c>
      <c r="K649">
        <v>4.00680434999999E-3</v>
      </c>
      <c r="L649">
        <v>3.9584975099999902E-3</v>
      </c>
      <c r="M649">
        <v>3.8380377000000001E-3</v>
      </c>
      <c r="N649">
        <v>3.7294292399999902E-3</v>
      </c>
      <c r="O649">
        <v>0</v>
      </c>
      <c r="P649">
        <v>0</v>
      </c>
      <c r="Q649">
        <v>0</v>
      </c>
      <c r="R649" t="s">
        <v>243</v>
      </c>
    </row>
    <row r="650" spans="1:18" x14ac:dyDescent="0.3">
      <c r="A650" t="s">
        <v>259</v>
      </c>
      <c r="B650" t="s">
        <v>14</v>
      </c>
      <c r="C650" t="s">
        <v>265</v>
      </c>
      <c r="D650">
        <v>4.3358909999999997E-3</v>
      </c>
      <c r="E650">
        <v>6.045735E-3</v>
      </c>
      <c r="F650">
        <v>6.8468323999999903E-3</v>
      </c>
      <c r="G650">
        <v>7.0344337999999999E-3</v>
      </c>
      <c r="H650">
        <v>6.7660368999999899E-3</v>
      </c>
      <c r="I650">
        <v>7.1007421899999899E-3</v>
      </c>
      <c r="J650">
        <v>7.1218548499999996E-3</v>
      </c>
      <c r="K650">
        <v>7.1661043000000001E-3</v>
      </c>
      <c r="L650">
        <v>7.0528090899999903E-3</v>
      </c>
      <c r="M650">
        <v>6.8203685599999998E-3</v>
      </c>
      <c r="N650">
        <v>6.61839717E-3</v>
      </c>
      <c r="O650">
        <v>0</v>
      </c>
      <c r="P650">
        <v>0</v>
      </c>
      <c r="Q650">
        <v>0</v>
      </c>
      <c r="R650" t="s">
        <v>243</v>
      </c>
    </row>
    <row r="651" spans="1:18" x14ac:dyDescent="0.3">
      <c r="A651" t="s">
        <v>259</v>
      </c>
      <c r="B651" t="s">
        <v>14</v>
      </c>
      <c r="C651" t="s">
        <v>266</v>
      </c>
      <c r="D651">
        <v>2.7536205999999998E-3</v>
      </c>
      <c r="E651">
        <v>3.6475645E-3</v>
      </c>
      <c r="F651">
        <v>4.3636452000000003E-3</v>
      </c>
      <c r="G651">
        <v>4.5661721999999899E-3</v>
      </c>
      <c r="H651">
        <v>4.4162641999999997E-3</v>
      </c>
      <c r="I651">
        <v>4.6390610800000004E-3</v>
      </c>
      <c r="J651">
        <v>4.6868480300000003E-3</v>
      </c>
      <c r="K651">
        <v>4.7338972499999998E-3</v>
      </c>
      <c r="L651">
        <v>4.6689853200000001E-3</v>
      </c>
      <c r="M651">
        <v>4.5229732399999899E-3</v>
      </c>
      <c r="N651">
        <v>4.39467105E-3</v>
      </c>
      <c r="O651">
        <v>0</v>
      </c>
      <c r="P651">
        <v>0</v>
      </c>
      <c r="Q651">
        <v>0</v>
      </c>
      <c r="R651" t="s">
        <v>243</v>
      </c>
    </row>
    <row r="652" spans="1:18" x14ac:dyDescent="0.3">
      <c r="A652" t="s">
        <v>259</v>
      </c>
      <c r="B652" t="s">
        <v>14</v>
      </c>
      <c r="C652" t="s">
        <v>267</v>
      </c>
      <c r="D652">
        <v>3.0662485999999999E-3</v>
      </c>
      <c r="E652">
        <v>4.0727245000000004E-3</v>
      </c>
      <c r="F652">
        <v>4.7801781999999996E-3</v>
      </c>
      <c r="G652">
        <v>4.9847844999999997E-3</v>
      </c>
      <c r="H652">
        <v>4.7815857000000003E-3</v>
      </c>
      <c r="I652">
        <v>5.0113657799999997E-3</v>
      </c>
      <c r="J652">
        <v>5.0368464899999896E-3</v>
      </c>
      <c r="K652">
        <v>5.0774682499999998E-3</v>
      </c>
      <c r="L652">
        <v>5.0025050299999999E-3</v>
      </c>
      <c r="M652">
        <v>4.83998211E-3</v>
      </c>
      <c r="N652">
        <v>4.6974328299999998E-3</v>
      </c>
      <c r="O652">
        <v>0</v>
      </c>
      <c r="P652">
        <v>0</v>
      </c>
      <c r="Q652">
        <v>0</v>
      </c>
      <c r="R652" t="s">
        <v>243</v>
      </c>
    </row>
    <row r="653" spans="1:18" x14ac:dyDescent="0.3">
      <c r="A653" t="s">
        <v>259</v>
      </c>
      <c r="B653" t="s">
        <v>14</v>
      </c>
      <c r="C653" t="s">
        <v>268</v>
      </c>
      <c r="D653">
        <v>3.2376710000000001E-3</v>
      </c>
      <c r="E653">
        <v>4.3507114999999904E-3</v>
      </c>
      <c r="F653">
        <v>5.0678145000000001E-3</v>
      </c>
      <c r="G653">
        <v>5.2645916000000001E-3</v>
      </c>
      <c r="H653">
        <v>5.0279776999999897E-3</v>
      </c>
      <c r="I653">
        <v>5.2546966499999997E-3</v>
      </c>
      <c r="J653">
        <v>5.2754230900000001E-3</v>
      </c>
      <c r="K653">
        <v>5.3156974599999898E-3</v>
      </c>
      <c r="L653">
        <v>5.23656138E-3</v>
      </c>
      <c r="M653">
        <v>5.0696737199999904E-3</v>
      </c>
      <c r="N653">
        <v>4.9245058899999999E-3</v>
      </c>
      <c r="O653">
        <v>0</v>
      </c>
      <c r="P653">
        <v>0</v>
      </c>
      <c r="Q653">
        <v>0</v>
      </c>
      <c r="R653" t="s">
        <v>243</v>
      </c>
    </row>
    <row r="654" spans="1:18" x14ac:dyDescent="0.3">
      <c r="A654" t="s">
        <v>259</v>
      </c>
      <c r="B654" t="s">
        <v>14</v>
      </c>
      <c r="C654" t="s">
        <v>269</v>
      </c>
      <c r="D654">
        <v>3.3817259999999998E-3</v>
      </c>
      <c r="E654">
        <v>4.5839360999999999E-3</v>
      </c>
      <c r="F654">
        <v>5.2949579000000002E-3</v>
      </c>
      <c r="G654">
        <v>5.4980855000000004E-3</v>
      </c>
      <c r="H654">
        <v>5.2293282000000002E-3</v>
      </c>
      <c r="I654">
        <v>5.4674414599999903E-3</v>
      </c>
      <c r="J654">
        <v>5.4866826099999998E-3</v>
      </c>
      <c r="K654">
        <v>5.5269685199999998E-3</v>
      </c>
      <c r="L654">
        <v>5.4436618899999997E-3</v>
      </c>
      <c r="M654">
        <v>5.2661276299999999E-3</v>
      </c>
      <c r="N654">
        <v>5.1140659399999998E-3</v>
      </c>
      <c r="O654">
        <v>0</v>
      </c>
      <c r="P654">
        <v>0</v>
      </c>
      <c r="Q654">
        <v>0</v>
      </c>
      <c r="R654" t="s">
        <v>243</v>
      </c>
    </row>
    <row r="655" spans="1:18" x14ac:dyDescent="0.3">
      <c r="A655" t="s">
        <v>259</v>
      </c>
      <c r="B655" t="s">
        <v>14</v>
      </c>
      <c r="C655" t="s">
        <v>270</v>
      </c>
      <c r="D655">
        <v>3.5212399999999902E-3</v>
      </c>
      <c r="E655">
        <v>4.7868820999999997E-3</v>
      </c>
      <c r="F655">
        <v>5.4921744999999996E-3</v>
      </c>
      <c r="G655">
        <v>5.6995125999999997E-3</v>
      </c>
      <c r="H655">
        <v>5.4190237E-3</v>
      </c>
      <c r="I655">
        <v>5.66793755E-3</v>
      </c>
      <c r="J655">
        <v>5.6855761699999997E-3</v>
      </c>
      <c r="K655">
        <v>5.72206667999999E-3</v>
      </c>
      <c r="L655">
        <v>5.6316080699999899E-3</v>
      </c>
      <c r="M655">
        <v>5.4478389299999997E-3</v>
      </c>
      <c r="N655">
        <v>5.2895924200000001E-3</v>
      </c>
      <c r="O655">
        <v>0</v>
      </c>
      <c r="P655">
        <v>0</v>
      </c>
      <c r="Q655">
        <v>0</v>
      </c>
      <c r="R655" t="s">
        <v>243</v>
      </c>
    </row>
    <row r="656" spans="1:18" x14ac:dyDescent="0.3">
      <c r="A656" t="s">
        <v>259</v>
      </c>
      <c r="B656" t="s">
        <v>14</v>
      </c>
      <c r="C656" t="s">
        <v>271</v>
      </c>
      <c r="D656">
        <v>3.6606109999999998E-3</v>
      </c>
      <c r="E656">
        <v>4.9758645999999898E-3</v>
      </c>
      <c r="F656">
        <v>5.6854321999999999E-3</v>
      </c>
      <c r="G656">
        <v>5.8786773999999998E-3</v>
      </c>
      <c r="H656">
        <v>5.6102210999999999E-3</v>
      </c>
      <c r="I656">
        <v>5.8629904199999899E-3</v>
      </c>
      <c r="J656">
        <v>5.8781401599999998E-3</v>
      </c>
      <c r="K656">
        <v>5.9207780099999998E-3</v>
      </c>
      <c r="L656">
        <v>5.8316089799999998E-3</v>
      </c>
      <c r="M656">
        <v>5.6426498399999902E-3</v>
      </c>
      <c r="N656">
        <v>5.4790626599999998E-3</v>
      </c>
      <c r="O656">
        <v>0</v>
      </c>
      <c r="P656">
        <v>0</v>
      </c>
      <c r="Q656">
        <v>0</v>
      </c>
      <c r="R656" t="s">
        <v>243</v>
      </c>
    </row>
    <row r="657" spans="1:18" x14ac:dyDescent="0.3">
      <c r="A657" t="s">
        <v>259</v>
      </c>
      <c r="B657" t="s">
        <v>14</v>
      </c>
      <c r="C657" t="s">
        <v>272</v>
      </c>
      <c r="D657">
        <v>3.7998770000000001E-3</v>
      </c>
      <c r="E657">
        <v>5.1805204999999998E-3</v>
      </c>
      <c r="F657">
        <v>5.8954845000000001E-3</v>
      </c>
      <c r="G657">
        <v>6.1039301000000001E-3</v>
      </c>
      <c r="H657">
        <v>5.8178622999999997E-3</v>
      </c>
      <c r="I657">
        <v>6.0895081499999998E-3</v>
      </c>
      <c r="J657">
        <v>6.1063972499999898E-3</v>
      </c>
      <c r="K657">
        <v>6.1467973999999896E-3</v>
      </c>
      <c r="L657">
        <v>6.0521208699999898E-3</v>
      </c>
      <c r="M657">
        <v>5.8539890800000001E-3</v>
      </c>
      <c r="N657">
        <v>5.6831055400000004E-3</v>
      </c>
      <c r="O657">
        <v>0</v>
      </c>
      <c r="P657">
        <v>0</v>
      </c>
      <c r="Q657">
        <v>0</v>
      </c>
      <c r="R657" t="s">
        <v>243</v>
      </c>
    </row>
    <row r="658" spans="1:18" x14ac:dyDescent="0.3">
      <c r="A658" t="s">
        <v>259</v>
      </c>
      <c r="B658" t="s">
        <v>14</v>
      </c>
      <c r="C658" t="s">
        <v>273</v>
      </c>
      <c r="D658">
        <v>4.013689E-3</v>
      </c>
      <c r="E658">
        <v>5.4237497999999997E-3</v>
      </c>
      <c r="F658">
        <v>6.1894239999999998E-3</v>
      </c>
      <c r="G658">
        <v>6.3794951999999999E-3</v>
      </c>
      <c r="H658">
        <v>6.1029418999999996E-3</v>
      </c>
      <c r="I658">
        <v>6.3862124699999899E-3</v>
      </c>
      <c r="J658">
        <v>6.4019143299999899E-3</v>
      </c>
      <c r="K658">
        <v>6.4456519999999996E-3</v>
      </c>
      <c r="L658">
        <v>6.34456054999999E-3</v>
      </c>
      <c r="M658">
        <v>6.13414383E-3</v>
      </c>
      <c r="N658">
        <v>5.9518267000000001E-3</v>
      </c>
      <c r="O658">
        <v>0</v>
      </c>
      <c r="P658">
        <v>0</v>
      </c>
      <c r="Q658">
        <v>0</v>
      </c>
      <c r="R658" t="s">
        <v>243</v>
      </c>
    </row>
    <row r="659" spans="1:18" x14ac:dyDescent="0.3">
      <c r="A659" t="s">
        <v>259</v>
      </c>
      <c r="B659" t="s">
        <v>14</v>
      </c>
      <c r="C659" t="s">
        <v>274</v>
      </c>
      <c r="D659" s="8">
        <v>3.06020958999999E-6</v>
      </c>
      <c r="E659" s="8">
        <v>3.8515698299999997E-6</v>
      </c>
      <c r="F659" s="8">
        <v>4.3619677299999902E-6</v>
      </c>
      <c r="G659" s="8">
        <v>4.3754694699999901E-6</v>
      </c>
      <c r="H659" s="8">
        <v>8.9443091400000006E-6</v>
      </c>
      <c r="I659" s="8">
        <v>9.1212030590000002E-6</v>
      </c>
      <c r="J659" s="8">
        <v>9.1430046200000006E-6</v>
      </c>
      <c r="K659" s="8">
        <v>9.5455422760000008E-6</v>
      </c>
      <c r="L659" s="8">
        <v>9.8522171069999905E-6</v>
      </c>
      <c r="M659" s="8">
        <v>9.9498244970000003E-6</v>
      </c>
      <c r="N659" s="8">
        <v>9.9316030979999906E-6</v>
      </c>
      <c r="O659">
        <v>0</v>
      </c>
      <c r="P659">
        <v>0</v>
      </c>
      <c r="Q659">
        <v>0</v>
      </c>
      <c r="R659" t="s">
        <v>243</v>
      </c>
    </row>
    <row r="660" spans="1:18" x14ac:dyDescent="0.3">
      <c r="A660" t="s">
        <v>259</v>
      </c>
      <c r="B660" t="s">
        <v>14</v>
      </c>
      <c r="C660" t="s">
        <v>275</v>
      </c>
      <c r="D660" s="8">
        <v>2.7292149100000001E-5</v>
      </c>
      <c r="E660" s="8">
        <v>4.4307540999999899E-5</v>
      </c>
      <c r="F660" s="8">
        <v>4.2551609799999998E-5</v>
      </c>
      <c r="G660" s="8">
        <v>3.8945924599999998E-5</v>
      </c>
      <c r="H660" s="8">
        <v>5.4934773219999997E-5</v>
      </c>
      <c r="I660" s="8">
        <v>5.6145261879999997E-5</v>
      </c>
      <c r="J660" s="8">
        <v>5.3821001000000001E-5</v>
      </c>
      <c r="K660" s="8">
        <v>5.2592814069999901E-5</v>
      </c>
      <c r="L660" s="8">
        <v>5.1102950019999903E-5</v>
      </c>
      <c r="M660" s="8">
        <v>4.8857119119999898E-5</v>
      </c>
      <c r="N660" s="8">
        <v>4.6528787810000001E-5</v>
      </c>
      <c r="O660">
        <v>0</v>
      </c>
      <c r="P660">
        <v>0</v>
      </c>
      <c r="Q660">
        <v>0</v>
      </c>
      <c r="R660" t="s">
        <v>243</v>
      </c>
    </row>
    <row r="661" spans="1:18" x14ac:dyDescent="0.3">
      <c r="A661" t="s">
        <v>259</v>
      </c>
      <c r="B661" t="s">
        <v>14</v>
      </c>
      <c r="C661" t="s">
        <v>276</v>
      </c>
      <c r="D661" s="8">
        <v>5.1562790699999998E-6</v>
      </c>
      <c r="E661" s="8">
        <v>7.0650134299999999E-6</v>
      </c>
      <c r="F661" s="8">
        <v>8.0949812699999996E-6</v>
      </c>
      <c r="G661" s="8">
        <v>8.0435661699999994E-6</v>
      </c>
      <c r="H661" s="8">
        <v>1.4498430149999999E-5</v>
      </c>
      <c r="I661" s="8">
        <v>1.4716379800000001E-5</v>
      </c>
      <c r="J661" s="8">
        <v>1.4733907593E-5</v>
      </c>
      <c r="K661" s="8">
        <v>1.5376756467999999E-5</v>
      </c>
      <c r="L661" s="8">
        <v>1.5863461023999999E-5</v>
      </c>
      <c r="M661" s="8">
        <v>1.6029469532E-5</v>
      </c>
      <c r="N661" s="8">
        <v>1.6027350612999999E-5</v>
      </c>
      <c r="O661">
        <v>0</v>
      </c>
      <c r="P661">
        <v>0</v>
      </c>
      <c r="Q661">
        <v>0</v>
      </c>
      <c r="R661" t="s">
        <v>243</v>
      </c>
    </row>
    <row r="662" spans="1:18" x14ac:dyDescent="0.3">
      <c r="A662" t="s">
        <v>259</v>
      </c>
      <c r="B662" t="s">
        <v>14</v>
      </c>
      <c r="C662" t="s">
        <v>277</v>
      </c>
      <c r="D662" s="8">
        <v>6.9761093100000001E-6</v>
      </c>
      <c r="E662" s="8">
        <v>9.77482375E-6</v>
      </c>
      <c r="F662" s="8">
        <v>1.086067079E-5</v>
      </c>
      <c r="G662" s="8">
        <v>1.079929625E-5</v>
      </c>
      <c r="H662" s="8">
        <v>1.8364824069999998E-5</v>
      </c>
      <c r="I662" s="8">
        <v>1.872379101E-5</v>
      </c>
      <c r="J662" s="8">
        <v>1.862460337E-5</v>
      </c>
      <c r="K662" s="8">
        <v>1.9333735588999999E-5</v>
      </c>
      <c r="L662" s="8">
        <v>1.9843475650000001E-5</v>
      </c>
      <c r="M662" s="8">
        <v>1.9930352847000001E-5</v>
      </c>
      <c r="N662" s="8">
        <v>1.9811948321999999E-5</v>
      </c>
      <c r="O662">
        <v>0</v>
      </c>
      <c r="P662">
        <v>0</v>
      </c>
      <c r="Q662">
        <v>0</v>
      </c>
      <c r="R662" t="s">
        <v>243</v>
      </c>
    </row>
    <row r="663" spans="1:18" x14ac:dyDescent="0.3">
      <c r="A663" t="s">
        <v>259</v>
      </c>
      <c r="B663" t="s">
        <v>14</v>
      </c>
      <c r="C663" t="s">
        <v>278</v>
      </c>
      <c r="D663" s="8">
        <v>8.3332655699999997E-6</v>
      </c>
      <c r="E663" s="8">
        <v>1.22626536599999E-5</v>
      </c>
      <c r="F663" s="8">
        <v>1.3416728989999999E-5</v>
      </c>
      <c r="G663" s="8">
        <v>1.3203030959999999E-5</v>
      </c>
      <c r="H663" s="8">
        <v>2.1598874019999999E-5</v>
      </c>
      <c r="I663" s="8">
        <v>2.191573695E-5</v>
      </c>
      <c r="J663" s="8">
        <v>2.1759918289999999E-5</v>
      </c>
      <c r="K663" s="8">
        <v>2.2521181102000001E-5</v>
      </c>
      <c r="L663" s="8">
        <v>2.30482545E-5</v>
      </c>
      <c r="M663" s="8">
        <v>2.3135959610000001E-5</v>
      </c>
      <c r="N663" s="8">
        <v>2.2998213142999899E-5</v>
      </c>
      <c r="O663">
        <v>0</v>
      </c>
      <c r="P663">
        <v>0</v>
      </c>
      <c r="Q663">
        <v>0</v>
      </c>
      <c r="R663" t="s">
        <v>243</v>
      </c>
    </row>
    <row r="664" spans="1:18" x14ac:dyDescent="0.3">
      <c r="A664" t="s">
        <v>259</v>
      </c>
      <c r="B664" t="s">
        <v>14</v>
      </c>
      <c r="C664" t="s">
        <v>279</v>
      </c>
      <c r="D664" s="8">
        <v>9.7414341799999995E-6</v>
      </c>
      <c r="E664" s="8">
        <v>1.491839465E-5</v>
      </c>
      <c r="F664" s="8">
        <v>1.586963231E-5</v>
      </c>
      <c r="G664" s="8">
        <v>1.5587955189999899E-5</v>
      </c>
      <c r="H664" s="8">
        <v>2.4617056149999999E-5</v>
      </c>
      <c r="I664" s="8">
        <v>2.50654492899999E-5</v>
      </c>
      <c r="J664" s="8">
        <v>2.4853591299999999E-5</v>
      </c>
      <c r="K664" s="8">
        <v>2.5642130663000001E-5</v>
      </c>
      <c r="L664" s="8">
        <v>2.614646764E-5</v>
      </c>
      <c r="M664" s="8">
        <v>2.6101698359999999E-5</v>
      </c>
      <c r="N664" s="8">
        <v>2.5851117012000001E-5</v>
      </c>
      <c r="O664">
        <v>0</v>
      </c>
      <c r="P664">
        <v>0</v>
      </c>
      <c r="Q664">
        <v>0</v>
      </c>
      <c r="R664" t="s">
        <v>243</v>
      </c>
    </row>
    <row r="665" spans="1:18" x14ac:dyDescent="0.3">
      <c r="A665" t="s">
        <v>259</v>
      </c>
      <c r="B665" t="s">
        <v>14</v>
      </c>
      <c r="C665" t="s">
        <v>280</v>
      </c>
      <c r="D665" s="8">
        <v>1.1382646199999899E-5</v>
      </c>
      <c r="E665" s="8">
        <v>1.7701604800000001E-5</v>
      </c>
      <c r="F665" s="8">
        <v>1.8325837409999899E-5</v>
      </c>
      <c r="G665" s="8">
        <v>1.7925152909999999E-5</v>
      </c>
      <c r="H665" s="8">
        <v>2.77792943399999E-5</v>
      </c>
      <c r="I665" s="8">
        <v>2.8339364469999998E-5</v>
      </c>
      <c r="J665" s="8">
        <v>2.80240776099999E-5</v>
      </c>
      <c r="K665" s="8">
        <v>2.872822203E-5</v>
      </c>
      <c r="L665" s="8">
        <v>2.9120793319999999E-5</v>
      </c>
      <c r="M665" s="8">
        <v>2.89716065999999E-5</v>
      </c>
      <c r="N665" s="8">
        <v>2.85864088799999E-5</v>
      </c>
      <c r="O665">
        <v>0</v>
      </c>
      <c r="P665">
        <v>0</v>
      </c>
      <c r="Q665">
        <v>0</v>
      </c>
      <c r="R665" t="s">
        <v>243</v>
      </c>
    </row>
    <row r="666" spans="1:18" x14ac:dyDescent="0.3">
      <c r="A666" t="s">
        <v>259</v>
      </c>
      <c r="B666" t="s">
        <v>14</v>
      </c>
      <c r="C666" t="s">
        <v>281</v>
      </c>
      <c r="D666" s="8">
        <v>1.3326159000000001E-5</v>
      </c>
      <c r="E666" s="8">
        <v>2.07010323E-5</v>
      </c>
      <c r="F666" s="8">
        <v>2.10267726E-5</v>
      </c>
      <c r="G666" s="8">
        <v>2.0219426799999999E-5</v>
      </c>
      <c r="H666" s="8">
        <v>3.1268194250000003E-5</v>
      </c>
      <c r="I666" s="8">
        <v>3.1799591039999899E-5</v>
      </c>
      <c r="J666" s="8">
        <v>3.1316880569999997E-5</v>
      </c>
      <c r="K666" s="8">
        <v>3.2041860700000001E-5</v>
      </c>
      <c r="L666" s="8">
        <v>3.2425035359999903E-5</v>
      </c>
      <c r="M666" s="8">
        <v>3.2149520759999901E-5</v>
      </c>
      <c r="N666" s="8">
        <v>3.1605813969999997E-5</v>
      </c>
      <c r="O666">
        <v>0</v>
      </c>
      <c r="P666">
        <v>0</v>
      </c>
      <c r="Q666">
        <v>0</v>
      </c>
      <c r="R666" t="s">
        <v>243</v>
      </c>
    </row>
    <row r="667" spans="1:18" x14ac:dyDescent="0.3">
      <c r="A667" t="s">
        <v>259</v>
      </c>
      <c r="B667" t="s">
        <v>14</v>
      </c>
      <c r="C667" t="s">
        <v>282</v>
      </c>
      <c r="D667" s="8">
        <v>1.5589037000000001E-5</v>
      </c>
      <c r="E667" s="8">
        <v>2.43891334E-5</v>
      </c>
      <c r="F667" s="8">
        <v>2.4287505099999999E-5</v>
      </c>
      <c r="G667" s="8">
        <v>2.33803819E-5</v>
      </c>
      <c r="H667" s="8">
        <v>3.5263978939999997E-5</v>
      </c>
      <c r="I667" s="8">
        <v>3.6035923849999902E-5</v>
      </c>
      <c r="J667" s="8">
        <v>3.5400595709999999E-5</v>
      </c>
      <c r="K667" s="8">
        <v>3.5948234709999898E-5</v>
      </c>
      <c r="L667" s="8">
        <v>3.6135392229999997E-5</v>
      </c>
      <c r="M667" s="8">
        <v>3.5602231870000003E-5</v>
      </c>
      <c r="N667" s="8">
        <v>3.4810614979999902E-5</v>
      </c>
      <c r="O667">
        <v>0</v>
      </c>
      <c r="P667">
        <v>0</v>
      </c>
      <c r="Q667">
        <v>0</v>
      </c>
      <c r="R667" t="s">
        <v>243</v>
      </c>
    </row>
    <row r="668" spans="1:18" x14ac:dyDescent="0.3">
      <c r="A668" t="s">
        <v>259</v>
      </c>
      <c r="B668" t="s">
        <v>14</v>
      </c>
      <c r="C668" t="s">
        <v>283</v>
      </c>
      <c r="D668" s="8">
        <v>1.9696845899999998E-5</v>
      </c>
      <c r="E668" s="8">
        <v>2.9344722200000001E-5</v>
      </c>
      <c r="F668" s="8">
        <v>2.93880153E-5</v>
      </c>
      <c r="G668" s="8">
        <v>2.7634343899999999E-5</v>
      </c>
      <c r="H668" s="8">
        <v>4.11289928799999E-5</v>
      </c>
      <c r="I668" s="8">
        <v>4.1939283910000001E-5</v>
      </c>
      <c r="J668" s="8">
        <v>4.0926249429999998E-5</v>
      </c>
      <c r="K668" s="8">
        <v>4.1191989189999998E-5</v>
      </c>
      <c r="L668" s="8">
        <v>4.102365027E-5</v>
      </c>
      <c r="M668" s="8">
        <v>4.0053534629999997E-5</v>
      </c>
      <c r="N668" s="8">
        <v>3.8834600089999998E-5</v>
      </c>
      <c r="O668">
        <v>0</v>
      </c>
      <c r="P668">
        <v>0</v>
      </c>
      <c r="Q668">
        <v>0</v>
      </c>
      <c r="R668" t="s">
        <v>243</v>
      </c>
    </row>
    <row r="669" spans="1:18" x14ac:dyDescent="0.3">
      <c r="A669" t="s">
        <v>259</v>
      </c>
      <c r="B669" t="s">
        <v>14</v>
      </c>
      <c r="C669" t="s">
        <v>334</v>
      </c>
      <c r="D669">
        <v>3.6448500000000002E-2</v>
      </c>
      <c r="E669">
        <v>9.1503599999999997E-3</v>
      </c>
      <c r="F669">
        <v>1.2372599999999999E-2</v>
      </c>
      <c r="G669">
        <v>1.07434E-2</v>
      </c>
      <c r="H669">
        <v>1.117713E-2</v>
      </c>
      <c r="I669">
        <v>1.1684079999999999E-2</v>
      </c>
      <c r="J669">
        <v>1.1485479999999999E-2</v>
      </c>
      <c r="K669">
        <v>1.143011E-2</v>
      </c>
      <c r="L669">
        <v>1.14402699999999E-2</v>
      </c>
      <c r="M669">
        <v>1.140736E-2</v>
      </c>
      <c r="N669">
        <v>1.137144E-2</v>
      </c>
      <c r="O669">
        <v>0</v>
      </c>
      <c r="P669">
        <v>0</v>
      </c>
      <c r="Q669">
        <v>0</v>
      </c>
      <c r="R669" t="s">
        <v>243</v>
      </c>
    </row>
    <row r="670" spans="1:18" x14ac:dyDescent="0.3">
      <c r="A670" t="s">
        <v>259</v>
      </c>
      <c r="B670" t="s">
        <v>14</v>
      </c>
      <c r="C670" t="s">
        <v>335</v>
      </c>
      <c r="D670">
        <v>2.5426400000000001E-3</v>
      </c>
      <c r="E670" s="8">
        <v>4.0199300000000001E-4</v>
      </c>
      <c r="F670" s="8">
        <v>6.4082400000000002E-4</v>
      </c>
      <c r="G670" s="8">
        <v>5.9351900000000003E-4</v>
      </c>
      <c r="H670" s="8">
        <v>6.0333200000000004E-4</v>
      </c>
      <c r="I670" s="8">
        <v>6.3304799999999999E-4</v>
      </c>
      <c r="J670" s="8">
        <v>6.20737E-4</v>
      </c>
      <c r="K670" s="8">
        <v>6.1634639999999996E-4</v>
      </c>
      <c r="L670" s="8">
        <v>6.1628900000000001E-4</v>
      </c>
      <c r="M670" s="8">
        <v>6.1437600000000003E-4</v>
      </c>
      <c r="N670" s="8">
        <v>6.1277200000000003E-4</v>
      </c>
      <c r="O670">
        <v>0</v>
      </c>
      <c r="P670">
        <v>0</v>
      </c>
      <c r="Q670">
        <v>0</v>
      </c>
      <c r="R670" t="s">
        <v>243</v>
      </c>
    </row>
    <row r="671" spans="1:18" x14ac:dyDescent="0.3">
      <c r="A671" t="s">
        <v>259</v>
      </c>
      <c r="B671" t="s">
        <v>14</v>
      </c>
      <c r="C671" t="s">
        <v>336</v>
      </c>
      <c r="D671">
        <v>2.1347399999999999E-2</v>
      </c>
      <c r="E671">
        <v>4.9638800000000004E-3</v>
      </c>
      <c r="F671">
        <v>6.56553E-3</v>
      </c>
      <c r="G671">
        <v>5.7233700000000002E-3</v>
      </c>
      <c r="H671">
        <v>5.84404E-3</v>
      </c>
      <c r="I671">
        <v>6.1023499999999899E-3</v>
      </c>
      <c r="J671">
        <v>5.9975540000000004E-3</v>
      </c>
      <c r="K671">
        <v>5.9700960000000003E-3</v>
      </c>
      <c r="L671">
        <v>5.9793800000000003E-3</v>
      </c>
      <c r="M671">
        <v>5.9688299999999996E-3</v>
      </c>
      <c r="N671">
        <v>5.95912E-3</v>
      </c>
      <c r="O671">
        <v>0</v>
      </c>
      <c r="P671">
        <v>0</v>
      </c>
      <c r="Q671">
        <v>0</v>
      </c>
      <c r="R671" t="s">
        <v>243</v>
      </c>
    </row>
    <row r="672" spans="1:18" x14ac:dyDescent="0.3">
      <c r="A672" t="s">
        <v>259</v>
      </c>
      <c r="B672" t="s">
        <v>14</v>
      </c>
      <c r="C672" t="s">
        <v>337</v>
      </c>
      <c r="D672">
        <v>1.53435E-2</v>
      </c>
      <c r="E672">
        <v>3.4803999999999998E-3</v>
      </c>
      <c r="F672">
        <v>4.7262600000000004E-3</v>
      </c>
      <c r="G672">
        <v>4.09626E-3</v>
      </c>
      <c r="H672">
        <v>4.1509600000000004E-3</v>
      </c>
      <c r="I672">
        <v>4.3406199999999999E-3</v>
      </c>
      <c r="J672">
        <v>4.2591590000000002E-3</v>
      </c>
      <c r="K672">
        <v>4.2358439999999999E-3</v>
      </c>
      <c r="L672">
        <v>4.23960999999999E-3</v>
      </c>
      <c r="M672">
        <v>4.22814E-3</v>
      </c>
      <c r="N672">
        <v>4.2175229999999999E-3</v>
      </c>
      <c r="O672">
        <v>0</v>
      </c>
      <c r="P672">
        <v>0</v>
      </c>
      <c r="Q672">
        <v>0</v>
      </c>
      <c r="R672" t="s">
        <v>243</v>
      </c>
    </row>
    <row r="673" spans="1:18" x14ac:dyDescent="0.3">
      <c r="A673" t="s">
        <v>259</v>
      </c>
      <c r="B673" t="s">
        <v>14</v>
      </c>
      <c r="C673" t="s">
        <v>338</v>
      </c>
      <c r="D673">
        <v>1.2533300000000001E-2</v>
      </c>
      <c r="E673">
        <v>2.6788900000000002E-3</v>
      </c>
      <c r="F673">
        <v>3.6812799999999999E-3</v>
      </c>
      <c r="G673">
        <v>3.2150400000000002E-3</v>
      </c>
      <c r="H673">
        <v>3.2430599999999999E-3</v>
      </c>
      <c r="I673">
        <v>3.3867300000000001E-3</v>
      </c>
      <c r="J673">
        <v>3.3228339999999898E-3</v>
      </c>
      <c r="K673">
        <v>3.3042470000000002E-3</v>
      </c>
      <c r="L673">
        <v>3.307141E-3</v>
      </c>
      <c r="M673">
        <v>3.3006229999999999E-3</v>
      </c>
      <c r="N673">
        <v>3.2952150000000002E-3</v>
      </c>
      <c r="O673">
        <v>0</v>
      </c>
      <c r="P673">
        <v>0</v>
      </c>
      <c r="Q673">
        <v>0</v>
      </c>
      <c r="R673" t="s">
        <v>243</v>
      </c>
    </row>
    <row r="674" spans="1:18" x14ac:dyDescent="0.3">
      <c r="A674" t="s">
        <v>259</v>
      </c>
      <c r="B674" t="s">
        <v>14</v>
      </c>
      <c r="C674" t="s">
        <v>339</v>
      </c>
      <c r="D674">
        <v>1.04346E-2</v>
      </c>
      <c r="E674">
        <v>2.1132E-3</v>
      </c>
      <c r="F674">
        <v>2.9896800000000002E-3</v>
      </c>
      <c r="G674">
        <v>2.6048600000000001E-3</v>
      </c>
      <c r="H674">
        <v>2.61568E-3</v>
      </c>
      <c r="I674">
        <v>2.7345360000000001E-3</v>
      </c>
      <c r="J674">
        <v>2.68308E-3</v>
      </c>
      <c r="K674">
        <v>2.6678119999999999E-3</v>
      </c>
      <c r="L674">
        <v>2.6697190000000001E-3</v>
      </c>
      <c r="M674">
        <v>2.6624439999999999E-3</v>
      </c>
      <c r="N674">
        <v>2.6574479999999902E-3</v>
      </c>
      <c r="O674">
        <v>0</v>
      </c>
      <c r="P674">
        <v>0</v>
      </c>
      <c r="Q674">
        <v>0</v>
      </c>
      <c r="R674" t="s">
        <v>243</v>
      </c>
    </row>
    <row r="675" spans="1:18" x14ac:dyDescent="0.3">
      <c r="A675" t="s">
        <v>259</v>
      </c>
      <c r="B675" t="s">
        <v>14</v>
      </c>
      <c r="C675" t="s">
        <v>340</v>
      </c>
      <c r="D675">
        <v>8.6410299999999992E-3</v>
      </c>
      <c r="E675">
        <v>1.7015699999999999E-3</v>
      </c>
      <c r="F675">
        <v>2.4816E-3</v>
      </c>
      <c r="G675">
        <v>2.1632399999999999E-3</v>
      </c>
      <c r="H675">
        <v>2.1712799999999998E-3</v>
      </c>
      <c r="I675">
        <v>2.27136E-3</v>
      </c>
      <c r="J675">
        <v>2.2280400000000001E-3</v>
      </c>
      <c r="K675">
        <v>2.2133740000000002E-3</v>
      </c>
      <c r="L675">
        <v>2.213305E-3</v>
      </c>
      <c r="M675">
        <v>2.2072699999999999E-3</v>
      </c>
      <c r="N675">
        <v>2.2027189999999901E-3</v>
      </c>
      <c r="O675">
        <v>0</v>
      </c>
      <c r="P675">
        <v>0</v>
      </c>
      <c r="Q675">
        <v>0</v>
      </c>
      <c r="R675" t="s">
        <v>243</v>
      </c>
    </row>
    <row r="676" spans="1:18" x14ac:dyDescent="0.3">
      <c r="A676" t="s">
        <v>259</v>
      </c>
      <c r="B676" t="s">
        <v>14</v>
      </c>
      <c r="C676" t="s">
        <v>341</v>
      </c>
      <c r="D676">
        <v>7.0910699999999997E-3</v>
      </c>
      <c r="E676">
        <v>1.38243E-3</v>
      </c>
      <c r="F676">
        <v>2.06025E-3</v>
      </c>
      <c r="G676">
        <v>1.82934E-3</v>
      </c>
      <c r="H676">
        <v>1.8436239999999899E-3</v>
      </c>
      <c r="I676">
        <v>1.926887E-3</v>
      </c>
      <c r="J676">
        <v>1.889043E-3</v>
      </c>
      <c r="K676">
        <v>1.877947E-3</v>
      </c>
      <c r="L676">
        <v>1.8793099999999999E-3</v>
      </c>
      <c r="M676">
        <v>1.8745960000000001E-3</v>
      </c>
      <c r="N676">
        <v>1.870865E-3</v>
      </c>
      <c r="O676">
        <v>0</v>
      </c>
      <c r="P676">
        <v>0</v>
      </c>
      <c r="Q676">
        <v>0</v>
      </c>
      <c r="R676" t="s">
        <v>243</v>
      </c>
    </row>
    <row r="677" spans="1:18" x14ac:dyDescent="0.3">
      <c r="A677" t="s">
        <v>259</v>
      </c>
      <c r="B677" t="s">
        <v>14</v>
      </c>
      <c r="C677" t="s">
        <v>342</v>
      </c>
      <c r="D677">
        <v>5.7798499999999996E-3</v>
      </c>
      <c r="E677">
        <v>1.0991499999999999E-3</v>
      </c>
      <c r="F677">
        <v>1.6779799999999999E-3</v>
      </c>
      <c r="G677">
        <v>1.4777600000000001E-3</v>
      </c>
      <c r="H677">
        <v>1.4872349999999999E-3</v>
      </c>
      <c r="I677">
        <v>1.556946E-3</v>
      </c>
      <c r="J677">
        <v>1.5267340000000001E-3</v>
      </c>
      <c r="K677">
        <v>1.5168860000000001E-3</v>
      </c>
      <c r="L677">
        <v>1.5174520000000001E-3</v>
      </c>
      <c r="M677">
        <v>1.513117E-3</v>
      </c>
      <c r="N677">
        <v>1.5097940000000001E-3</v>
      </c>
      <c r="O677">
        <v>0</v>
      </c>
      <c r="P677">
        <v>0</v>
      </c>
      <c r="Q677">
        <v>0</v>
      </c>
      <c r="R677" t="s">
        <v>243</v>
      </c>
    </row>
    <row r="678" spans="1:18" x14ac:dyDescent="0.3">
      <c r="A678" t="s">
        <v>259</v>
      </c>
      <c r="B678" t="s">
        <v>14</v>
      </c>
      <c r="C678" t="s">
        <v>343</v>
      </c>
      <c r="D678">
        <v>4.18638E-3</v>
      </c>
      <c r="E678" s="8">
        <v>8.3325499999999998E-4</v>
      </c>
      <c r="F678">
        <v>1.2535999999999999E-3</v>
      </c>
      <c r="G678">
        <v>1.1339200000000001E-3</v>
      </c>
      <c r="H678">
        <v>1.1458219999999999E-3</v>
      </c>
      <c r="I678">
        <v>1.1990480000000001E-3</v>
      </c>
      <c r="J678">
        <v>1.1752989999999899E-3</v>
      </c>
      <c r="K678">
        <v>1.167838E-3</v>
      </c>
      <c r="L678">
        <v>1.1679170000000001E-3</v>
      </c>
      <c r="M678">
        <v>1.1640539999999899E-3</v>
      </c>
      <c r="N678">
        <v>1.160875E-3</v>
      </c>
      <c r="O678">
        <v>0</v>
      </c>
      <c r="P678">
        <v>0</v>
      </c>
      <c r="Q678">
        <v>0</v>
      </c>
      <c r="R678" t="s">
        <v>243</v>
      </c>
    </row>
    <row r="679" spans="1:18" x14ac:dyDescent="0.3">
      <c r="A679" t="s">
        <v>259</v>
      </c>
      <c r="B679" t="s">
        <v>14</v>
      </c>
      <c r="C679" t="s">
        <v>284</v>
      </c>
      <c r="D679">
        <v>2.5664208801999999E-3</v>
      </c>
      <c r="E679">
        <v>3.2338226709999998E-3</v>
      </c>
      <c r="F679">
        <v>3.7941801229999998E-3</v>
      </c>
      <c r="G679">
        <v>3.38658872999999E-3</v>
      </c>
      <c r="H679">
        <v>3.22169100999999E-3</v>
      </c>
      <c r="I679">
        <v>3.3800261089999999E-3</v>
      </c>
      <c r="J679">
        <v>3.4520878576000001E-3</v>
      </c>
      <c r="K679">
        <v>3.3049181193999899E-3</v>
      </c>
      <c r="L679">
        <v>3.2088292282E-3</v>
      </c>
      <c r="M679">
        <v>3.135250665E-3</v>
      </c>
      <c r="N679">
        <v>3.0517155199999901E-3</v>
      </c>
      <c r="O679">
        <v>0</v>
      </c>
      <c r="P679">
        <v>0</v>
      </c>
      <c r="Q679">
        <v>0</v>
      </c>
      <c r="R679" t="s">
        <v>243</v>
      </c>
    </row>
    <row r="680" spans="1:18" x14ac:dyDescent="0.3">
      <c r="A680" t="s">
        <v>259</v>
      </c>
      <c r="B680" t="s">
        <v>14</v>
      </c>
      <c r="C680" t="s">
        <v>285</v>
      </c>
      <c r="D680">
        <v>1.5926785847799999E-2</v>
      </c>
      <c r="E680">
        <v>2.376343031E-2</v>
      </c>
      <c r="F680">
        <v>2.5090482029999899E-2</v>
      </c>
      <c r="G680">
        <v>2.1601995199999901E-2</v>
      </c>
      <c r="H680">
        <v>1.9626878909999999E-2</v>
      </c>
      <c r="I680">
        <v>1.9673419947E-2</v>
      </c>
      <c r="J680">
        <v>1.8303661700000001E-2</v>
      </c>
      <c r="K680">
        <v>1.6479644224000001E-2</v>
      </c>
      <c r="L680">
        <v>1.54790640369999E-2</v>
      </c>
      <c r="M680">
        <v>1.445819699E-2</v>
      </c>
      <c r="N680">
        <v>1.344614633E-2</v>
      </c>
      <c r="O680">
        <v>0</v>
      </c>
      <c r="P680">
        <v>0</v>
      </c>
      <c r="Q680">
        <v>0</v>
      </c>
      <c r="R680" t="s">
        <v>243</v>
      </c>
    </row>
    <row r="681" spans="1:18" x14ac:dyDescent="0.3">
      <c r="A681" t="s">
        <v>259</v>
      </c>
      <c r="B681" t="s">
        <v>14</v>
      </c>
      <c r="C681" t="s">
        <v>286</v>
      </c>
      <c r="D681">
        <v>4.1682442405999998E-3</v>
      </c>
      <c r="E681">
        <v>5.6889894300000002E-3</v>
      </c>
      <c r="F681">
        <v>6.7466299289999998E-3</v>
      </c>
      <c r="G681">
        <v>5.9910556800000002E-3</v>
      </c>
      <c r="H681">
        <v>5.4147481799999998E-3</v>
      </c>
      <c r="I681">
        <v>5.579955252E-3</v>
      </c>
      <c r="J681">
        <v>5.6118351879999896E-3</v>
      </c>
      <c r="K681">
        <v>5.3472157239999899E-3</v>
      </c>
      <c r="L681">
        <v>5.2003485345000003E-3</v>
      </c>
      <c r="M681">
        <v>5.0826781289999897E-3</v>
      </c>
      <c r="N681">
        <v>4.9476709109999902E-3</v>
      </c>
      <c r="O681">
        <v>0</v>
      </c>
      <c r="P681">
        <v>0</v>
      </c>
      <c r="Q681">
        <v>0</v>
      </c>
      <c r="R681" t="s">
        <v>243</v>
      </c>
    </row>
    <row r="682" spans="1:18" x14ac:dyDescent="0.3">
      <c r="A682" t="s">
        <v>259</v>
      </c>
      <c r="B682" t="s">
        <v>14</v>
      </c>
      <c r="C682" t="s">
        <v>287</v>
      </c>
      <c r="D682">
        <v>5.4734073271000003E-3</v>
      </c>
      <c r="E682">
        <v>7.6170009500000002E-3</v>
      </c>
      <c r="F682">
        <v>8.7862718400000001E-3</v>
      </c>
      <c r="G682">
        <v>7.8265499199999897E-3</v>
      </c>
      <c r="H682">
        <v>6.9337517499999998E-3</v>
      </c>
      <c r="I682">
        <v>7.13407135899999E-3</v>
      </c>
      <c r="J682">
        <v>7.0830541529999999E-3</v>
      </c>
      <c r="K682">
        <v>6.7024473789999896E-3</v>
      </c>
      <c r="L682">
        <v>6.49557503689999E-3</v>
      </c>
      <c r="M682">
        <v>6.3100628200000002E-3</v>
      </c>
      <c r="N682">
        <v>6.1017035500000004E-3</v>
      </c>
      <c r="O682">
        <v>0</v>
      </c>
      <c r="P682">
        <v>0</v>
      </c>
      <c r="Q682">
        <v>0</v>
      </c>
      <c r="R682" t="s">
        <v>243</v>
      </c>
    </row>
    <row r="683" spans="1:18" x14ac:dyDescent="0.3">
      <c r="A683" t="s">
        <v>259</v>
      </c>
      <c r="B683" t="s">
        <v>14</v>
      </c>
      <c r="C683" t="s">
        <v>288</v>
      </c>
      <c r="D683">
        <v>6.3991124051999996E-3</v>
      </c>
      <c r="E683">
        <v>9.2817574399999894E-3</v>
      </c>
      <c r="F683">
        <v>1.0567812080000001E-2</v>
      </c>
      <c r="G683">
        <v>9.3484393800000003E-3</v>
      </c>
      <c r="H683">
        <v>8.1897144099999999E-3</v>
      </c>
      <c r="I683">
        <v>8.3563871809999996E-3</v>
      </c>
      <c r="J683">
        <v>8.2443554429999996E-3</v>
      </c>
      <c r="K683">
        <v>7.7687491809999999E-3</v>
      </c>
      <c r="L683">
        <v>7.5176065901999996E-3</v>
      </c>
      <c r="M683">
        <v>7.2989704199999898E-3</v>
      </c>
      <c r="N683">
        <v>7.0534727699999899E-3</v>
      </c>
      <c r="O683">
        <v>0</v>
      </c>
      <c r="P683">
        <v>0</v>
      </c>
      <c r="Q683">
        <v>0</v>
      </c>
      <c r="R683" t="s">
        <v>243</v>
      </c>
    </row>
    <row r="684" spans="1:18" x14ac:dyDescent="0.3">
      <c r="A684" t="s">
        <v>259</v>
      </c>
      <c r="B684" t="s">
        <v>14</v>
      </c>
      <c r="C684" t="s">
        <v>289</v>
      </c>
      <c r="D684">
        <v>7.3189826061999998E-3</v>
      </c>
      <c r="E684">
        <v>1.0955505389999899E-2</v>
      </c>
      <c r="F684">
        <v>1.218896195E-2</v>
      </c>
      <c r="G684">
        <v>1.07878868E-2</v>
      </c>
      <c r="H684">
        <v>9.3502021300000005E-3</v>
      </c>
      <c r="I684">
        <v>9.5408362239999892E-3</v>
      </c>
      <c r="J684">
        <v>9.3645617889999994E-3</v>
      </c>
      <c r="K684">
        <v>8.7914275769999904E-3</v>
      </c>
      <c r="L684">
        <v>8.4892467943999995E-3</v>
      </c>
      <c r="M684">
        <v>8.1989300599999895E-3</v>
      </c>
      <c r="N684">
        <v>7.8910038299999999E-3</v>
      </c>
      <c r="O684">
        <v>0</v>
      </c>
      <c r="P684">
        <v>0</v>
      </c>
      <c r="Q684">
        <v>0</v>
      </c>
      <c r="R684" t="s">
        <v>243</v>
      </c>
    </row>
    <row r="685" spans="1:18" x14ac:dyDescent="0.3">
      <c r="A685" t="s">
        <v>259</v>
      </c>
      <c r="B685" t="s">
        <v>14</v>
      </c>
      <c r="C685" t="s">
        <v>290</v>
      </c>
      <c r="D685">
        <v>8.3414882292000003E-3</v>
      </c>
      <c r="E685">
        <v>1.2600915900000001E-2</v>
      </c>
      <c r="F685">
        <v>1.3728868769999999E-2</v>
      </c>
      <c r="G685">
        <v>1.213330535E-2</v>
      </c>
      <c r="H685">
        <v>1.0533608999999999E-2</v>
      </c>
      <c r="I685">
        <v>1.0738079174E-2</v>
      </c>
      <c r="J685">
        <v>1.0478595266E-2</v>
      </c>
      <c r="K685">
        <v>9.7777903619999992E-3</v>
      </c>
      <c r="L685">
        <v>9.4010656779999896E-3</v>
      </c>
      <c r="M685">
        <v>9.0504288100000004E-3</v>
      </c>
      <c r="N685">
        <v>8.6760205100000001E-3</v>
      </c>
      <c r="O685">
        <v>0</v>
      </c>
      <c r="P685">
        <v>0</v>
      </c>
      <c r="Q685">
        <v>0</v>
      </c>
      <c r="R685" t="s">
        <v>243</v>
      </c>
    </row>
    <row r="686" spans="1:18" x14ac:dyDescent="0.3">
      <c r="A686" t="s">
        <v>259</v>
      </c>
      <c r="B686" t="s">
        <v>14</v>
      </c>
      <c r="C686" t="s">
        <v>291</v>
      </c>
      <c r="D686">
        <v>9.4866532781000008E-3</v>
      </c>
      <c r="E686">
        <v>1.425704822E-2</v>
      </c>
      <c r="F686">
        <v>1.533051649E-2</v>
      </c>
      <c r="G686">
        <v>1.3392396650000001E-2</v>
      </c>
      <c r="H686">
        <v>1.1795918460000001E-2</v>
      </c>
      <c r="I686">
        <v>1.1963985252000001E-2</v>
      </c>
      <c r="J686">
        <v>1.1598084712E-2</v>
      </c>
      <c r="K686">
        <v>1.08089556309999E-2</v>
      </c>
      <c r="L686">
        <v>1.0388934130999899E-2</v>
      </c>
      <c r="M686">
        <v>9.9725327700000005E-3</v>
      </c>
      <c r="N686">
        <v>9.5256474999999997E-3</v>
      </c>
      <c r="O686">
        <v>0</v>
      </c>
      <c r="P686">
        <v>0</v>
      </c>
      <c r="Q686">
        <v>0</v>
      </c>
      <c r="R686" t="s">
        <v>243</v>
      </c>
    </row>
    <row r="687" spans="1:18" x14ac:dyDescent="0.3">
      <c r="A687" t="s">
        <v>259</v>
      </c>
      <c r="B687" t="s">
        <v>14</v>
      </c>
      <c r="C687" t="s">
        <v>292</v>
      </c>
      <c r="D687">
        <v>1.0735113847899999E-2</v>
      </c>
      <c r="E687">
        <v>1.6136499049999999E-2</v>
      </c>
      <c r="F687">
        <v>1.7140769E-2</v>
      </c>
      <c r="G687">
        <v>1.50307968799999E-2</v>
      </c>
      <c r="H687">
        <v>1.323078697E-2</v>
      </c>
      <c r="I687">
        <v>1.3434046747E-2</v>
      </c>
      <c r="J687">
        <v>1.2942754896999999E-2</v>
      </c>
      <c r="K687">
        <v>1.1981226284E-2</v>
      </c>
      <c r="L687">
        <v>1.1466108259999899E-2</v>
      </c>
      <c r="M687">
        <v>1.0944808300000001E-2</v>
      </c>
      <c r="N687">
        <v>1.03985662999999E-2</v>
      </c>
      <c r="O687">
        <v>0</v>
      </c>
      <c r="P687">
        <v>0</v>
      </c>
      <c r="Q687">
        <v>0</v>
      </c>
      <c r="R687" t="s">
        <v>243</v>
      </c>
    </row>
    <row r="688" spans="1:18" x14ac:dyDescent="0.3">
      <c r="A688" t="s">
        <v>259</v>
      </c>
      <c r="B688" t="s">
        <v>14</v>
      </c>
      <c r="C688" t="s">
        <v>293</v>
      </c>
      <c r="D688">
        <v>1.27852898697E-2</v>
      </c>
      <c r="E688">
        <v>1.8408666569999999E-2</v>
      </c>
      <c r="F688">
        <v>1.97172898599999E-2</v>
      </c>
      <c r="G688">
        <v>1.7065559340000001E-2</v>
      </c>
      <c r="H688">
        <v>1.52390407599999E-2</v>
      </c>
      <c r="I688">
        <v>1.5385599022999999E-2</v>
      </c>
      <c r="J688">
        <v>1.4667878672999899E-2</v>
      </c>
      <c r="K688">
        <v>1.3483622467E-2</v>
      </c>
      <c r="L688">
        <v>1.283014404E-2</v>
      </c>
      <c r="M688">
        <v>1.2156788769999901E-2</v>
      </c>
      <c r="N688">
        <v>1.146215521E-2</v>
      </c>
      <c r="O688">
        <v>0</v>
      </c>
      <c r="P688">
        <v>0</v>
      </c>
      <c r="Q688">
        <v>0</v>
      </c>
      <c r="R688" t="s">
        <v>243</v>
      </c>
    </row>
    <row r="689" spans="1:18" x14ac:dyDescent="0.3">
      <c r="A689" t="s">
        <v>259</v>
      </c>
      <c r="B689" t="s">
        <v>14</v>
      </c>
      <c r="C689" t="s">
        <v>344</v>
      </c>
      <c r="D689">
        <v>1.04407E-3</v>
      </c>
      <c r="E689" s="8">
        <v>2.5871599999999998E-4</v>
      </c>
      <c r="F689" s="8">
        <v>3.4974300000000002E-4</v>
      </c>
      <c r="G689" s="8">
        <v>3.03741E-4</v>
      </c>
      <c r="H689" s="8">
        <v>3.1615300000000001E-4</v>
      </c>
      <c r="I689" s="8">
        <v>3.3005509999999998E-4</v>
      </c>
      <c r="J689" s="8">
        <v>3.2466979999999998E-4</v>
      </c>
      <c r="K689" s="8">
        <v>3.2321990000000001E-4</v>
      </c>
      <c r="L689" s="8">
        <v>3.2330610000000002E-4</v>
      </c>
      <c r="M689" s="8">
        <v>3.2246210000000001E-4</v>
      </c>
      <c r="N689" s="8">
        <v>3.2148650000000001E-4</v>
      </c>
      <c r="O689">
        <v>0</v>
      </c>
      <c r="P689">
        <v>0</v>
      </c>
      <c r="Q689">
        <v>0</v>
      </c>
      <c r="R689" t="s">
        <v>243</v>
      </c>
    </row>
    <row r="690" spans="1:18" x14ac:dyDescent="0.3">
      <c r="A690" t="s">
        <v>259</v>
      </c>
      <c r="B690" t="s">
        <v>14</v>
      </c>
      <c r="C690" t="s">
        <v>345</v>
      </c>
      <c r="D690" s="8">
        <v>1.2598000000000001E-4</v>
      </c>
      <c r="E690" s="8">
        <v>2.1634300000000001E-5</v>
      </c>
      <c r="F690" s="8">
        <v>3.3342600000000002E-5</v>
      </c>
      <c r="G690" s="8">
        <v>3.0488400000000001E-5</v>
      </c>
      <c r="H690" s="8">
        <v>3.1007399999999997E-5</v>
      </c>
      <c r="I690" s="8">
        <v>1.530161E-6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243</v>
      </c>
    </row>
    <row r="691" spans="1:18" x14ac:dyDescent="0.3">
      <c r="A691" t="s">
        <v>259</v>
      </c>
      <c r="B691" t="s">
        <v>14</v>
      </c>
      <c r="C691" t="s">
        <v>346</v>
      </c>
      <c r="D691" s="8">
        <v>6.8592800000000004E-4</v>
      </c>
      <c r="E691" s="8">
        <v>1.6030499999999999E-4</v>
      </c>
      <c r="F691" s="8">
        <v>2.1292899999999999E-4</v>
      </c>
      <c r="G691" s="8">
        <v>1.8549699999999999E-4</v>
      </c>
      <c r="H691" s="8">
        <v>1.8949909999999999E-4</v>
      </c>
      <c r="I691" s="8">
        <v>1.9760639999999999E-4</v>
      </c>
      <c r="J691" s="8">
        <v>1.943538E-4</v>
      </c>
      <c r="K691" s="8">
        <v>1.935328E-4</v>
      </c>
      <c r="L691" s="8">
        <v>1.9370929999999999E-4</v>
      </c>
      <c r="M691" s="8">
        <v>1.934223E-4</v>
      </c>
      <c r="N691" s="8">
        <v>1.9313119999999999E-4</v>
      </c>
      <c r="O691">
        <v>0</v>
      </c>
      <c r="P691">
        <v>0</v>
      </c>
      <c r="Q691">
        <v>0</v>
      </c>
      <c r="R691" t="s">
        <v>243</v>
      </c>
    </row>
    <row r="692" spans="1:18" x14ac:dyDescent="0.3">
      <c r="A692" t="s">
        <v>259</v>
      </c>
      <c r="B692" t="s">
        <v>14</v>
      </c>
      <c r="C692" t="s">
        <v>347</v>
      </c>
      <c r="D692" s="8">
        <v>5.2846999999999996E-4</v>
      </c>
      <c r="E692" s="8">
        <v>1.21173E-4</v>
      </c>
      <c r="F692" s="8">
        <v>1.6429699999999999E-4</v>
      </c>
      <c r="G692" s="8">
        <v>1.42476E-4</v>
      </c>
      <c r="H692" s="8">
        <v>1.4444760000000001E-4</v>
      </c>
      <c r="I692" s="8">
        <v>1.5084119999999999E-4</v>
      </c>
      <c r="J692" s="8">
        <v>1.4811959999999901E-4</v>
      </c>
      <c r="K692" s="8">
        <v>1.473604E-4</v>
      </c>
      <c r="L692" s="8">
        <v>1.473961E-4</v>
      </c>
      <c r="M692" s="8">
        <v>1.4704010000000001E-4</v>
      </c>
      <c r="N692" s="8">
        <v>1.466885E-4</v>
      </c>
      <c r="O692">
        <v>0</v>
      </c>
      <c r="P692">
        <v>0</v>
      </c>
      <c r="Q692">
        <v>0</v>
      </c>
      <c r="R692" t="s">
        <v>243</v>
      </c>
    </row>
    <row r="693" spans="1:18" x14ac:dyDescent="0.3">
      <c r="A693" t="s">
        <v>259</v>
      </c>
      <c r="B693" t="s">
        <v>14</v>
      </c>
      <c r="C693" t="s">
        <v>348</v>
      </c>
      <c r="D693" s="8">
        <v>4.50228E-4</v>
      </c>
      <c r="E693" s="8">
        <v>9.8503499999999996E-5</v>
      </c>
      <c r="F693" s="8">
        <v>1.34809E-4</v>
      </c>
      <c r="G693" s="8">
        <v>1.1760900000000001E-4</v>
      </c>
      <c r="H693" s="8">
        <v>1.1869159999999999E-4</v>
      </c>
      <c r="I693" s="8">
        <v>1.23779E-4</v>
      </c>
      <c r="J693" s="8">
        <v>1.215345E-4</v>
      </c>
      <c r="K693" s="8">
        <v>1.20896999999999E-4</v>
      </c>
      <c r="L693" s="8">
        <v>1.20924E-4</v>
      </c>
      <c r="M693" s="8">
        <v>1.2072130000000001E-4</v>
      </c>
      <c r="N693" s="8">
        <v>1.205379E-4</v>
      </c>
      <c r="O693">
        <v>0</v>
      </c>
      <c r="P693">
        <v>0</v>
      </c>
      <c r="Q693">
        <v>0</v>
      </c>
      <c r="R693" t="s">
        <v>243</v>
      </c>
    </row>
    <row r="694" spans="1:18" x14ac:dyDescent="0.3">
      <c r="A694" t="s">
        <v>259</v>
      </c>
      <c r="B694" t="s">
        <v>14</v>
      </c>
      <c r="C694" t="s">
        <v>349</v>
      </c>
      <c r="D694" s="8">
        <v>3.8928500000000001E-4</v>
      </c>
      <c r="E694" s="8">
        <v>8.1604899999999995E-5</v>
      </c>
      <c r="F694" s="8">
        <v>1.14287E-4</v>
      </c>
      <c r="G694" s="8">
        <v>9.9515399999999999E-5</v>
      </c>
      <c r="H694" s="8">
        <v>9.9977599999999996E-5</v>
      </c>
      <c r="I694" s="8">
        <v>1.043758E-4</v>
      </c>
      <c r="J694" s="8">
        <v>1.024892E-4</v>
      </c>
      <c r="K694" s="8">
        <v>1.01941199999999E-4</v>
      </c>
      <c r="L694" s="8">
        <v>1.0194760000000001E-4</v>
      </c>
      <c r="M694" s="8">
        <v>1.016999E-4</v>
      </c>
      <c r="N694" s="8">
        <v>1.015211E-4</v>
      </c>
      <c r="O694">
        <v>0</v>
      </c>
      <c r="P694">
        <v>0</v>
      </c>
      <c r="Q694">
        <v>0</v>
      </c>
      <c r="R694" t="s">
        <v>243</v>
      </c>
    </row>
    <row r="695" spans="1:18" x14ac:dyDescent="0.3">
      <c r="A695" t="s">
        <v>259</v>
      </c>
      <c r="B695" t="s">
        <v>14</v>
      </c>
      <c r="C695" t="s">
        <v>350</v>
      </c>
      <c r="D695" s="8">
        <v>3.3507799999999999E-4</v>
      </c>
      <c r="E695" s="8">
        <v>6.8691100000000004E-5</v>
      </c>
      <c r="F695" s="8">
        <v>9.8549599999999996E-5</v>
      </c>
      <c r="G695" s="8">
        <v>8.5845499999999997E-5</v>
      </c>
      <c r="H695" s="8">
        <v>8.6206300000000002E-5</v>
      </c>
      <c r="I695" s="8">
        <v>9.0055099999999998E-5</v>
      </c>
      <c r="J695" s="8">
        <v>8.8404499999999997E-5</v>
      </c>
      <c r="K695" s="8">
        <v>8.7853099999999994E-5</v>
      </c>
      <c r="L695" s="8">
        <v>8.7792699999999997E-5</v>
      </c>
      <c r="M695" s="8">
        <v>8.7579199999999997E-5</v>
      </c>
      <c r="N695" s="8">
        <v>8.7409299999999997E-5</v>
      </c>
      <c r="O695">
        <v>0</v>
      </c>
      <c r="P695">
        <v>0</v>
      </c>
      <c r="Q695">
        <v>0</v>
      </c>
      <c r="R695" t="s">
        <v>243</v>
      </c>
    </row>
    <row r="696" spans="1:18" x14ac:dyDescent="0.3">
      <c r="A696" t="s">
        <v>259</v>
      </c>
      <c r="B696" t="s">
        <v>14</v>
      </c>
      <c r="C696" t="s">
        <v>351</v>
      </c>
      <c r="D696" s="8">
        <v>2.8626500000000001E-4</v>
      </c>
      <c r="E696" s="8">
        <v>5.8212699999999999E-5</v>
      </c>
      <c r="F696" s="8">
        <v>8.4972699999999994E-5</v>
      </c>
      <c r="G696" s="8">
        <v>7.5110600000000006E-5</v>
      </c>
      <c r="H696" s="8">
        <v>7.5733299999999995E-5</v>
      </c>
      <c r="I696" s="8">
        <v>7.9044700000000006E-5</v>
      </c>
      <c r="J696" s="8">
        <v>7.7550299999999995E-5</v>
      </c>
      <c r="K696" s="8">
        <v>7.7121799999999997E-5</v>
      </c>
      <c r="L696" s="8">
        <v>7.7127599999999997E-5</v>
      </c>
      <c r="M696" s="8">
        <v>7.6956699999999995E-5</v>
      </c>
      <c r="N696" s="8">
        <v>7.6812900000000004E-5</v>
      </c>
      <c r="O696">
        <v>0</v>
      </c>
      <c r="P696">
        <v>0</v>
      </c>
      <c r="Q696">
        <v>0</v>
      </c>
      <c r="R696" t="s">
        <v>243</v>
      </c>
    </row>
    <row r="697" spans="1:18" x14ac:dyDescent="0.3">
      <c r="A697" t="s">
        <v>259</v>
      </c>
      <c r="B697" t="s">
        <v>14</v>
      </c>
      <c r="C697" t="s">
        <v>352</v>
      </c>
      <c r="D697" s="8">
        <v>2.4318000000000001E-4</v>
      </c>
      <c r="E697" s="8">
        <v>4.8473500000000003E-5</v>
      </c>
      <c r="F697" s="8">
        <v>7.2133599999999997E-5</v>
      </c>
      <c r="G697" s="8">
        <v>6.3345799999999999E-5</v>
      </c>
      <c r="H697" s="8">
        <v>6.3782599999999995E-5</v>
      </c>
      <c r="I697" s="8">
        <v>6.6680299999999999E-5</v>
      </c>
      <c r="J697" s="8">
        <v>6.5435509999999994E-5</v>
      </c>
      <c r="K697" s="8">
        <v>6.5035909999999999E-5</v>
      </c>
      <c r="L697" s="8">
        <v>6.5017800000000006E-5</v>
      </c>
      <c r="M697" s="8">
        <v>6.48513E-5</v>
      </c>
      <c r="N697" s="8">
        <v>6.4716599999999996E-5</v>
      </c>
      <c r="O697">
        <v>0</v>
      </c>
      <c r="P697">
        <v>0</v>
      </c>
      <c r="Q697">
        <v>0</v>
      </c>
      <c r="R697" t="s">
        <v>243</v>
      </c>
    </row>
    <row r="698" spans="1:18" x14ac:dyDescent="0.3">
      <c r="A698" t="s">
        <v>259</v>
      </c>
      <c r="B698" t="s">
        <v>14</v>
      </c>
      <c r="C698" t="s">
        <v>353</v>
      </c>
      <c r="D698" s="8">
        <v>1.8790500000000001E-4</v>
      </c>
      <c r="E698" s="8">
        <v>3.8840900000000003E-5</v>
      </c>
      <c r="F698" s="8">
        <v>5.7129600000000003E-5</v>
      </c>
      <c r="G698" s="8">
        <v>5.12536E-5</v>
      </c>
      <c r="H698" s="8">
        <v>5.1816400000000001E-5</v>
      </c>
      <c r="I698" s="8">
        <v>5.41491E-5</v>
      </c>
      <c r="J698" s="8">
        <v>5.3116089999999997E-5</v>
      </c>
      <c r="K698" s="8">
        <v>5.2797360000000001E-5</v>
      </c>
      <c r="L698" s="8">
        <v>5.2766599999999997E-5</v>
      </c>
      <c r="M698" s="8">
        <v>5.2607529999999901E-5</v>
      </c>
      <c r="N698" s="8">
        <v>5.2134269999999998E-5</v>
      </c>
      <c r="O698">
        <v>0</v>
      </c>
      <c r="P698">
        <v>0</v>
      </c>
      <c r="Q698">
        <v>0</v>
      </c>
      <c r="R698" t="s">
        <v>243</v>
      </c>
    </row>
    <row r="699" spans="1:18" x14ac:dyDescent="0.3">
      <c r="A699" t="s">
        <v>259</v>
      </c>
      <c r="B699" t="s">
        <v>14</v>
      </c>
      <c r="C699" t="s">
        <v>294</v>
      </c>
      <c r="D699">
        <v>2.2650069999999999E-3</v>
      </c>
      <c r="E699">
        <v>3.2311220199999998E-3</v>
      </c>
      <c r="F699">
        <v>3.5869738000000001E-3</v>
      </c>
      <c r="G699">
        <v>2.9993670000000002E-3</v>
      </c>
      <c r="H699">
        <v>3.1089146999999902E-3</v>
      </c>
      <c r="I699">
        <v>3.2540181E-3</v>
      </c>
      <c r="J699">
        <v>3.2860194500000002E-3</v>
      </c>
      <c r="K699">
        <v>3.2745566999999999E-3</v>
      </c>
      <c r="L699">
        <v>3.2577509699999898E-3</v>
      </c>
      <c r="M699">
        <v>3.2397681499999999E-3</v>
      </c>
      <c r="N699">
        <v>3.2144680999999999E-3</v>
      </c>
      <c r="O699">
        <v>0</v>
      </c>
      <c r="P699">
        <v>0</v>
      </c>
      <c r="Q699">
        <v>0</v>
      </c>
      <c r="R699" t="s">
        <v>243</v>
      </c>
    </row>
    <row r="700" spans="1:18" x14ac:dyDescent="0.3">
      <c r="A700" t="s">
        <v>259</v>
      </c>
      <c r="B700" t="s">
        <v>14</v>
      </c>
      <c r="C700" t="s">
        <v>295</v>
      </c>
      <c r="D700">
        <v>4.4129857999999998E-3</v>
      </c>
      <c r="E700">
        <v>6.8681960999999996E-3</v>
      </c>
      <c r="F700">
        <v>7.1538829999999998E-3</v>
      </c>
      <c r="G700">
        <v>5.8613559999999999E-3</v>
      </c>
      <c r="H700">
        <v>5.9260032000000001E-3</v>
      </c>
      <c r="I700">
        <v>6.2099329000000003E-3</v>
      </c>
      <c r="J700">
        <v>6.1358593000000001E-3</v>
      </c>
      <c r="K700">
        <v>6.0302226699999999E-3</v>
      </c>
      <c r="L700">
        <v>5.9639852599999996E-3</v>
      </c>
      <c r="M700">
        <v>5.88032837E-3</v>
      </c>
      <c r="N700">
        <v>5.79974136E-3</v>
      </c>
      <c r="O700">
        <v>0</v>
      </c>
      <c r="P700">
        <v>0</v>
      </c>
      <c r="Q700">
        <v>0</v>
      </c>
      <c r="R700" t="s">
        <v>243</v>
      </c>
    </row>
    <row r="701" spans="1:18" x14ac:dyDescent="0.3">
      <c r="A701" t="s">
        <v>259</v>
      </c>
      <c r="B701" t="s">
        <v>14</v>
      </c>
      <c r="C701" t="s">
        <v>296</v>
      </c>
      <c r="D701">
        <v>2.8391772000000001E-3</v>
      </c>
      <c r="E701">
        <v>4.1844819999999998E-3</v>
      </c>
      <c r="F701">
        <v>4.5750573999999997E-3</v>
      </c>
      <c r="G701">
        <v>3.7976155999999901E-3</v>
      </c>
      <c r="H701">
        <v>3.8474479999999899E-3</v>
      </c>
      <c r="I701">
        <v>4.0156064999999899E-3</v>
      </c>
      <c r="J701">
        <v>4.0038168999999898E-3</v>
      </c>
      <c r="K701">
        <v>3.9588040399999996E-3</v>
      </c>
      <c r="L701">
        <v>3.9278387100000001E-3</v>
      </c>
      <c r="M701">
        <v>3.8861274699999999E-3</v>
      </c>
      <c r="N701">
        <v>3.8421143099999998E-3</v>
      </c>
      <c r="O701">
        <v>0</v>
      </c>
      <c r="P701">
        <v>0</v>
      </c>
      <c r="Q701">
        <v>0</v>
      </c>
      <c r="R701" t="s">
        <v>243</v>
      </c>
    </row>
    <row r="702" spans="1:18" x14ac:dyDescent="0.3">
      <c r="A702" t="s">
        <v>259</v>
      </c>
      <c r="B702" t="s">
        <v>14</v>
      </c>
      <c r="C702" t="s">
        <v>297</v>
      </c>
      <c r="D702">
        <v>3.1423593000000001E-3</v>
      </c>
      <c r="E702">
        <v>4.6475550999999999E-3</v>
      </c>
      <c r="F702">
        <v>5.0018177000000002E-3</v>
      </c>
      <c r="G702">
        <v>4.1505455E-3</v>
      </c>
      <c r="H702">
        <v>4.1767979999999998E-3</v>
      </c>
      <c r="I702">
        <v>4.3643641000000004E-3</v>
      </c>
      <c r="J702">
        <v>4.32698473999999E-3</v>
      </c>
      <c r="K702">
        <v>4.2645241599999998E-3</v>
      </c>
      <c r="L702">
        <v>4.22414107999999E-3</v>
      </c>
      <c r="M702">
        <v>4.16930508999999E-3</v>
      </c>
      <c r="N702">
        <v>4.1141337699999898E-3</v>
      </c>
      <c r="O702">
        <v>0</v>
      </c>
      <c r="P702">
        <v>0</v>
      </c>
      <c r="Q702">
        <v>0</v>
      </c>
      <c r="R702" t="s">
        <v>243</v>
      </c>
    </row>
    <row r="703" spans="1:18" x14ac:dyDescent="0.3">
      <c r="A703" t="s">
        <v>259</v>
      </c>
      <c r="B703" t="s">
        <v>14</v>
      </c>
      <c r="C703" t="s">
        <v>298</v>
      </c>
      <c r="D703">
        <v>3.3091990000000001E-3</v>
      </c>
      <c r="E703">
        <v>4.9530182000000001E-3</v>
      </c>
      <c r="F703">
        <v>5.2984159999999898E-3</v>
      </c>
      <c r="G703">
        <v>4.3853583000000003E-3</v>
      </c>
      <c r="H703">
        <v>4.3962369999999999E-3</v>
      </c>
      <c r="I703">
        <v>4.5858614999999998E-3</v>
      </c>
      <c r="J703">
        <v>4.5395933000000003E-3</v>
      </c>
      <c r="K703">
        <v>4.4698389899999998E-3</v>
      </c>
      <c r="L703">
        <v>4.4260562200000002E-3</v>
      </c>
      <c r="M703">
        <v>4.3700463199999899E-3</v>
      </c>
      <c r="N703">
        <v>4.31478092999999E-3</v>
      </c>
      <c r="O703">
        <v>0</v>
      </c>
      <c r="P703">
        <v>0</v>
      </c>
      <c r="Q703">
        <v>0</v>
      </c>
      <c r="R703" t="s">
        <v>243</v>
      </c>
    </row>
    <row r="704" spans="1:18" x14ac:dyDescent="0.3">
      <c r="A704" t="s">
        <v>259</v>
      </c>
      <c r="B704" t="s">
        <v>14</v>
      </c>
      <c r="C704" t="s">
        <v>299</v>
      </c>
      <c r="D704">
        <v>3.4504805999999999E-3</v>
      </c>
      <c r="E704">
        <v>5.2122534000000002E-3</v>
      </c>
      <c r="F704">
        <v>5.5338957999999999E-3</v>
      </c>
      <c r="G704">
        <v>4.5806822999999997E-3</v>
      </c>
      <c r="H704">
        <v>4.5734566999999999E-3</v>
      </c>
      <c r="I704">
        <v>4.7753965999999997E-3</v>
      </c>
      <c r="J704">
        <v>4.7241913099999901E-3</v>
      </c>
      <c r="K704">
        <v>4.6493785999999898E-3</v>
      </c>
      <c r="L704">
        <v>4.6026023900000001E-3</v>
      </c>
      <c r="M704">
        <v>4.5402267100000003E-3</v>
      </c>
      <c r="N704">
        <v>4.48128353999999E-3</v>
      </c>
      <c r="O704">
        <v>0</v>
      </c>
      <c r="P704">
        <v>0</v>
      </c>
      <c r="Q704">
        <v>0</v>
      </c>
      <c r="R704" t="s">
        <v>243</v>
      </c>
    </row>
    <row r="705" spans="1:18" x14ac:dyDescent="0.3">
      <c r="A705" t="s">
        <v>259</v>
      </c>
      <c r="B705" t="s">
        <v>14</v>
      </c>
      <c r="C705" t="s">
        <v>300</v>
      </c>
      <c r="D705">
        <v>3.5886145999999902E-3</v>
      </c>
      <c r="E705">
        <v>5.4400270999999997E-3</v>
      </c>
      <c r="F705">
        <v>5.7391077E-3</v>
      </c>
      <c r="G705">
        <v>4.7488311999999899E-3</v>
      </c>
      <c r="H705">
        <v>4.7406143999999999E-3</v>
      </c>
      <c r="I705">
        <v>4.95269619999999E-3</v>
      </c>
      <c r="J705">
        <v>4.8967012499999902E-3</v>
      </c>
      <c r="K705">
        <v>4.81421894E-3</v>
      </c>
      <c r="L705">
        <v>4.7620049599999999E-3</v>
      </c>
      <c r="M705">
        <v>4.6971629500000001E-3</v>
      </c>
      <c r="N705">
        <v>4.6351897899999999E-3</v>
      </c>
      <c r="O705">
        <v>0</v>
      </c>
      <c r="P705">
        <v>0</v>
      </c>
      <c r="Q705">
        <v>0</v>
      </c>
      <c r="R705" t="s">
        <v>243</v>
      </c>
    </row>
    <row r="706" spans="1:18" x14ac:dyDescent="0.3">
      <c r="A706" t="s">
        <v>259</v>
      </c>
      <c r="B706" t="s">
        <v>14</v>
      </c>
      <c r="C706" t="s">
        <v>301</v>
      </c>
      <c r="D706">
        <v>3.7279676000000002E-3</v>
      </c>
      <c r="E706">
        <v>5.6534878999999899E-3</v>
      </c>
      <c r="F706">
        <v>5.9406188999999998E-3</v>
      </c>
      <c r="G706">
        <v>4.8982670999999896E-3</v>
      </c>
      <c r="H706">
        <v>4.9100910999999997E-3</v>
      </c>
      <c r="I706">
        <v>5.1251498999999997E-3</v>
      </c>
      <c r="J706">
        <v>5.0635318199999998E-3</v>
      </c>
      <c r="K706">
        <v>4.9817246499999999E-3</v>
      </c>
      <c r="L706">
        <v>4.9311911599999999E-3</v>
      </c>
      <c r="M706">
        <v>4.86509908E-3</v>
      </c>
      <c r="N706">
        <v>4.8013019599999996E-3</v>
      </c>
      <c r="O706">
        <v>0</v>
      </c>
      <c r="P706">
        <v>0</v>
      </c>
      <c r="Q706">
        <v>0</v>
      </c>
      <c r="R706" t="s">
        <v>243</v>
      </c>
    </row>
    <row r="707" spans="1:18" x14ac:dyDescent="0.3">
      <c r="A707" t="s">
        <v>259</v>
      </c>
      <c r="B707" t="s">
        <v>14</v>
      </c>
      <c r="C707" t="s">
        <v>302</v>
      </c>
      <c r="D707">
        <v>3.8683489999999901E-3</v>
      </c>
      <c r="E707">
        <v>5.8854629E-3</v>
      </c>
      <c r="F707">
        <v>6.15994989999999E-3</v>
      </c>
      <c r="G707">
        <v>5.0860200000000001E-3</v>
      </c>
      <c r="H707">
        <v>5.0915305999999997E-3</v>
      </c>
      <c r="I707">
        <v>5.3230689000000001E-3</v>
      </c>
      <c r="J707">
        <v>5.2600469099999998E-3</v>
      </c>
      <c r="K707">
        <v>5.1719821299999903E-3</v>
      </c>
      <c r="L707">
        <v>5.11775214E-3</v>
      </c>
      <c r="M707">
        <v>5.0473278499999904E-3</v>
      </c>
      <c r="N707">
        <v>4.9800816100000001E-3</v>
      </c>
      <c r="O707">
        <v>0</v>
      </c>
      <c r="P707">
        <v>0</v>
      </c>
      <c r="Q707">
        <v>0</v>
      </c>
      <c r="R707" t="s">
        <v>243</v>
      </c>
    </row>
    <row r="708" spans="1:18" x14ac:dyDescent="0.3">
      <c r="A708" t="s">
        <v>259</v>
      </c>
      <c r="B708" t="s">
        <v>14</v>
      </c>
      <c r="C708" t="s">
        <v>303</v>
      </c>
      <c r="D708">
        <v>4.0851981000000004E-3</v>
      </c>
      <c r="E708">
        <v>6.1616132999999899E-3</v>
      </c>
      <c r="F708">
        <v>6.4670040999999998E-3</v>
      </c>
      <c r="G708">
        <v>5.3156321000000003E-3</v>
      </c>
      <c r="H708">
        <v>5.3427776000000001E-3</v>
      </c>
      <c r="I708">
        <v>5.5836341999999997E-3</v>
      </c>
      <c r="J708">
        <v>5.5151523999999999E-3</v>
      </c>
      <c r="K708">
        <v>5.4235952699999996E-3</v>
      </c>
      <c r="L708">
        <v>5.3650063499999998E-3</v>
      </c>
      <c r="M708">
        <v>5.2888125100000001E-3</v>
      </c>
      <c r="N708">
        <v>5.2155969799999998E-3</v>
      </c>
      <c r="O708">
        <v>0</v>
      </c>
      <c r="P708">
        <v>0</v>
      </c>
      <c r="Q708">
        <v>0</v>
      </c>
      <c r="R708" t="s">
        <v>243</v>
      </c>
    </row>
    <row r="709" spans="1:18" x14ac:dyDescent="0.3">
      <c r="A709" t="s">
        <v>259</v>
      </c>
      <c r="B709" t="s">
        <v>14</v>
      </c>
      <c r="C709" t="s">
        <v>304</v>
      </c>
      <c r="D709" s="8">
        <v>5.0267699999999998E-4</v>
      </c>
      <c r="E709" s="8">
        <v>6.9807400000000003E-4</v>
      </c>
      <c r="F709" s="8">
        <v>7.8326899999999996E-4</v>
      </c>
      <c r="G709" s="8">
        <v>7.9506200000000003E-4</v>
      </c>
      <c r="H709">
        <v>1.098798E-3</v>
      </c>
      <c r="I709">
        <v>1.1320849999999999E-3</v>
      </c>
      <c r="J709">
        <v>1.1547580000000001E-3</v>
      </c>
      <c r="K709">
        <v>1.2295769999999999E-3</v>
      </c>
      <c r="L709">
        <v>1.2940149999999999E-3</v>
      </c>
      <c r="M709">
        <v>1.3448309999999899E-3</v>
      </c>
      <c r="N709">
        <v>1.3829490000000001E-3</v>
      </c>
      <c r="O709">
        <v>0</v>
      </c>
      <c r="P709">
        <v>0</v>
      </c>
      <c r="Q709">
        <v>0</v>
      </c>
      <c r="R709" t="s">
        <v>243</v>
      </c>
    </row>
    <row r="710" spans="1:18" x14ac:dyDescent="0.3">
      <c r="A710" t="s">
        <v>259</v>
      </c>
      <c r="B710" t="s">
        <v>14</v>
      </c>
      <c r="C710" t="s">
        <v>305</v>
      </c>
      <c r="D710">
        <v>2.3984100000000001E-3</v>
      </c>
      <c r="E710">
        <v>3.60963E-3</v>
      </c>
      <c r="F710">
        <v>3.5144500000000001E-3</v>
      </c>
      <c r="G710">
        <v>3.2341499999999999E-3</v>
      </c>
      <c r="H710">
        <v>3.29664E-3</v>
      </c>
      <c r="I710">
        <v>3.4420429999999901E-3</v>
      </c>
      <c r="J710">
        <v>3.366207E-3</v>
      </c>
      <c r="K710">
        <v>3.344128E-3</v>
      </c>
      <c r="L710">
        <v>3.341905E-3</v>
      </c>
      <c r="M710">
        <v>3.3325759999999999E-3</v>
      </c>
      <c r="N710">
        <v>3.324245E-3</v>
      </c>
      <c r="O710">
        <v>0</v>
      </c>
      <c r="P710">
        <v>0</v>
      </c>
      <c r="Q710">
        <v>0</v>
      </c>
      <c r="R710" t="s">
        <v>243</v>
      </c>
    </row>
    <row r="711" spans="1:18" x14ac:dyDescent="0.3">
      <c r="A711" t="s">
        <v>259</v>
      </c>
      <c r="B711" t="s">
        <v>14</v>
      </c>
      <c r="C711" t="s">
        <v>306</v>
      </c>
      <c r="D711" s="8">
        <v>7.9050500000000005E-4</v>
      </c>
      <c r="E711">
        <v>1.1749E-3</v>
      </c>
      <c r="F711">
        <v>1.31511E-3</v>
      </c>
      <c r="G711">
        <v>1.3103399999999999E-3</v>
      </c>
      <c r="H711">
        <v>1.627164E-3</v>
      </c>
      <c r="I711">
        <v>1.672549E-3</v>
      </c>
      <c r="J711">
        <v>1.690731E-3</v>
      </c>
      <c r="K711">
        <v>1.775359E-3</v>
      </c>
      <c r="L711">
        <v>1.847092E-3</v>
      </c>
      <c r="M711">
        <v>1.901228E-3</v>
      </c>
      <c r="N711">
        <v>1.9410370000000001E-3</v>
      </c>
      <c r="O711">
        <v>0</v>
      </c>
      <c r="P711">
        <v>0</v>
      </c>
      <c r="Q711">
        <v>0</v>
      </c>
      <c r="R711" t="s">
        <v>243</v>
      </c>
    </row>
    <row r="712" spans="1:18" x14ac:dyDescent="0.3">
      <c r="A712" t="s">
        <v>259</v>
      </c>
      <c r="B712" t="s">
        <v>14</v>
      </c>
      <c r="C712" t="s">
        <v>307</v>
      </c>
      <c r="D712">
        <v>1.01194E-3</v>
      </c>
      <c r="E712">
        <v>1.5213099999999999E-3</v>
      </c>
      <c r="F712">
        <v>1.6485200000000001E-3</v>
      </c>
      <c r="G712">
        <v>1.63186E-3</v>
      </c>
      <c r="H712">
        <v>1.9237119999999999E-3</v>
      </c>
      <c r="I712">
        <v>1.9872939999999902E-3</v>
      </c>
      <c r="J712">
        <v>1.9911970000000001E-3</v>
      </c>
      <c r="K712">
        <v>2.0654569999999902E-3</v>
      </c>
      <c r="L712">
        <v>2.1274950000000001E-3</v>
      </c>
      <c r="M712">
        <v>2.1692619999999999E-3</v>
      </c>
      <c r="N712">
        <v>2.1973000000000001E-3</v>
      </c>
      <c r="O712">
        <v>0</v>
      </c>
      <c r="P712">
        <v>0</v>
      </c>
      <c r="Q712">
        <v>0</v>
      </c>
      <c r="R712" t="s">
        <v>243</v>
      </c>
    </row>
    <row r="713" spans="1:18" x14ac:dyDescent="0.3">
      <c r="A713" t="s">
        <v>259</v>
      </c>
      <c r="B713" t="s">
        <v>14</v>
      </c>
      <c r="C713" t="s">
        <v>308</v>
      </c>
      <c r="D713">
        <v>1.16212E-3</v>
      </c>
      <c r="E713">
        <v>1.8016E-3</v>
      </c>
      <c r="F713">
        <v>1.91848E-3</v>
      </c>
      <c r="G713">
        <v>1.8746500000000001E-3</v>
      </c>
      <c r="H713">
        <v>2.1344300000000001E-3</v>
      </c>
      <c r="I713">
        <v>2.2016430000000001E-3</v>
      </c>
      <c r="J713">
        <v>2.1974329999999999E-3</v>
      </c>
      <c r="K713">
        <v>2.261458E-3</v>
      </c>
      <c r="L713">
        <v>2.3147129999999999E-3</v>
      </c>
      <c r="M713">
        <v>2.350432E-3</v>
      </c>
      <c r="N713">
        <v>2.3738190000000001E-3</v>
      </c>
      <c r="O713">
        <v>0</v>
      </c>
      <c r="P713">
        <v>0</v>
      </c>
      <c r="Q713">
        <v>0</v>
      </c>
      <c r="R713" t="s">
        <v>243</v>
      </c>
    </row>
    <row r="714" spans="1:18" x14ac:dyDescent="0.3">
      <c r="A714" t="s">
        <v>259</v>
      </c>
      <c r="B714" t="s">
        <v>14</v>
      </c>
      <c r="C714" t="s">
        <v>309</v>
      </c>
      <c r="D714">
        <v>1.3058200000000001E-3</v>
      </c>
      <c r="E714">
        <v>2.0664199999999998E-3</v>
      </c>
      <c r="F714">
        <v>2.1476799999999999E-3</v>
      </c>
      <c r="G714">
        <v>2.0857599999999999E-3</v>
      </c>
      <c r="H714">
        <v>2.3049500000000001E-3</v>
      </c>
      <c r="I714">
        <v>2.385753E-3</v>
      </c>
      <c r="J714">
        <v>2.3735290000000001E-3</v>
      </c>
      <c r="K714">
        <v>2.425487E-3</v>
      </c>
      <c r="L714">
        <v>2.4685100000000001E-3</v>
      </c>
      <c r="M714">
        <v>2.4924679999999999E-3</v>
      </c>
      <c r="N714">
        <v>2.5078589999999999E-3</v>
      </c>
      <c r="O714">
        <v>0</v>
      </c>
      <c r="P714">
        <v>0</v>
      </c>
      <c r="Q714">
        <v>0</v>
      </c>
      <c r="R714" t="s">
        <v>243</v>
      </c>
    </row>
    <row r="715" spans="1:18" x14ac:dyDescent="0.3">
      <c r="A715" t="s">
        <v>259</v>
      </c>
      <c r="B715" t="s">
        <v>14</v>
      </c>
      <c r="C715" t="s">
        <v>310</v>
      </c>
      <c r="D715">
        <v>1.4591700000000001E-3</v>
      </c>
      <c r="E715">
        <v>2.31065E-3</v>
      </c>
      <c r="F715">
        <v>2.35148E-3</v>
      </c>
      <c r="G715">
        <v>2.2678099999999999E-3</v>
      </c>
      <c r="H715">
        <v>2.4603699999999999E-3</v>
      </c>
      <c r="I715">
        <v>2.5525019999999999E-3</v>
      </c>
      <c r="J715">
        <v>2.5304020000000002E-3</v>
      </c>
      <c r="K715">
        <v>2.566109E-3</v>
      </c>
      <c r="L715">
        <v>2.5968609999999998E-3</v>
      </c>
      <c r="M715">
        <v>2.6128150000000001E-3</v>
      </c>
      <c r="N715">
        <v>2.6214469999999998E-3</v>
      </c>
      <c r="O715">
        <v>0</v>
      </c>
      <c r="P715">
        <v>0</v>
      </c>
      <c r="Q715">
        <v>0</v>
      </c>
      <c r="R715" t="s">
        <v>243</v>
      </c>
    </row>
    <row r="716" spans="1:18" x14ac:dyDescent="0.3">
      <c r="A716" t="s">
        <v>259</v>
      </c>
      <c r="B716" t="s">
        <v>14</v>
      </c>
      <c r="C716" t="s">
        <v>311</v>
      </c>
      <c r="D716">
        <v>1.62306E-3</v>
      </c>
      <c r="E716">
        <v>2.5408499999999999E-3</v>
      </c>
      <c r="F716">
        <v>2.5496799999999999E-3</v>
      </c>
      <c r="G716">
        <v>2.4256799999999999E-3</v>
      </c>
      <c r="H716">
        <v>2.6087699999999998E-3</v>
      </c>
      <c r="I716">
        <v>2.7055769999999998E-3</v>
      </c>
      <c r="J716">
        <v>2.6720379999999998E-3</v>
      </c>
      <c r="K716">
        <v>2.6977479999999998E-3</v>
      </c>
      <c r="L716">
        <v>2.721939E-3</v>
      </c>
      <c r="M716">
        <v>2.7309609999999901E-3</v>
      </c>
      <c r="N716">
        <v>2.7342729999999902E-3</v>
      </c>
      <c r="O716">
        <v>0</v>
      </c>
      <c r="P716">
        <v>0</v>
      </c>
      <c r="Q716">
        <v>0</v>
      </c>
      <c r="R716" t="s">
        <v>243</v>
      </c>
    </row>
    <row r="717" spans="1:18" x14ac:dyDescent="0.3">
      <c r="A717" t="s">
        <v>259</v>
      </c>
      <c r="B717" t="s">
        <v>14</v>
      </c>
      <c r="C717" t="s">
        <v>312</v>
      </c>
      <c r="D717">
        <v>1.7924099999999999E-3</v>
      </c>
      <c r="E717">
        <v>2.7838899999999998E-3</v>
      </c>
      <c r="F717">
        <v>2.75771E-3</v>
      </c>
      <c r="G717">
        <v>2.6144200000000001E-3</v>
      </c>
      <c r="H717">
        <v>2.7558299999999999E-3</v>
      </c>
      <c r="I717">
        <v>2.8676029999999998E-3</v>
      </c>
      <c r="J717">
        <v>2.824418E-3</v>
      </c>
      <c r="K717">
        <v>2.8338529999999999E-3</v>
      </c>
      <c r="L717">
        <v>2.8477149999999998E-3</v>
      </c>
      <c r="M717">
        <v>2.8488799999999998E-3</v>
      </c>
      <c r="N717">
        <v>2.8471970000000001E-3</v>
      </c>
      <c r="O717">
        <v>0</v>
      </c>
      <c r="P717">
        <v>0</v>
      </c>
      <c r="Q717">
        <v>0</v>
      </c>
      <c r="R717" t="s">
        <v>243</v>
      </c>
    </row>
    <row r="718" spans="1:18" x14ac:dyDescent="0.3">
      <c r="A718" t="s">
        <v>259</v>
      </c>
      <c r="B718" t="s">
        <v>14</v>
      </c>
      <c r="C718" t="s">
        <v>313</v>
      </c>
      <c r="D718">
        <v>2.0499699999999999E-3</v>
      </c>
      <c r="E718">
        <v>3.0535599999999999E-3</v>
      </c>
      <c r="F718">
        <v>3.02703E-3</v>
      </c>
      <c r="G718">
        <v>2.82563E-3</v>
      </c>
      <c r="H718">
        <v>2.9381299999999902E-3</v>
      </c>
      <c r="I718">
        <v>3.0580119999999902E-3</v>
      </c>
      <c r="J718">
        <v>3.0006019999999998E-3</v>
      </c>
      <c r="K718">
        <v>2.9957589999999902E-3</v>
      </c>
      <c r="L718">
        <v>3.0002409999999998E-3</v>
      </c>
      <c r="M718">
        <v>2.9943319999999902E-3</v>
      </c>
      <c r="N718">
        <v>2.9877300000000001E-3</v>
      </c>
      <c r="O718">
        <v>0</v>
      </c>
      <c r="P718">
        <v>0</v>
      </c>
      <c r="Q718">
        <v>0</v>
      </c>
      <c r="R718" t="s">
        <v>243</v>
      </c>
    </row>
    <row r="719" spans="1:18" x14ac:dyDescent="0.3">
      <c r="A719" t="s">
        <v>259</v>
      </c>
      <c r="B719" t="s">
        <v>14</v>
      </c>
      <c r="C719" t="s">
        <v>314</v>
      </c>
      <c r="D719" s="8">
        <v>1.6111521999999999E-4</v>
      </c>
      <c r="E719" s="8">
        <v>2.365194E-4</v>
      </c>
      <c r="F719" s="8">
        <v>2.5985074999999999E-4</v>
      </c>
      <c r="G719" s="8">
        <v>2.6075752999999899E-4</v>
      </c>
      <c r="H719" s="8">
        <v>2.8734639999999998E-4</v>
      </c>
      <c r="I719" s="8">
        <v>2.9569988999999998E-4</v>
      </c>
      <c r="J719" s="8">
        <v>2.9379492000000001E-4</v>
      </c>
      <c r="K719" s="8">
        <v>2.9284435999999997E-4</v>
      </c>
      <c r="L719" s="8">
        <v>2.9170151000000003E-4</v>
      </c>
      <c r="M719" s="8">
        <v>2.8958788000000001E-4</v>
      </c>
      <c r="N719" s="8">
        <v>2.8636599999999998E-4</v>
      </c>
      <c r="O719">
        <v>0</v>
      </c>
      <c r="P719">
        <v>0</v>
      </c>
      <c r="Q719">
        <v>0</v>
      </c>
      <c r="R719" t="s">
        <v>243</v>
      </c>
    </row>
    <row r="720" spans="1:18" x14ac:dyDescent="0.3">
      <c r="A720" t="s">
        <v>259</v>
      </c>
      <c r="B720" t="s">
        <v>14</v>
      </c>
      <c r="C720" t="s">
        <v>315</v>
      </c>
      <c r="D720" s="8">
        <v>3.6525609999999998E-4</v>
      </c>
      <c r="E720" s="8">
        <v>5.656608E-4</v>
      </c>
      <c r="F720" s="8">
        <v>5.6703890000000005E-4</v>
      </c>
      <c r="G720" s="8">
        <v>5.3881359999999995E-4</v>
      </c>
      <c r="H720" s="8">
        <v>5.2764027999999998E-4</v>
      </c>
      <c r="I720" s="8">
        <v>5.4770019999999999E-4</v>
      </c>
      <c r="J720" s="8">
        <v>5.389425E-4</v>
      </c>
      <c r="K720" s="8">
        <v>5.2719520000000001E-4</v>
      </c>
      <c r="L720" s="8">
        <v>5.1975809999999997E-4</v>
      </c>
      <c r="M720" s="8">
        <v>5.1281240999999996E-4</v>
      </c>
      <c r="N720" s="8">
        <v>5.0540122000000004E-4</v>
      </c>
      <c r="O720">
        <v>0</v>
      </c>
      <c r="P720">
        <v>0</v>
      </c>
      <c r="Q720">
        <v>0</v>
      </c>
      <c r="R720" t="s">
        <v>243</v>
      </c>
    </row>
    <row r="721" spans="1:18" x14ac:dyDescent="0.3">
      <c r="A721" t="s">
        <v>259</v>
      </c>
      <c r="B721" t="s">
        <v>14</v>
      </c>
      <c r="C721" t="s">
        <v>316</v>
      </c>
      <c r="D721" s="8">
        <v>2.1570536999999999E-4</v>
      </c>
      <c r="E721" s="8">
        <v>3.2585626999999899E-4</v>
      </c>
      <c r="F721" s="8">
        <v>3.498609E-4</v>
      </c>
      <c r="G721" s="8">
        <v>3.4212730000000001E-4</v>
      </c>
      <c r="H721" s="8">
        <v>3.46472769999999E-4</v>
      </c>
      <c r="I721" s="8">
        <v>3.5741639999999899E-4</v>
      </c>
      <c r="J721" s="8">
        <v>3.5336006000000002E-4</v>
      </c>
      <c r="K721" s="8">
        <v>3.4786655999999999E-4</v>
      </c>
      <c r="L721" s="8">
        <v>3.4408091000000002E-4</v>
      </c>
      <c r="M721" s="8">
        <v>3.4022071E-4</v>
      </c>
      <c r="N721" s="8">
        <v>3.3577990999999899E-4</v>
      </c>
      <c r="O721">
        <v>0</v>
      </c>
      <c r="P721">
        <v>0</v>
      </c>
      <c r="Q721">
        <v>0</v>
      </c>
      <c r="R721" t="s">
        <v>243</v>
      </c>
    </row>
    <row r="722" spans="1:18" x14ac:dyDescent="0.3">
      <c r="A722" t="s">
        <v>259</v>
      </c>
      <c r="B722" t="s">
        <v>14</v>
      </c>
      <c r="C722" t="s">
        <v>317</v>
      </c>
      <c r="D722" s="8">
        <v>2.4704870999999899E-4</v>
      </c>
      <c r="E722" s="8">
        <v>3.7179530000000001E-4</v>
      </c>
      <c r="F722" s="8">
        <v>3.8960859999999999E-4</v>
      </c>
      <c r="G722" s="8">
        <v>3.7817020000000001E-4</v>
      </c>
      <c r="H722" s="8">
        <v>3.7352387E-4</v>
      </c>
      <c r="I722" s="8">
        <v>3.8625420000000001E-4</v>
      </c>
      <c r="J722" s="8">
        <v>3.8069519999999997E-4</v>
      </c>
      <c r="K722" s="8">
        <v>3.7342499999999998E-4</v>
      </c>
      <c r="L722" s="8">
        <v>3.6865949999999998E-4</v>
      </c>
      <c r="M722" s="8">
        <v>3.6394355999999899E-4</v>
      </c>
      <c r="N722" s="8">
        <v>3.5874434999999999E-4</v>
      </c>
      <c r="O722">
        <v>0</v>
      </c>
      <c r="P722">
        <v>0</v>
      </c>
      <c r="Q722">
        <v>0</v>
      </c>
      <c r="R722" t="s">
        <v>243</v>
      </c>
    </row>
    <row r="723" spans="1:18" x14ac:dyDescent="0.3">
      <c r="A723" t="s">
        <v>259</v>
      </c>
      <c r="B723" t="s">
        <v>14</v>
      </c>
      <c r="C723" t="s">
        <v>318</v>
      </c>
      <c r="D723" s="8">
        <v>2.6453700000000002E-4</v>
      </c>
      <c r="E723" s="8">
        <v>4.0164802999999999E-4</v>
      </c>
      <c r="F723" s="8">
        <v>4.1635179999999997E-4</v>
      </c>
      <c r="G723" s="8">
        <v>4.0145959999999999E-4</v>
      </c>
      <c r="H723" s="8">
        <v>3.9211007999999999E-4</v>
      </c>
      <c r="I723" s="8">
        <v>4.0500553E-4</v>
      </c>
      <c r="J723" s="8">
        <v>3.9898860000000001E-4</v>
      </c>
      <c r="K723" s="8">
        <v>3.9101502000000001E-4</v>
      </c>
      <c r="L723" s="8">
        <v>3.8590142999999998E-4</v>
      </c>
      <c r="M723" s="8">
        <v>3.8120770999999998E-4</v>
      </c>
      <c r="N723" s="8">
        <v>3.7606603999999999E-4</v>
      </c>
      <c r="O723">
        <v>0</v>
      </c>
      <c r="P723">
        <v>0</v>
      </c>
      <c r="Q723">
        <v>0</v>
      </c>
      <c r="R723" t="s">
        <v>243</v>
      </c>
    </row>
    <row r="724" spans="1:18" x14ac:dyDescent="0.3">
      <c r="A724" t="s">
        <v>259</v>
      </c>
      <c r="B724" t="s">
        <v>14</v>
      </c>
      <c r="C724" t="s">
        <v>319</v>
      </c>
      <c r="D724" s="8">
        <v>2.7912431000000001E-4</v>
      </c>
      <c r="E724" s="8">
        <v>4.2599009999999999E-4</v>
      </c>
      <c r="F724" s="8">
        <v>4.3676359999999999E-4</v>
      </c>
      <c r="G724" s="8">
        <v>4.20297299999999E-4</v>
      </c>
      <c r="H724" s="8">
        <v>4.0742187999999999E-4</v>
      </c>
      <c r="I724" s="8">
        <v>4.2134003999999998E-4</v>
      </c>
      <c r="J724" s="8">
        <v>4.1503779999999999E-4</v>
      </c>
      <c r="K724" s="8">
        <v>4.0657403999999999E-4</v>
      </c>
      <c r="L724" s="8">
        <v>4.0116107999999998E-4</v>
      </c>
      <c r="M724" s="8">
        <v>3.9597069999999898E-4</v>
      </c>
      <c r="N724" s="8">
        <v>3.9053035E-4</v>
      </c>
      <c r="O724">
        <v>0</v>
      </c>
      <c r="P724">
        <v>0</v>
      </c>
      <c r="Q724">
        <v>0</v>
      </c>
      <c r="R724" t="s">
        <v>243</v>
      </c>
    </row>
    <row r="725" spans="1:18" x14ac:dyDescent="0.3">
      <c r="A725" t="s">
        <v>259</v>
      </c>
      <c r="B725" t="s">
        <v>14</v>
      </c>
      <c r="C725" t="s">
        <v>320</v>
      </c>
      <c r="D725" s="8">
        <v>2.9293088000000001E-4</v>
      </c>
      <c r="E725" s="8">
        <v>4.4644659999999899E-4</v>
      </c>
      <c r="F725" s="8">
        <v>4.5397120000000002E-4</v>
      </c>
      <c r="G725" s="8">
        <v>4.3618619999999999E-4</v>
      </c>
      <c r="H725" s="8">
        <v>4.2209398E-4</v>
      </c>
      <c r="I725" s="8">
        <v>4.3680626000000002E-4</v>
      </c>
      <c r="J725" s="8">
        <v>4.3012120000000001E-4</v>
      </c>
      <c r="K725" s="8">
        <v>4.2092818999999999E-4</v>
      </c>
      <c r="L725" s="8">
        <v>4.1500538999999999E-4</v>
      </c>
      <c r="M725" s="8">
        <v>4.0963707999999997E-4</v>
      </c>
      <c r="N725" s="8">
        <v>4.0393200999999998E-4</v>
      </c>
      <c r="O725">
        <v>0</v>
      </c>
      <c r="P725">
        <v>0</v>
      </c>
      <c r="Q725">
        <v>0</v>
      </c>
      <c r="R725" t="s">
        <v>243</v>
      </c>
    </row>
    <row r="726" spans="1:18" x14ac:dyDescent="0.3">
      <c r="A726" t="s">
        <v>259</v>
      </c>
      <c r="B726" t="s">
        <v>14</v>
      </c>
      <c r="C726" t="s">
        <v>321</v>
      </c>
      <c r="D726" s="8">
        <v>3.0625207999999997E-4</v>
      </c>
      <c r="E726" s="8">
        <v>4.6492650000000001E-4</v>
      </c>
      <c r="F726" s="8">
        <v>4.7046460000000002E-4</v>
      </c>
      <c r="G726" s="8">
        <v>4.50122199999999E-4</v>
      </c>
      <c r="H726" s="8">
        <v>4.3713306999999899E-4</v>
      </c>
      <c r="I726" s="8">
        <v>4.5196050000000001E-4</v>
      </c>
      <c r="J726" s="8">
        <v>4.4474679999999999E-4</v>
      </c>
      <c r="K726" s="8">
        <v>4.3556280000000002E-4</v>
      </c>
      <c r="L726" s="8">
        <v>4.2975519999999999E-4</v>
      </c>
      <c r="M726" s="8">
        <v>4.2427913999999999E-4</v>
      </c>
      <c r="N726" s="8">
        <v>4.1840341999999997E-4</v>
      </c>
      <c r="O726">
        <v>0</v>
      </c>
      <c r="P726">
        <v>0</v>
      </c>
      <c r="Q726">
        <v>0</v>
      </c>
      <c r="R726" t="s">
        <v>243</v>
      </c>
    </row>
    <row r="727" spans="1:18" x14ac:dyDescent="0.3">
      <c r="A727" t="s">
        <v>259</v>
      </c>
      <c r="B727" t="s">
        <v>14</v>
      </c>
      <c r="C727" t="s">
        <v>322</v>
      </c>
      <c r="D727" s="8">
        <v>3.1904239999999999E-4</v>
      </c>
      <c r="E727" s="8">
        <v>4.844936E-4</v>
      </c>
      <c r="F727" s="8">
        <v>4.8811429999999999E-4</v>
      </c>
      <c r="G727" s="8">
        <v>4.6749219999999998E-4</v>
      </c>
      <c r="H727" s="8">
        <v>4.5323557999999998E-4</v>
      </c>
      <c r="I727" s="8">
        <v>4.6939250000000002E-4</v>
      </c>
      <c r="J727" s="8">
        <v>4.6200350000000001E-4</v>
      </c>
      <c r="K727" s="8">
        <v>4.5218450000000001E-4</v>
      </c>
      <c r="L727" s="8">
        <v>4.4600394999999999E-4</v>
      </c>
      <c r="M727" s="8">
        <v>4.4016821999999999E-4</v>
      </c>
      <c r="N727" s="8">
        <v>4.3398006999999998E-4</v>
      </c>
      <c r="O727">
        <v>0</v>
      </c>
      <c r="P727">
        <v>0</v>
      </c>
      <c r="Q727">
        <v>0</v>
      </c>
      <c r="R727" t="s">
        <v>243</v>
      </c>
    </row>
    <row r="728" spans="1:18" x14ac:dyDescent="0.3">
      <c r="A728" t="s">
        <v>259</v>
      </c>
      <c r="B728" t="s">
        <v>14</v>
      </c>
      <c r="C728" t="s">
        <v>323</v>
      </c>
      <c r="D728" s="8">
        <v>3.3784949999999999E-4</v>
      </c>
      <c r="E728" s="8">
        <v>5.0742159999999997E-4</v>
      </c>
      <c r="F728" s="8">
        <v>5.1257249999999896E-4</v>
      </c>
      <c r="G728" s="8">
        <v>4.8863979999999997E-4</v>
      </c>
      <c r="H728" s="8">
        <v>4.7563860999999899E-4</v>
      </c>
      <c r="I728" s="8">
        <v>4.9238819999999895E-4</v>
      </c>
      <c r="J728" s="8">
        <v>4.8440789999999999E-4</v>
      </c>
      <c r="K728" s="8">
        <v>4.7418040000000002E-4</v>
      </c>
      <c r="L728" s="8">
        <v>4.6755405999999999E-4</v>
      </c>
      <c r="M728" s="8">
        <v>4.6122018000000002E-4</v>
      </c>
      <c r="N728" s="8">
        <v>4.5449778999999998E-4</v>
      </c>
      <c r="O728">
        <v>0</v>
      </c>
      <c r="P728">
        <v>0</v>
      </c>
      <c r="Q728">
        <v>0</v>
      </c>
      <c r="R728" t="s">
        <v>243</v>
      </c>
    </row>
    <row r="729" spans="1:18" x14ac:dyDescent="0.3">
      <c r="A729" t="s">
        <v>259</v>
      </c>
      <c r="B729" t="s">
        <v>18</v>
      </c>
      <c r="C729" t="s">
        <v>261</v>
      </c>
      <c r="D729" s="8">
        <v>8.3418385000000002E-4</v>
      </c>
      <c r="E729">
        <v>1.0709897999999999E-3</v>
      </c>
      <c r="F729">
        <v>1.1123000000000001E-3</v>
      </c>
      <c r="G729">
        <v>1.04145043E-3</v>
      </c>
      <c r="H729">
        <v>1.05074573E-3</v>
      </c>
      <c r="I729">
        <v>1.0761505500000001E-3</v>
      </c>
      <c r="J729">
        <v>1.0375977159999899E-3</v>
      </c>
      <c r="K729">
        <v>1.013939212E-3</v>
      </c>
      <c r="L729" s="8">
        <v>9.8378882299999994E-4</v>
      </c>
      <c r="M729" s="8">
        <v>9.4458023600000002E-4</v>
      </c>
      <c r="N729" s="8">
        <v>9.0870299999999996E-4</v>
      </c>
      <c r="O729">
        <v>0</v>
      </c>
      <c r="P729">
        <v>0</v>
      </c>
      <c r="Q729">
        <v>0</v>
      </c>
      <c r="R729" t="s">
        <v>243</v>
      </c>
    </row>
    <row r="730" spans="1:18" x14ac:dyDescent="0.3">
      <c r="A730" t="s">
        <v>259</v>
      </c>
      <c r="B730" t="s">
        <v>18</v>
      </c>
      <c r="C730" t="s">
        <v>262</v>
      </c>
      <c r="D730">
        <v>1.1236214899999999E-2</v>
      </c>
      <c r="E730">
        <v>1.3397657E-2</v>
      </c>
      <c r="F730">
        <v>1.5223871999999999E-2</v>
      </c>
      <c r="G730">
        <v>1.2466167E-2</v>
      </c>
      <c r="H730">
        <v>1.1759397810000001E-2</v>
      </c>
      <c r="I730">
        <v>1.1597490073899999E-2</v>
      </c>
      <c r="J730">
        <v>1.1051622049599899E-2</v>
      </c>
      <c r="K730">
        <v>9.46675739519999E-3</v>
      </c>
      <c r="L730">
        <v>8.6559380375999997E-3</v>
      </c>
      <c r="M730">
        <v>8.0928543992999993E-3</v>
      </c>
      <c r="N730">
        <v>7.5204540449999996E-3</v>
      </c>
      <c r="O730">
        <v>0</v>
      </c>
      <c r="P730">
        <v>0</v>
      </c>
      <c r="Q730">
        <v>0</v>
      </c>
      <c r="R730" t="s">
        <v>243</v>
      </c>
    </row>
    <row r="731" spans="1:18" x14ac:dyDescent="0.3">
      <c r="A731" t="s">
        <v>259</v>
      </c>
      <c r="B731" t="s">
        <v>18</v>
      </c>
      <c r="C731" t="s">
        <v>263</v>
      </c>
      <c r="D731">
        <v>6.0453175799999898E-2</v>
      </c>
      <c r="E731">
        <v>6.6615820000000006E-2</v>
      </c>
      <c r="F731">
        <v>6.790156E-2</v>
      </c>
      <c r="G731">
        <v>5.9350109999999998E-2</v>
      </c>
      <c r="H731">
        <v>5.9257454000000001E-2</v>
      </c>
      <c r="I731">
        <v>6.1929713029999903E-2</v>
      </c>
      <c r="J731">
        <v>6.3288371800000007E-2</v>
      </c>
      <c r="K731">
        <v>6.3338377899999895E-2</v>
      </c>
      <c r="L731">
        <v>6.3136291799999994E-2</v>
      </c>
      <c r="M731">
        <v>6.2659696299999998E-2</v>
      </c>
      <c r="N731">
        <v>6.2078066399999902E-2</v>
      </c>
      <c r="O731">
        <v>0</v>
      </c>
      <c r="P731">
        <v>0</v>
      </c>
      <c r="Q731">
        <v>0</v>
      </c>
      <c r="R731" t="s">
        <v>243</v>
      </c>
    </row>
    <row r="732" spans="1:18" x14ac:dyDescent="0.3">
      <c r="A732" t="s">
        <v>259</v>
      </c>
      <c r="B732" t="s">
        <v>18</v>
      </c>
      <c r="C732" t="s">
        <v>324</v>
      </c>
      <c r="D732" s="8">
        <v>5.8956000000000003E-5</v>
      </c>
      <c r="E732">
        <v>0</v>
      </c>
      <c r="F732" s="8">
        <v>1.5789499999999999E-6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243</v>
      </c>
    </row>
    <row r="733" spans="1:18" x14ac:dyDescent="0.3">
      <c r="A733" t="s">
        <v>259</v>
      </c>
      <c r="B733" t="s">
        <v>18</v>
      </c>
      <c r="C733" t="s">
        <v>325</v>
      </c>
      <c r="D733" s="8">
        <v>2.68291E-6</v>
      </c>
      <c r="E733">
        <v>0</v>
      </c>
      <c r="F733" s="8">
        <v>6.0170300000000005E-8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243</v>
      </c>
    </row>
    <row r="734" spans="1:18" x14ac:dyDescent="0.3">
      <c r="A734" t="s">
        <v>259</v>
      </c>
      <c r="B734" t="s">
        <v>18</v>
      </c>
      <c r="C734" t="s">
        <v>326</v>
      </c>
      <c r="D734" s="8">
        <v>3.2652399999999999E-5</v>
      </c>
      <c r="E734">
        <v>0</v>
      </c>
      <c r="F734" s="8">
        <v>7.9881300000000002E-7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243</v>
      </c>
    </row>
    <row r="735" spans="1:18" x14ac:dyDescent="0.3">
      <c r="A735" t="s">
        <v>259</v>
      </c>
      <c r="B735" t="s">
        <v>18</v>
      </c>
      <c r="C735" t="s">
        <v>327</v>
      </c>
      <c r="D735" s="8">
        <v>2.2288799999999999E-5</v>
      </c>
      <c r="E735">
        <v>0</v>
      </c>
      <c r="F735" s="8">
        <v>5.5190700000000005E-7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243</v>
      </c>
    </row>
    <row r="736" spans="1:18" x14ac:dyDescent="0.3">
      <c r="A736" t="s">
        <v>259</v>
      </c>
      <c r="B736" t="s">
        <v>18</v>
      </c>
      <c r="C736" t="s">
        <v>328</v>
      </c>
      <c r="D736" s="8">
        <v>1.7448500000000001E-5</v>
      </c>
      <c r="E736">
        <v>0</v>
      </c>
      <c r="F736" s="8">
        <v>4.2534200000000002E-7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243</v>
      </c>
    </row>
    <row r="737" spans="1:18" x14ac:dyDescent="0.3">
      <c r="A737" t="s">
        <v>259</v>
      </c>
      <c r="B737" t="s">
        <v>18</v>
      </c>
      <c r="C737" t="s">
        <v>329</v>
      </c>
      <c r="D737" s="8">
        <v>1.40443E-5</v>
      </c>
      <c r="E737">
        <v>0</v>
      </c>
      <c r="F737" s="8">
        <v>3.4027400000000002E-7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243</v>
      </c>
    </row>
    <row r="738" spans="1:18" x14ac:dyDescent="0.3">
      <c r="A738" t="s">
        <v>259</v>
      </c>
      <c r="B738" t="s">
        <v>18</v>
      </c>
      <c r="C738" t="s">
        <v>330</v>
      </c>
      <c r="D738" s="8">
        <v>1.1450800000000001E-5</v>
      </c>
      <c r="E738">
        <v>0</v>
      </c>
      <c r="F738" s="8">
        <v>2.7802800000000001E-7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243</v>
      </c>
    </row>
    <row r="739" spans="1:18" x14ac:dyDescent="0.3">
      <c r="A739" t="s">
        <v>259</v>
      </c>
      <c r="B739" t="s">
        <v>18</v>
      </c>
      <c r="C739" t="s">
        <v>331</v>
      </c>
      <c r="D739" s="8">
        <v>9.2550899999999998E-6</v>
      </c>
      <c r="E739">
        <v>0</v>
      </c>
      <c r="F739" s="8">
        <v>2.2408300000000001E-7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243</v>
      </c>
    </row>
    <row r="740" spans="1:18" x14ac:dyDescent="0.3">
      <c r="A740" t="s">
        <v>259</v>
      </c>
      <c r="B740" t="s">
        <v>18</v>
      </c>
      <c r="C740" t="s">
        <v>332</v>
      </c>
      <c r="D740" s="8">
        <v>7.3615200000000003E-6</v>
      </c>
      <c r="E740">
        <v>0</v>
      </c>
      <c r="F740" s="8">
        <v>1.78436E-7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243</v>
      </c>
    </row>
    <row r="741" spans="1:18" x14ac:dyDescent="0.3">
      <c r="A741" t="s">
        <v>259</v>
      </c>
      <c r="B741" t="s">
        <v>18</v>
      </c>
      <c r="C741" t="s">
        <v>333</v>
      </c>
      <c r="D741" s="8">
        <v>5.3424199999999996E-6</v>
      </c>
      <c r="E741">
        <v>0</v>
      </c>
      <c r="F741" s="8">
        <v>1.2863999999999999E-7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243</v>
      </c>
    </row>
    <row r="742" spans="1:18" x14ac:dyDescent="0.3">
      <c r="A742" t="s">
        <v>259</v>
      </c>
      <c r="B742" t="s">
        <v>18</v>
      </c>
      <c r="C742" t="s">
        <v>264</v>
      </c>
      <c r="D742" s="8">
        <v>3.0456329999999998E-4</v>
      </c>
      <c r="E742" s="8">
        <v>5.9689699999999999E-4</v>
      </c>
      <c r="F742" s="8">
        <v>7.5550539999999998E-4</v>
      </c>
      <c r="G742" s="8">
        <v>7.9141270000000004E-4</v>
      </c>
      <c r="H742" s="8">
        <v>6.9144149999999995E-4</v>
      </c>
      <c r="I742" s="8">
        <v>7.8657734999999904E-4</v>
      </c>
      <c r="J742" s="8">
        <v>9.3631205000000003E-4</v>
      </c>
      <c r="K742" s="8">
        <v>9.9258398999999909E-4</v>
      </c>
      <c r="L742">
        <v>1.0109771300000001E-3</v>
      </c>
      <c r="M742">
        <v>1.0024678799999999E-3</v>
      </c>
      <c r="N742">
        <v>1.0013997999999899E-3</v>
      </c>
      <c r="O742">
        <v>0</v>
      </c>
      <c r="P742">
        <v>0</v>
      </c>
      <c r="Q742">
        <v>0</v>
      </c>
      <c r="R742" t="s">
        <v>243</v>
      </c>
    </row>
    <row r="743" spans="1:18" x14ac:dyDescent="0.3">
      <c r="A743" t="s">
        <v>259</v>
      </c>
      <c r="B743" t="s">
        <v>18</v>
      </c>
      <c r="C743" t="s">
        <v>265</v>
      </c>
      <c r="D743">
        <v>2.2278491999999902E-3</v>
      </c>
      <c r="E743">
        <v>3.5840870000000001E-3</v>
      </c>
      <c r="F743">
        <v>4.5545619999999998E-3</v>
      </c>
      <c r="G743">
        <v>4.2216564999999996E-3</v>
      </c>
      <c r="H743">
        <v>3.8363646999999999E-3</v>
      </c>
      <c r="I743">
        <v>4.1439362E-3</v>
      </c>
      <c r="J743">
        <v>4.3444134899999999E-3</v>
      </c>
      <c r="K743">
        <v>4.4579151200000002E-3</v>
      </c>
      <c r="L743">
        <v>4.4377142099999997E-3</v>
      </c>
      <c r="M743">
        <v>4.3169392099999997E-3</v>
      </c>
      <c r="N743">
        <v>4.2047010399999998E-3</v>
      </c>
      <c r="O743">
        <v>0</v>
      </c>
      <c r="P743">
        <v>0</v>
      </c>
      <c r="Q743">
        <v>0</v>
      </c>
      <c r="R743" t="s">
        <v>243</v>
      </c>
    </row>
    <row r="744" spans="1:18" x14ac:dyDescent="0.3">
      <c r="A744" t="s">
        <v>259</v>
      </c>
      <c r="B744" t="s">
        <v>18</v>
      </c>
      <c r="C744" t="s">
        <v>266</v>
      </c>
      <c r="D744" s="8">
        <v>4.7465860000000002E-4</v>
      </c>
      <c r="E744" s="8">
        <v>9.661715E-4</v>
      </c>
      <c r="F744">
        <v>1.2263540999999901E-3</v>
      </c>
      <c r="G744">
        <v>1.29438409999999E-3</v>
      </c>
      <c r="H744">
        <v>1.09385047999999E-3</v>
      </c>
      <c r="I744">
        <v>1.22766977E-3</v>
      </c>
      <c r="J744">
        <v>1.4351227399999999E-3</v>
      </c>
      <c r="K744">
        <v>1.52387333E-3</v>
      </c>
      <c r="L744">
        <v>1.55236441E-3</v>
      </c>
      <c r="M744">
        <v>1.5407838799999999E-3</v>
      </c>
      <c r="N744">
        <v>1.5398509399999899E-3</v>
      </c>
      <c r="O744">
        <v>0</v>
      </c>
      <c r="P744">
        <v>0</v>
      </c>
      <c r="Q744">
        <v>0</v>
      </c>
      <c r="R744" t="s">
        <v>243</v>
      </c>
    </row>
    <row r="745" spans="1:18" x14ac:dyDescent="0.3">
      <c r="A745" t="s">
        <v>259</v>
      </c>
      <c r="B745" t="s">
        <v>18</v>
      </c>
      <c r="C745" t="s">
        <v>267</v>
      </c>
      <c r="D745" s="8">
        <v>6.2490159999999996E-4</v>
      </c>
      <c r="E745">
        <v>1.2136553E-3</v>
      </c>
      <c r="F745">
        <v>1.56907099999999E-3</v>
      </c>
      <c r="G745">
        <v>1.6586432999999999E-3</v>
      </c>
      <c r="H745">
        <v>1.31420508E-3</v>
      </c>
      <c r="I745">
        <v>1.5830262299999999E-3</v>
      </c>
      <c r="J745">
        <v>1.8177261799999999E-3</v>
      </c>
      <c r="K745">
        <v>1.91774039E-3</v>
      </c>
      <c r="L745">
        <v>1.94525042E-3</v>
      </c>
      <c r="M745">
        <v>1.9220163E-3</v>
      </c>
      <c r="N745">
        <v>1.9120200799999901E-3</v>
      </c>
      <c r="O745">
        <v>0</v>
      </c>
      <c r="P745">
        <v>0</v>
      </c>
      <c r="Q745">
        <v>0</v>
      </c>
      <c r="R745" t="s">
        <v>243</v>
      </c>
    </row>
    <row r="746" spans="1:18" x14ac:dyDescent="0.3">
      <c r="A746" t="s">
        <v>259</v>
      </c>
      <c r="B746" t="s">
        <v>18</v>
      </c>
      <c r="C746" t="s">
        <v>268</v>
      </c>
      <c r="D746" s="8">
        <v>7.4124170000000004E-4</v>
      </c>
      <c r="E746">
        <v>1.4182687999999999E-3</v>
      </c>
      <c r="F746">
        <v>1.8495852E-3</v>
      </c>
      <c r="G746">
        <v>1.951288E-3</v>
      </c>
      <c r="H746">
        <v>1.55635917E-3</v>
      </c>
      <c r="I746">
        <v>1.85451633E-3</v>
      </c>
      <c r="J746">
        <v>2.10811147999999E-3</v>
      </c>
      <c r="K746">
        <v>2.22082698E-3</v>
      </c>
      <c r="L746">
        <v>2.25224694999999E-3</v>
      </c>
      <c r="M746">
        <v>2.22567443E-3</v>
      </c>
      <c r="N746">
        <v>2.2109902900000001E-3</v>
      </c>
      <c r="O746">
        <v>0</v>
      </c>
      <c r="P746">
        <v>0</v>
      </c>
      <c r="Q746">
        <v>0</v>
      </c>
      <c r="R746" t="s">
        <v>243</v>
      </c>
    </row>
    <row r="747" spans="1:18" x14ac:dyDescent="0.3">
      <c r="A747" t="s">
        <v>259</v>
      </c>
      <c r="B747" t="s">
        <v>18</v>
      </c>
      <c r="C747" t="s">
        <v>269</v>
      </c>
      <c r="D747" s="8">
        <v>8.5878979999999897E-4</v>
      </c>
      <c r="E747">
        <v>1.6222302E-3</v>
      </c>
      <c r="F747">
        <v>2.1104037000000001E-3</v>
      </c>
      <c r="G747">
        <v>2.2072556999999998E-3</v>
      </c>
      <c r="H747">
        <v>1.78551138E-3</v>
      </c>
      <c r="I747">
        <v>2.1107798E-3</v>
      </c>
      <c r="J747">
        <v>2.3801762800000001E-3</v>
      </c>
      <c r="K747">
        <v>2.5008373999999998E-3</v>
      </c>
      <c r="L747">
        <v>2.53532938E-3</v>
      </c>
      <c r="M747">
        <v>2.5028605200000001E-3</v>
      </c>
      <c r="N747">
        <v>2.4812819700000001E-3</v>
      </c>
      <c r="O747">
        <v>0</v>
      </c>
      <c r="P747">
        <v>0</v>
      </c>
      <c r="Q747">
        <v>0</v>
      </c>
      <c r="R747" t="s">
        <v>243</v>
      </c>
    </row>
    <row r="748" spans="1:18" x14ac:dyDescent="0.3">
      <c r="A748" t="s">
        <v>259</v>
      </c>
      <c r="B748" t="s">
        <v>18</v>
      </c>
      <c r="C748" t="s">
        <v>270</v>
      </c>
      <c r="D748" s="8">
        <v>9.826221999999999E-4</v>
      </c>
      <c r="E748">
        <v>1.8272640000000001E-3</v>
      </c>
      <c r="F748">
        <v>2.3745033000000001E-3</v>
      </c>
      <c r="G748">
        <v>2.4621097999999999E-3</v>
      </c>
      <c r="H748">
        <v>2.0208315999999901E-3</v>
      </c>
      <c r="I748">
        <v>2.3655827499999998E-3</v>
      </c>
      <c r="J748">
        <v>2.6433424699999898E-3</v>
      </c>
      <c r="K748">
        <v>2.7726457700000002E-3</v>
      </c>
      <c r="L748">
        <v>2.8038838699999901E-3</v>
      </c>
      <c r="M748">
        <v>2.7659381299999998E-3</v>
      </c>
      <c r="N748">
        <v>2.7383730999999902E-3</v>
      </c>
      <c r="O748">
        <v>0</v>
      </c>
      <c r="P748">
        <v>0</v>
      </c>
      <c r="Q748">
        <v>0</v>
      </c>
      <c r="R748" t="s">
        <v>243</v>
      </c>
    </row>
    <row r="749" spans="1:18" x14ac:dyDescent="0.3">
      <c r="A749" t="s">
        <v>259</v>
      </c>
      <c r="B749" t="s">
        <v>18</v>
      </c>
      <c r="C749" t="s">
        <v>271</v>
      </c>
      <c r="D749">
        <v>1.1259355E-3</v>
      </c>
      <c r="E749">
        <v>2.0492461999999999E-3</v>
      </c>
      <c r="F749">
        <v>2.6618253999999902E-3</v>
      </c>
      <c r="G749">
        <v>2.7214450999999899E-3</v>
      </c>
      <c r="H749">
        <v>2.2764827E-3</v>
      </c>
      <c r="I749">
        <v>2.6356775900000001E-3</v>
      </c>
      <c r="J749">
        <v>2.91938989999999E-3</v>
      </c>
      <c r="K749">
        <v>3.0530468599999998E-3</v>
      </c>
      <c r="L749">
        <v>3.08208869999999E-3</v>
      </c>
      <c r="M749">
        <v>3.0331389100000002E-3</v>
      </c>
      <c r="N749">
        <v>2.9928153199999998E-3</v>
      </c>
      <c r="O749">
        <v>0</v>
      </c>
      <c r="P749">
        <v>0</v>
      </c>
      <c r="Q749">
        <v>0</v>
      </c>
      <c r="R749" t="s">
        <v>243</v>
      </c>
    </row>
    <row r="750" spans="1:18" x14ac:dyDescent="0.3">
      <c r="A750" t="s">
        <v>259</v>
      </c>
      <c r="B750" t="s">
        <v>18</v>
      </c>
      <c r="C750" t="s">
        <v>272</v>
      </c>
      <c r="D750">
        <v>1.2965155999999901E-3</v>
      </c>
      <c r="E750">
        <v>2.3180673999999902E-3</v>
      </c>
      <c r="F750">
        <v>2.9985503999999902E-3</v>
      </c>
      <c r="G750">
        <v>3.0421433999999999E-3</v>
      </c>
      <c r="H750">
        <v>2.5699987999999998E-3</v>
      </c>
      <c r="I750">
        <v>2.9450152599999899E-3</v>
      </c>
      <c r="J750">
        <v>3.2319876000000002E-3</v>
      </c>
      <c r="K750">
        <v>3.3676345699999999E-3</v>
      </c>
      <c r="L750">
        <v>3.3883629399999999E-3</v>
      </c>
      <c r="M750">
        <v>3.3253288299999999E-3</v>
      </c>
      <c r="N750">
        <v>3.2733875999999898E-3</v>
      </c>
      <c r="O750">
        <v>0</v>
      </c>
      <c r="P750">
        <v>0</v>
      </c>
      <c r="Q750">
        <v>0</v>
      </c>
      <c r="R750" t="s">
        <v>243</v>
      </c>
    </row>
    <row r="751" spans="1:18" x14ac:dyDescent="0.3">
      <c r="A751" t="s">
        <v>259</v>
      </c>
      <c r="B751" t="s">
        <v>18</v>
      </c>
      <c r="C751" t="s">
        <v>273</v>
      </c>
      <c r="D751">
        <v>1.5631752E-3</v>
      </c>
      <c r="E751">
        <v>2.6991636999999999E-3</v>
      </c>
      <c r="F751">
        <v>3.4702394000000001E-3</v>
      </c>
      <c r="G751">
        <v>3.4113286999999902E-3</v>
      </c>
      <c r="H751">
        <v>2.9617118E-3</v>
      </c>
      <c r="I751">
        <v>3.3400002000000002E-3</v>
      </c>
      <c r="J751">
        <v>3.6160175300000001E-3</v>
      </c>
      <c r="K751">
        <v>3.7536066899999999E-3</v>
      </c>
      <c r="L751">
        <v>3.7691338699999901E-3</v>
      </c>
      <c r="M751">
        <v>3.6933217800000002E-3</v>
      </c>
      <c r="N751">
        <v>3.62527680999999E-3</v>
      </c>
      <c r="O751">
        <v>0</v>
      </c>
      <c r="P751">
        <v>0</v>
      </c>
      <c r="Q751">
        <v>0</v>
      </c>
      <c r="R751" t="s">
        <v>243</v>
      </c>
    </row>
    <row r="752" spans="1:18" x14ac:dyDescent="0.3">
      <c r="A752" t="s">
        <v>259</v>
      </c>
      <c r="B752" t="s">
        <v>18</v>
      </c>
      <c r="C752" t="s">
        <v>274</v>
      </c>
      <c r="D752" s="8">
        <v>4.4806200000000002E-9</v>
      </c>
      <c r="E752" s="8">
        <v>5.3274800000000003E-9</v>
      </c>
      <c r="F752" s="8">
        <v>5.1832199999999998E-9</v>
      </c>
      <c r="G752" s="8">
        <v>4.4822600000000002E-9</v>
      </c>
      <c r="H752" s="8">
        <v>6.8781299999999997E-9</v>
      </c>
      <c r="I752" s="8">
        <v>6.4902469999999999E-9</v>
      </c>
      <c r="J752" s="8">
        <v>6.01056099999999E-9</v>
      </c>
      <c r="K752" s="8">
        <v>6.3156899999999997E-9</v>
      </c>
      <c r="L752" s="8">
        <v>6.6431090000000003E-9</v>
      </c>
      <c r="M752" s="8">
        <v>6.8813529999999997E-9</v>
      </c>
      <c r="N752" s="8">
        <v>7.1388229999999902E-9</v>
      </c>
      <c r="O752">
        <v>0</v>
      </c>
      <c r="P752">
        <v>0</v>
      </c>
      <c r="Q752">
        <v>0</v>
      </c>
      <c r="R752" t="s">
        <v>243</v>
      </c>
    </row>
    <row r="753" spans="1:18" x14ac:dyDescent="0.3">
      <c r="A753" t="s">
        <v>259</v>
      </c>
      <c r="B753" t="s">
        <v>18</v>
      </c>
      <c r="C753" t="s">
        <v>275</v>
      </c>
      <c r="D753" s="8">
        <v>5.1207200000000001E-8</v>
      </c>
      <c r="E753" s="8">
        <v>6.5113600000000001E-8</v>
      </c>
      <c r="F753" s="8">
        <v>6.3350600000000001E-8</v>
      </c>
      <c r="G753" s="8">
        <v>6.2191399999999999E-8</v>
      </c>
      <c r="H753" s="8">
        <v>8.0409899999999998E-8</v>
      </c>
      <c r="I753" s="8">
        <v>8.6841799999999993E-8</v>
      </c>
      <c r="J753" s="8">
        <v>8.2652889999999898E-8</v>
      </c>
      <c r="K753" s="8">
        <v>8.662526E-8</v>
      </c>
      <c r="L753" s="8">
        <v>8.9791139999999899E-8</v>
      </c>
      <c r="M753" s="8">
        <v>9.1872989999999995E-8</v>
      </c>
      <c r="N753" s="8">
        <v>9.3858360000000001E-8</v>
      </c>
      <c r="O753">
        <v>0</v>
      </c>
      <c r="P753">
        <v>0</v>
      </c>
      <c r="Q753">
        <v>0</v>
      </c>
      <c r="R753" t="s">
        <v>243</v>
      </c>
    </row>
    <row r="754" spans="1:18" x14ac:dyDescent="0.3">
      <c r="A754" t="s">
        <v>259</v>
      </c>
      <c r="B754" t="s">
        <v>18</v>
      </c>
      <c r="C754" t="s">
        <v>276</v>
      </c>
      <c r="D754" s="8">
        <v>7.6810600000000004E-9</v>
      </c>
      <c r="E754" s="8">
        <v>9.4710600000000002E-9</v>
      </c>
      <c r="F754" s="8">
        <v>8.6387000000000008E-9</v>
      </c>
      <c r="G754" s="8">
        <v>8.4042400000000007E-9</v>
      </c>
      <c r="H754" s="8">
        <v>1.2007849999999999E-8</v>
      </c>
      <c r="I754" s="8">
        <v>1.148994E-8</v>
      </c>
      <c r="J754" s="8">
        <v>1.0688971E-8</v>
      </c>
      <c r="K754" s="8">
        <v>1.1251637999999999E-8</v>
      </c>
      <c r="L754" s="8">
        <v>1.1799800999999999E-8</v>
      </c>
      <c r="M754" s="8">
        <v>1.2205873999999901E-8</v>
      </c>
      <c r="N754" s="8">
        <v>1.2651710999999899E-8</v>
      </c>
      <c r="O754">
        <v>0</v>
      </c>
      <c r="P754">
        <v>0</v>
      </c>
      <c r="Q754">
        <v>0</v>
      </c>
      <c r="R754" t="s">
        <v>243</v>
      </c>
    </row>
    <row r="755" spans="1:18" x14ac:dyDescent="0.3">
      <c r="A755" t="s">
        <v>259</v>
      </c>
      <c r="B755" t="s">
        <v>18</v>
      </c>
      <c r="C755" t="s">
        <v>277</v>
      </c>
      <c r="D755" s="8">
        <v>1.024142E-8</v>
      </c>
      <c r="E755" s="8">
        <v>1.243078E-8</v>
      </c>
      <c r="F755" s="8">
        <v>1.209418E-8</v>
      </c>
      <c r="G755" s="8">
        <v>1.120566E-8</v>
      </c>
      <c r="H755" s="8">
        <v>1.476403E-8</v>
      </c>
      <c r="I755" s="8">
        <v>1.5740769999999899E-8</v>
      </c>
      <c r="J755" s="8">
        <v>1.480902E-8</v>
      </c>
      <c r="K755" s="8">
        <v>1.5549666E-8</v>
      </c>
      <c r="L755" s="8">
        <v>1.6170156999999999E-8</v>
      </c>
      <c r="M755" s="8">
        <v>1.6626445999999999E-8</v>
      </c>
      <c r="N755" s="8">
        <v>1.71404969999999E-8</v>
      </c>
      <c r="O755">
        <v>0</v>
      </c>
      <c r="P755">
        <v>0</v>
      </c>
      <c r="Q755">
        <v>0</v>
      </c>
      <c r="R755" t="s">
        <v>243</v>
      </c>
    </row>
    <row r="756" spans="1:18" x14ac:dyDescent="0.3">
      <c r="A756" t="s">
        <v>259</v>
      </c>
      <c r="B756" t="s">
        <v>18</v>
      </c>
      <c r="C756" t="s">
        <v>278</v>
      </c>
      <c r="D756" s="8">
        <v>1.21617E-8</v>
      </c>
      <c r="E756" s="8">
        <v>1.479854E-8</v>
      </c>
      <c r="F756" s="8">
        <v>1.439784E-8</v>
      </c>
      <c r="G756" s="8">
        <v>1.400708E-8</v>
      </c>
      <c r="H756" s="8">
        <v>1.8292119999999899E-8</v>
      </c>
      <c r="I756" s="8">
        <v>1.9527409999999998E-8</v>
      </c>
      <c r="J756" s="8">
        <v>1.8364279999999899E-8</v>
      </c>
      <c r="K756" s="8">
        <v>1.928233E-8</v>
      </c>
      <c r="L756" s="8">
        <v>2.0067710000000002E-8</v>
      </c>
      <c r="M756" s="8">
        <v>2.0655789999999999E-8</v>
      </c>
      <c r="N756" s="8">
        <v>2.1282726000000001E-8</v>
      </c>
      <c r="O756">
        <v>0</v>
      </c>
      <c r="P756">
        <v>0</v>
      </c>
      <c r="Q756">
        <v>0</v>
      </c>
      <c r="R756" t="s">
        <v>243</v>
      </c>
    </row>
    <row r="757" spans="1:18" x14ac:dyDescent="0.3">
      <c r="A757" t="s">
        <v>259</v>
      </c>
      <c r="B757" t="s">
        <v>18</v>
      </c>
      <c r="C757" t="s">
        <v>279</v>
      </c>
      <c r="D757" s="8">
        <v>1.4722040000000001E-8</v>
      </c>
      <c r="E757" s="8">
        <v>1.775824E-8</v>
      </c>
      <c r="F757" s="8">
        <v>1.7277420000000001E-8</v>
      </c>
      <c r="G757" s="8">
        <v>1.6808480000000001E-8</v>
      </c>
      <c r="H757" s="8">
        <v>2.1977330000000001E-8</v>
      </c>
      <c r="I757" s="8">
        <v>2.3494589999999899E-8</v>
      </c>
      <c r="J757" s="8">
        <v>2.210271E-8</v>
      </c>
      <c r="K757" s="8">
        <v>2.3171299999999999E-8</v>
      </c>
      <c r="L757" s="8">
        <v>2.414246E-8</v>
      </c>
      <c r="M757" s="8">
        <v>2.4843629999999999E-8</v>
      </c>
      <c r="N757" s="8">
        <v>2.5565780000000001E-8</v>
      </c>
      <c r="O757">
        <v>0</v>
      </c>
      <c r="P757">
        <v>0</v>
      </c>
      <c r="Q757">
        <v>0</v>
      </c>
      <c r="R757" t="s">
        <v>243</v>
      </c>
    </row>
    <row r="758" spans="1:18" x14ac:dyDescent="0.3">
      <c r="A758" t="s">
        <v>259</v>
      </c>
      <c r="B758" t="s">
        <v>18</v>
      </c>
      <c r="C758" t="s">
        <v>280</v>
      </c>
      <c r="D758" s="8">
        <v>1.7282400000000001E-8</v>
      </c>
      <c r="E758" s="8">
        <v>2.0718000000000001E-8</v>
      </c>
      <c r="F758" s="8">
        <v>2.0157E-8</v>
      </c>
      <c r="G758" s="8">
        <v>1.9609899999999999E-8</v>
      </c>
      <c r="H758" s="8">
        <v>2.5866050000000001E-8</v>
      </c>
      <c r="I758" s="8">
        <v>2.775575E-8</v>
      </c>
      <c r="J758" s="8">
        <v>2.618167E-8</v>
      </c>
      <c r="K758" s="8">
        <v>2.7455720000000001E-8</v>
      </c>
      <c r="L758" s="8">
        <v>2.855222E-8</v>
      </c>
      <c r="M758" s="8">
        <v>2.9399119999999999E-8</v>
      </c>
      <c r="N758" s="8">
        <v>3.0258769999999999E-8</v>
      </c>
      <c r="O758">
        <v>0</v>
      </c>
      <c r="P758">
        <v>0</v>
      </c>
      <c r="Q758">
        <v>0</v>
      </c>
      <c r="R758" t="s">
        <v>243</v>
      </c>
    </row>
    <row r="759" spans="1:18" x14ac:dyDescent="0.3">
      <c r="A759" t="s">
        <v>259</v>
      </c>
      <c r="B759" t="s">
        <v>18</v>
      </c>
      <c r="C759" t="s">
        <v>281</v>
      </c>
      <c r="D759" s="8">
        <v>1.9842760000000001E-8</v>
      </c>
      <c r="E759" s="8">
        <v>2.42696E-8</v>
      </c>
      <c r="F759" s="8">
        <v>2.3612399999999998E-8</v>
      </c>
      <c r="G759" s="8">
        <v>2.29716E-8</v>
      </c>
      <c r="H759" s="8">
        <v>3.0646569999999998E-8</v>
      </c>
      <c r="I759" s="8">
        <v>3.2885570000000003E-8</v>
      </c>
      <c r="J759" s="8">
        <v>3.1084609999999998E-8</v>
      </c>
      <c r="K759" s="8">
        <v>3.2553670000000002E-8</v>
      </c>
      <c r="L759" s="8">
        <v>3.3849400000000003E-8</v>
      </c>
      <c r="M759" s="8">
        <v>3.4786869999999997E-8</v>
      </c>
      <c r="N759" s="8">
        <v>3.5689479999999997E-8</v>
      </c>
      <c r="O759">
        <v>0</v>
      </c>
      <c r="P759">
        <v>0</v>
      </c>
      <c r="Q759">
        <v>0</v>
      </c>
      <c r="R759" t="s">
        <v>243</v>
      </c>
    </row>
    <row r="760" spans="1:18" x14ac:dyDescent="0.3">
      <c r="A760" t="s">
        <v>259</v>
      </c>
      <c r="B760" t="s">
        <v>18</v>
      </c>
      <c r="C760" t="s">
        <v>282</v>
      </c>
      <c r="D760" s="8">
        <v>2.3683199999999999E-8</v>
      </c>
      <c r="E760" s="8">
        <v>2.9005200000000002E-8</v>
      </c>
      <c r="F760" s="8">
        <v>2.87956E-8</v>
      </c>
      <c r="G760" s="8">
        <v>2.8014199999999999E-8</v>
      </c>
      <c r="H760" s="8">
        <v>3.6887439999999999E-8</v>
      </c>
      <c r="I760" s="8">
        <v>3.9721799999999999E-8</v>
      </c>
      <c r="J760" s="8">
        <v>3.7631159999999999E-8</v>
      </c>
      <c r="K760" s="8">
        <v>3.939362E-8</v>
      </c>
      <c r="L760" s="8">
        <v>4.0861930000000003E-8</v>
      </c>
      <c r="M760" s="8">
        <v>4.1897629999999997E-8</v>
      </c>
      <c r="N760" s="8">
        <v>4.2953589999999997E-8</v>
      </c>
      <c r="O760">
        <v>0</v>
      </c>
      <c r="P760">
        <v>0</v>
      </c>
      <c r="Q760">
        <v>0</v>
      </c>
      <c r="R760" t="s">
        <v>243</v>
      </c>
    </row>
    <row r="761" spans="1:18" x14ac:dyDescent="0.3">
      <c r="A761" t="s">
        <v>259</v>
      </c>
      <c r="B761" t="s">
        <v>18</v>
      </c>
      <c r="C761" t="s">
        <v>283</v>
      </c>
      <c r="D761" s="8">
        <v>3.0724200000000002E-8</v>
      </c>
      <c r="E761" s="8">
        <v>3.7292400000000002E-8</v>
      </c>
      <c r="F761" s="8">
        <v>3.62826E-8</v>
      </c>
      <c r="G761" s="8">
        <v>3.5297799999999999E-8</v>
      </c>
      <c r="H761" s="8">
        <v>4.6845099999999999E-8</v>
      </c>
      <c r="I761" s="8">
        <v>5.0506290000000002E-8</v>
      </c>
      <c r="J761" s="8">
        <v>4.7917240000000002E-8</v>
      </c>
      <c r="K761" s="8">
        <v>5.023826E-8</v>
      </c>
      <c r="L761" s="8">
        <v>5.2257160000000001E-8</v>
      </c>
      <c r="M761" s="8">
        <v>5.3717849999999997E-8</v>
      </c>
      <c r="N761" s="8">
        <v>5.5112289999999997E-8</v>
      </c>
      <c r="O761">
        <v>0</v>
      </c>
      <c r="P761">
        <v>0</v>
      </c>
      <c r="Q761">
        <v>0</v>
      </c>
      <c r="R761" t="s">
        <v>243</v>
      </c>
    </row>
    <row r="762" spans="1:18" x14ac:dyDescent="0.3">
      <c r="A762" t="s">
        <v>259</v>
      </c>
      <c r="B762" t="s">
        <v>18</v>
      </c>
      <c r="C762" t="s">
        <v>334</v>
      </c>
      <c r="D762" s="8">
        <v>5.8744099999999999E-5</v>
      </c>
      <c r="E762">
        <v>0</v>
      </c>
      <c r="F762" s="8">
        <v>1.5878300000000001E-6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243</v>
      </c>
    </row>
    <row r="763" spans="1:18" x14ac:dyDescent="0.3">
      <c r="A763" t="s">
        <v>259</v>
      </c>
      <c r="B763" t="s">
        <v>18</v>
      </c>
      <c r="C763" t="s">
        <v>335</v>
      </c>
      <c r="D763" s="8">
        <v>2.7126999999999999E-6</v>
      </c>
      <c r="E763">
        <v>0</v>
      </c>
      <c r="F763" s="8">
        <v>6.1957000000000003E-8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243</v>
      </c>
    </row>
    <row r="764" spans="1:18" x14ac:dyDescent="0.3">
      <c r="A764" t="s">
        <v>259</v>
      </c>
      <c r="B764" t="s">
        <v>18</v>
      </c>
      <c r="C764" t="s">
        <v>336</v>
      </c>
      <c r="D764" s="8">
        <v>3.2630699999999999E-5</v>
      </c>
      <c r="E764">
        <v>0</v>
      </c>
      <c r="F764" s="8">
        <v>8.0688199999999999E-7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243</v>
      </c>
    </row>
    <row r="765" spans="1:18" x14ac:dyDescent="0.3">
      <c r="A765" t="s">
        <v>259</v>
      </c>
      <c r="B765" t="s">
        <v>18</v>
      </c>
      <c r="C765" t="s">
        <v>337</v>
      </c>
      <c r="D765" s="8">
        <v>2.2314799999999999E-5</v>
      </c>
      <c r="E765">
        <v>0</v>
      </c>
      <c r="F765" s="8">
        <v>5.57613E-7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243</v>
      </c>
    </row>
    <row r="766" spans="1:18" x14ac:dyDescent="0.3">
      <c r="A766" t="s">
        <v>259</v>
      </c>
      <c r="B766" t="s">
        <v>18</v>
      </c>
      <c r="C766" t="s">
        <v>338</v>
      </c>
      <c r="D766" s="8">
        <v>1.7489199999999999E-5</v>
      </c>
      <c r="E766">
        <v>0</v>
      </c>
      <c r="F766" s="8">
        <v>4.2937599999999999E-7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243</v>
      </c>
    </row>
    <row r="767" spans="1:18" x14ac:dyDescent="0.3">
      <c r="A767" t="s">
        <v>259</v>
      </c>
      <c r="B767" t="s">
        <v>18</v>
      </c>
      <c r="C767" t="s">
        <v>339</v>
      </c>
      <c r="D767" s="8">
        <v>1.4092400000000001E-5</v>
      </c>
      <c r="E767">
        <v>0</v>
      </c>
      <c r="F767" s="8">
        <v>3.4580599999999999E-7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243</v>
      </c>
    </row>
    <row r="768" spans="1:18" x14ac:dyDescent="0.3">
      <c r="A768" t="s">
        <v>259</v>
      </c>
      <c r="B768" t="s">
        <v>18</v>
      </c>
      <c r="C768" t="s">
        <v>340</v>
      </c>
      <c r="D768" s="8">
        <v>1.15009E-5</v>
      </c>
      <c r="E768">
        <v>0</v>
      </c>
      <c r="F768" s="8">
        <v>2.80968E-7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243</v>
      </c>
    </row>
    <row r="769" spans="1:18" x14ac:dyDescent="0.3">
      <c r="A769" t="s">
        <v>259</v>
      </c>
      <c r="B769" t="s">
        <v>18</v>
      </c>
      <c r="C769" t="s">
        <v>341</v>
      </c>
      <c r="D769" s="8">
        <v>9.3053200000000002E-6</v>
      </c>
      <c r="E769">
        <v>0</v>
      </c>
      <c r="F769" s="8">
        <v>2.2765600000000001E-7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243</v>
      </c>
    </row>
    <row r="770" spans="1:18" x14ac:dyDescent="0.3">
      <c r="A770" t="s">
        <v>259</v>
      </c>
      <c r="B770" t="s">
        <v>18</v>
      </c>
      <c r="C770" t="s">
        <v>342</v>
      </c>
      <c r="D770" s="8">
        <v>7.4082100000000003E-6</v>
      </c>
      <c r="E770">
        <v>0</v>
      </c>
      <c r="F770" s="8">
        <v>1.8010799999999999E-7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243</v>
      </c>
    </row>
    <row r="771" spans="1:18" x14ac:dyDescent="0.3">
      <c r="A771" t="s">
        <v>259</v>
      </c>
      <c r="B771" t="s">
        <v>18</v>
      </c>
      <c r="C771" t="s">
        <v>343</v>
      </c>
      <c r="D771" s="8">
        <v>5.3855000000000004E-6</v>
      </c>
      <c r="E771">
        <v>0</v>
      </c>
      <c r="F771" s="8">
        <v>1.31118E-7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243</v>
      </c>
    </row>
    <row r="772" spans="1:18" x14ac:dyDescent="0.3">
      <c r="A772" t="s">
        <v>259</v>
      </c>
      <c r="B772" t="s">
        <v>18</v>
      </c>
      <c r="C772" t="s">
        <v>284</v>
      </c>
      <c r="D772">
        <v>6.3841632639999998E-3</v>
      </c>
      <c r="E772">
        <v>7.1102942900000002E-3</v>
      </c>
      <c r="F772">
        <v>7.7652836999999898E-3</v>
      </c>
      <c r="G772">
        <v>6.2049886E-3</v>
      </c>
      <c r="H772">
        <v>6.2953998999999896E-3</v>
      </c>
      <c r="I772">
        <v>6.2360564492000004E-3</v>
      </c>
      <c r="J772">
        <v>6.1624384424999899E-3</v>
      </c>
      <c r="K772">
        <v>6.0042867645999998E-3</v>
      </c>
      <c r="L772">
        <v>5.8644313567000001E-3</v>
      </c>
      <c r="M772">
        <v>5.6780053749999997E-3</v>
      </c>
      <c r="N772">
        <v>5.4701454699999904E-3</v>
      </c>
      <c r="O772">
        <v>0</v>
      </c>
      <c r="P772">
        <v>0</v>
      </c>
      <c r="Q772">
        <v>0</v>
      </c>
      <c r="R772" t="s">
        <v>243</v>
      </c>
    </row>
    <row r="773" spans="1:18" x14ac:dyDescent="0.3">
      <c r="A773" t="s">
        <v>259</v>
      </c>
      <c r="B773" t="s">
        <v>18</v>
      </c>
      <c r="C773" t="s">
        <v>285</v>
      </c>
      <c r="D773">
        <v>9.3390693000000007E-3</v>
      </c>
      <c r="E773">
        <v>1.00922122999999E-2</v>
      </c>
      <c r="F773">
        <v>1.13527921E-2</v>
      </c>
      <c r="G773">
        <v>9.3759680999999997E-3</v>
      </c>
      <c r="H773">
        <v>9.0182292000000001E-3</v>
      </c>
      <c r="I773">
        <v>9.0273615479999902E-3</v>
      </c>
      <c r="J773">
        <v>8.7273683536999904E-3</v>
      </c>
      <c r="K773">
        <v>8.3191308041999992E-3</v>
      </c>
      <c r="L773">
        <v>7.9652536647999896E-3</v>
      </c>
      <c r="M773">
        <v>7.55771142099999E-3</v>
      </c>
      <c r="N773">
        <v>7.1294652499999901E-3</v>
      </c>
      <c r="O773">
        <v>0</v>
      </c>
      <c r="P773">
        <v>0</v>
      </c>
      <c r="Q773">
        <v>0</v>
      </c>
      <c r="R773" t="s">
        <v>243</v>
      </c>
    </row>
    <row r="774" spans="1:18" x14ac:dyDescent="0.3">
      <c r="A774" t="s">
        <v>259</v>
      </c>
      <c r="B774" t="s">
        <v>18</v>
      </c>
      <c r="C774" t="s">
        <v>286</v>
      </c>
      <c r="D774">
        <v>7.2519663299999999E-3</v>
      </c>
      <c r="E774">
        <v>7.9854651999999998E-3</v>
      </c>
      <c r="F774">
        <v>8.8786044000000001E-3</v>
      </c>
      <c r="G774">
        <v>7.2521141999999997E-3</v>
      </c>
      <c r="H774">
        <v>7.1172761999999997E-3</v>
      </c>
      <c r="I774">
        <v>7.0788433119999897E-3</v>
      </c>
      <c r="J774">
        <v>6.9309919722999897E-3</v>
      </c>
      <c r="K774">
        <v>6.6903861459999998E-3</v>
      </c>
      <c r="L774">
        <v>6.4831258196E-3</v>
      </c>
      <c r="M774">
        <v>6.2293248559999997E-3</v>
      </c>
      <c r="N774">
        <v>5.9561687699999904E-3</v>
      </c>
      <c r="O774">
        <v>0</v>
      </c>
      <c r="P774">
        <v>0</v>
      </c>
      <c r="Q774">
        <v>0</v>
      </c>
      <c r="R774" t="s">
        <v>243</v>
      </c>
    </row>
    <row r="775" spans="1:18" x14ac:dyDescent="0.3">
      <c r="A775" t="s">
        <v>259</v>
      </c>
      <c r="B775" t="s">
        <v>18</v>
      </c>
      <c r="C775" t="s">
        <v>287</v>
      </c>
      <c r="D775">
        <v>7.6696859299999996E-3</v>
      </c>
      <c r="E775">
        <v>8.3221380999999994E-3</v>
      </c>
      <c r="F775">
        <v>9.3235265999999997E-3</v>
      </c>
      <c r="G775">
        <v>7.6653525999999996E-3</v>
      </c>
      <c r="H775">
        <v>7.3694822999999998E-3</v>
      </c>
      <c r="I775">
        <v>7.4478469110000004E-3</v>
      </c>
      <c r="J775">
        <v>7.2618971638000003E-3</v>
      </c>
      <c r="K775">
        <v>6.9839471203999998E-3</v>
      </c>
      <c r="L775">
        <v>6.7454346070000004E-3</v>
      </c>
      <c r="M775">
        <v>6.4603413830000003E-3</v>
      </c>
      <c r="N775">
        <v>6.1582174299999997E-3</v>
      </c>
      <c r="O775">
        <v>0</v>
      </c>
      <c r="P775">
        <v>0</v>
      </c>
      <c r="Q775">
        <v>0</v>
      </c>
      <c r="R775" t="s">
        <v>243</v>
      </c>
    </row>
    <row r="776" spans="1:18" x14ac:dyDescent="0.3">
      <c r="A776" t="s">
        <v>259</v>
      </c>
      <c r="B776" t="s">
        <v>18</v>
      </c>
      <c r="C776" t="s">
        <v>288</v>
      </c>
      <c r="D776">
        <v>7.8971524300000002E-3</v>
      </c>
      <c r="E776">
        <v>8.5412775999999992E-3</v>
      </c>
      <c r="F776">
        <v>9.5969799999999997E-3</v>
      </c>
      <c r="G776">
        <v>7.9120674000000002E-3</v>
      </c>
      <c r="H776">
        <v>7.5976050999999999E-3</v>
      </c>
      <c r="I776">
        <v>7.6628097069999998E-3</v>
      </c>
      <c r="J776">
        <v>7.4588758653999897E-3</v>
      </c>
      <c r="K776">
        <v>7.1633236836999899E-3</v>
      </c>
      <c r="L776">
        <v>6.9111782820000002E-3</v>
      </c>
      <c r="M776">
        <v>6.6118740949999899E-3</v>
      </c>
      <c r="N776">
        <v>6.2940956999999898E-3</v>
      </c>
      <c r="O776">
        <v>0</v>
      </c>
      <c r="P776">
        <v>0</v>
      </c>
      <c r="Q776">
        <v>0</v>
      </c>
      <c r="R776" t="s">
        <v>243</v>
      </c>
    </row>
    <row r="777" spans="1:18" x14ac:dyDescent="0.3">
      <c r="A777" t="s">
        <v>259</v>
      </c>
      <c r="B777" t="s">
        <v>18</v>
      </c>
      <c r="C777" t="s">
        <v>289</v>
      </c>
      <c r="D777">
        <v>8.0824325999999998E-3</v>
      </c>
      <c r="E777">
        <v>8.7301979999999998E-3</v>
      </c>
      <c r="F777">
        <v>9.8127908000000003E-3</v>
      </c>
      <c r="G777">
        <v>8.0963000000000007E-3</v>
      </c>
      <c r="H777">
        <v>7.7804978999999998E-3</v>
      </c>
      <c r="I777">
        <v>7.8391866219999894E-3</v>
      </c>
      <c r="J777">
        <v>7.6229338953999999E-3</v>
      </c>
      <c r="K777">
        <v>7.3125194208999902E-3</v>
      </c>
      <c r="L777">
        <v>7.0496977462999903E-3</v>
      </c>
      <c r="M777">
        <v>6.7377304769999898E-3</v>
      </c>
      <c r="N777">
        <v>6.4064629800000003E-3</v>
      </c>
      <c r="O777">
        <v>0</v>
      </c>
      <c r="P777">
        <v>0</v>
      </c>
      <c r="Q777">
        <v>0</v>
      </c>
      <c r="R777" t="s">
        <v>243</v>
      </c>
    </row>
    <row r="778" spans="1:18" x14ac:dyDescent="0.3">
      <c r="A778" t="s">
        <v>259</v>
      </c>
      <c r="B778" t="s">
        <v>18</v>
      </c>
      <c r="C778" t="s">
        <v>290</v>
      </c>
      <c r="D778">
        <v>8.2482372999999904E-3</v>
      </c>
      <c r="E778">
        <v>8.9010570000000004E-3</v>
      </c>
      <c r="F778">
        <v>1.0008374E-2</v>
      </c>
      <c r="G778">
        <v>8.2632697000000008E-3</v>
      </c>
      <c r="H778">
        <v>7.9478060999999996E-3</v>
      </c>
      <c r="I778">
        <v>7.9991669429999995E-3</v>
      </c>
      <c r="J778">
        <v>7.7705772585999998E-3</v>
      </c>
      <c r="K778">
        <v>7.4485245413000003E-3</v>
      </c>
      <c r="L778">
        <v>7.1733698039999896E-3</v>
      </c>
      <c r="M778">
        <v>6.8506553129999998E-3</v>
      </c>
      <c r="N778">
        <v>6.5081127799999899E-3</v>
      </c>
      <c r="O778">
        <v>0</v>
      </c>
      <c r="P778">
        <v>0</v>
      </c>
      <c r="Q778">
        <v>0</v>
      </c>
      <c r="R778" t="s">
        <v>243</v>
      </c>
    </row>
    <row r="779" spans="1:18" x14ac:dyDescent="0.3">
      <c r="A779" t="s">
        <v>259</v>
      </c>
      <c r="B779" t="s">
        <v>18</v>
      </c>
      <c r="C779" t="s">
        <v>291</v>
      </c>
      <c r="D779">
        <v>8.4158149399999899E-3</v>
      </c>
      <c r="E779">
        <v>9.0712329999999997E-3</v>
      </c>
      <c r="F779">
        <v>1.0204050500000001E-2</v>
      </c>
      <c r="G779">
        <v>8.4235101999999996E-3</v>
      </c>
      <c r="H779">
        <v>8.1146796999999899E-3</v>
      </c>
      <c r="I779">
        <v>8.1580320549999898E-3</v>
      </c>
      <c r="J779">
        <v>7.9182051014000006E-3</v>
      </c>
      <c r="K779">
        <v>7.5829042676E-3</v>
      </c>
      <c r="L779">
        <v>7.2966668936999901E-3</v>
      </c>
      <c r="M779">
        <v>6.9608105979999998E-3</v>
      </c>
      <c r="N779">
        <v>6.6042323099999899E-3</v>
      </c>
      <c r="O779">
        <v>0</v>
      </c>
      <c r="P779">
        <v>0</v>
      </c>
      <c r="Q779">
        <v>0</v>
      </c>
      <c r="R779" t="s">
        <v>243</v>
      </c>
    </row>
    <row r="780" spans="1:18" x14ac:dyDescent="0.3">
      <c r="A780" t="s">
        <v>259</v>
      </c>
      <c r="B780" t="s">
        <v>18</v>
      </c>
      <c r="C780" t="s">
        <v>292</v>
      </c>
      <c r="D780">
        <v>8.5922774800000004E-3</v>
      </c>
      <c r="E780">
        <v>9.2629588000000002E-3</v>
      </c>
      <c r="F780">
        <v>1.0418334E-2</v>
      </c>
      <c r="G780">
        <v>8.6150390999999993E-3</v>
      </c>
      <c r="H780">
        <v>8.2913062999999902E-3</v>
      </c>
      <c r="I780">
        <v>8.3308433149999993E-3</v>
      </c>
      <c r="J780">
        <v>8.0808426001000005E-3</v>
      </c>
      <c r="K780">
        <v>7.7309374775999997E-3</v>
      </c>
      <c r="L780">
        <v>7.4302744951999997E-3</v>
      </c>
      <c r="M780">
        <v>7.0795408079999999E-3</v>
      </c>
      <c r="N780">
        <v>6.7092858499999998E-3</v>
      </c>
      <c r="O780">
        <v>0</v>
      </c>
      <c r="P780">
        <v>0</v>
      </c>
      <c r="Q780">
        <v>0</v>
      </c>
      <c r="R780" t="s">
        <v>243</v>
      </c>
    </row>
    <row r="781" spans="1:18" x14ac:dyDescent="0.3">
      <c r="A781" t="s">
        <v>259</v>
      </c>
      <c r="B781" t="s">
        <v>18</v>
      </c>
      <c r="C781" t="s">
        <v>293</v>
      </c>
      <c r="D781">
        <v>8.8345172699999999E-3</v>
      </c>
      <c r="E781">
        <v>9.5176027999999899E-3</v>
      </c>
      <c r="F781">
        <v>1.0702425E-2</v>
      </c>
      <c r="G781">
        <v>8.8347538999999902E-3</v>
      </c>
      <c r="H781">
        <v>8.5170820999999897E-3</v>
      </c>
      <c r="I781">
        <v>8.5488067069999993E-3</v>
      </c>
      <c r="J781">
        <v>8.2838918956999897E-3</v>
      </c>
      <c r="K781">
        <v>7.9179787236000002E-3</v>
      </c>
      <c r="L781">
        <v>7.6037023813999901E-3</v>
      </c>
      <c r="M781">
        <v>7.2380163089999904E-3</v>
      </c>
      <c r="N781">
        <v>6.8512285799999899E-3</v>
      </c>
      <c r="O781">
        <v>0</v>
      </c>
      <c r="P781">
        <v>0</v>
      </c>
      <c r="Q781">
        <v>0</v>
      </c>
      <c r="R781" t="s">
        <v>243</v>
      </c>
    </row>
    <row r="782" spans="1:18" x14ac:dyDescent="0.3">
      <c r="A782" t="s">
        <v>259</v>
      </c>
      <c r="B782" t="s">
        <v>18</v>
      </c>
      <c r="C782" t="s">
        <v>344</v>
      </c>
      <c r="D782" s="8">
        <v>4.9413699999999998E-5</v>
      </c>
      <c r="E782">
        <v>0</v>
      </c>
      <c r="F782" s="8">
        <v>1.31337E-6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243</v>
      </c>
    </row>
    <row r="783" spans="1:18" x14ac:dyDescent="0.3">
      <c r="A783" t="s">
        <v>259</v>
      </c>
      <c r="B783" t="s">
        <v>18</v>
      </c>
      <c r="C783" t="s">
        <v>345</v>
      </c>
      <c r="D783" s="8">
        <v>4.0701100000000001E-6</v>
      </c>
      <c r="E783">
        <v>0</v>
      </c>
      <c r="F783" s="8">
        <v>9.5442599999999995E-8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243</v>
      </c>
    </row>
    <row r="784" spans="1:18" x14ac:dyDescent="0.3">
      <c r="A784" t="s">
        <v>259</v>
      </c>
      <c r="B784" t="s">
        <v>18</v>
      </c>
      <c r="C784" t="s">
        <v>346</v>
      </c>
      <c r="D784" s="8">
        <v>3.0714099999999998E-5</v>
      </c>
      <c r="E784">
        <v>0</v>
      </c>
      <c r="F784" s="8">
        <v>7.5939099999999995E-7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243</v>
      </c>
    </row>
    <row r="785" spans="1:18" x14ac:dyDescent="0.3">
      <c r="A785" t="s">
        <v>259</v>
      </c>
      <c r="B785" t="s">
        <v>18</v>
      </c>
      <c r="C785" t="s">
        <v>347</v>
      </c>
      <c r="D785" s="8">
        <v>2.2575999999999999E-5</v>
      </c>
      <c r="E785">
        <v>0</v>
      </c>
      <c r="F785" s="8">
        <v>5.62281E-7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243</v>
      </c>
    </row>
    <row r="786" spans="1:18" x14ac:dyDescent="0.3">
      <c r="A786" t="s">
        <v>259</v>
      </c>
      <c r="B786" t="s">
        <v>18</v>
      </c>
      <c r="C786" t="s">
        <v>348</v>
      </c>
      <c r="D786" s="8">
        <v>1.8529299999999999E-5</v>
      </c>
      <c r="E786">
        <v>0</v>
      </c>
      <c r="F786" s="8">
        <v>4.56464E-7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243</v>
      </c>
    </row>
    <row r="787" spans="1:18" x14ac:dyDescent="0.3">
      <c r="A787" t="s">
        <v>259</v>
      </c>
      <c r="B787" t="s">
        <v>18</v>
      </c>
      <c r="C787" t="s">
        <v>349</v>
      </c>
      <c r="D787" s="8">
        <v>1.5552800000000001E-5</v>
      </c>
      <c r="E787">
        <v>0</v>
      </c>
      <c r="F787" s="8">
        <v>3.8177000000000001E-7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243</v>
      </c>
    </row>
    <row r="788" spans="1:18" x14ac:dyDescent="0.3">
      <c r="A788" t="s">
        <v>259</v>
      </c>
      <c r="B788" t="s">
        <v>18</v>
      </c>
      <c r="C788" t="s">
        <v>350</v>
      </c>
      <c r="D788" s="8">
        <v>1.3186900000000001E-5</v>
      </c>
      <c r="E788">
        <v>0</v>
      </c>
      <c r="F788" s="8">
        <v>3.2367500000000002E-7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243</v>
      </c>
    </row>
    <row r="789" spans="1:18" x14ac:dyDescent="0.3">
      <c r="A789" t="s">
        <v>259</v>
      </c>
      <c r="B789" t="s">
        <v>18</v>
      </c>
      <c r="C789" t="s">
        <v>351</v>
      </c>
      <c r="D789" s="8">
        <v>1.11019E-5</v>
      </c>
      <c r="E789">
        <v>0</v>
      </c>
      <c r="F789" s="8">
        <v>2.7180399999999999E-7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243</v>
      </c>
    </row>
    <row r="790" spans="1:18" x14ac:dyDescent="0.3">
      <c r="A790" t="s">
        <v>259</v>
      </c>
      <c r="B790" t="s">
        <v>18</v>
      </c>
      <c r="C790" t="s">
        <v>352</v>
      </c>
      <c r="D790" s="8">
        <v>9.2231699999999997E-6</v>
      </c>
      <c r="E790">
        <v>0</v>
      </c>
      <c r="F790" s="8">
        <v>2.26157E-7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243</v>
      </c>
    </row>
    <row r="791" spans="1:18" x14ac:dyDescent="0.3">
      <c r="A791" t="s">
        <v>259</v>
      </c>
      <c r="B791" t="s">
        <v>18</v>
      </c>
      <c r="C791" t="s">
        <v>353</v>
      </c>
      <c r="D791" s="8">
        <v>7.1168399999999996E-6</v>
      </c>
      <c r="E791">
        <v>0</v>
      </c>
      <c r="F791" s="8">
        <v>1.74286E-7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243</v>
      </c>
    </row>
    <row r="792" spans="1:18" x14ac:dyDescent="0.3">
      <c r="A792" t="s">
        <v>259</v>
      </c>
      <c r="B792" t="s">
        <v>18</v>
      </c>
      <c r="C792" t="s">
        <v>294</v>
      </c>
      <c r="D792">
        <v>2.7793280609999999E-3</v>
      </c>
      <c r="E792">
        <v>2.70132427E-3</v>
      </c>
      <c r="F792">
        <v>2.69729288E-3</v>
      </c>
      <c r="G792">
        <v>2.02266063E-3</v>
      </c>
      <c r="H792">
        <v>2.21974434E-3</v>
      </c>
      <c r="I792">
        <v>2.2166835899999999E-3</v>
      </c>
      <c r="J792">
        <v>2.3439040499999902E-3</v>
      </c>
      <c r="K792">
        <v>2.4321142649999998E-3</v>
      </c>
      <c r="L792">
        <v>2.5002211930000001E-3</v>
      </c>
      <c r="M792">
        <v>2.554365721E-3</v>
      </c>
      <c r="N792">
        <v>2.59981254399999E-3</v>
      </c>
      <c r="O792">
        <v>0</v>
      </c>
      <c r="P792">
        <v>0</v>
      </c>
      <c r="Q792">
        <v>0</v>
      </c>
      <c r="R792" t="s">
        <v>243</v>
      </c>
    </row>
    <row r="793" spans="1:18" x14ac:dyDescent="0.3">
      <c r="A793" t="s">
        <v>259</v>
      </c>
      <c r="B793" t="s">
        <v>18</v>
      </c>
      <c r="C793" t="s">
        <v>295</v>
      </c>
      <c r="D793">
        <v>6.0027516150000003E-3</v>
      </c>
      <c r="E793">
        <v>5.1482924500000004E-3</v>
      </c>
      <c r="F793">
        <v>5.5551629700000002E-3</v>
      </c>
      <c r="G793">
        <v>4.2276553699999997E-3</v>
      </c>
      <c r="H793">
        <v>4.3327164999999897E-3</v>
      </c>
      <c r="I793">
        <v>4.48931561E-3</v>
      </c>
      <c r="J793">
        <v>4.57097795E-3</v>
      </c>
      <c r="K793">
        <v>4.59918099899999E-3</v>
      </c>
      <c r="L793">
        <v>4.61337963299999E-3</v>
      </c>
      <c r="M793">
        <v>4.5959312899999903E-3</v>
      </c>
      <c r="N793">
        <v>4.5671815099999902E-3</v>
      </c>
      <c r="O793">
        <v>0</v>
      </c>
      <c r="P793">
        <v>0</v>
      </c>
      <c r="Q793">
        <v>0</v>
      </c>
      <c r="R793" t="s">
        <v>243</v>
      </c>
    </row>
    <row r="794" spans="1:18" x14ac:dyDescent="0.3">
      <c r="A794" t="s">
        <v>259</v>
      </c>
      <c r="B794" t="s">
        <v>18</v>
      </c>
      <c r="C794" t="s">
        <v>296</v>
      </c>
      <c r="D794">
        <v>3.6689859561999999E-3</v>
      </c>
      <c r="E794">
        <v>3.5328406299999899E-3</v>
      </c>
      <c r="F794">
        <v>3.62473673E-3</v>
      </c>
      <c r="G794">
        <v>2.7586628399999999E-3</v>
      </c>
      <c r="H794">
        <v>2.9233430999999902E-3</v>
      </c>
      <c r="I794">
        <v>2.9546668699999899E-3</v>
      </c>
      <c r="J794">
        <v>3.0887249399999999E-3</v>
      </c>
      <c r="K794">
        <v>3.1765961169999998E-3</v>
      </c>
      <c r="L794">
        <v>3.23915284499999E-3</v>
      </c>
      <c r="M794">
        <v>3.2812860899999901E-3</v>
      </c>
      <c r="N794">
        <v>3.3117497599999901E-3</v>
      </c>
      <c r="O794">
        <v>0</v>
      </c>
      <c r="P794">
        <v>0</v>
      </c>
      <c r="Q794">
        <v>0</v>
      </c>
      <c r="R794" t="s">
        <v>243</v>
      </c>
    </row>
    <row r="795" spans="1:18" x14ac:dyDescent="0.3">
      <c r="A795" t="s">
        <v>259</v>
      </c>
      <c r="B795" t="s">
        <v>18</v>
      </c>
      <c r="C795" t="s">
        <v>297</v>
      </c>
      <c r="D795">
        <v>4.2276871449999998E-3</v>
      </c>
      <c r="E795">
        <v>3.9012613200000001E-3</v>
      </c>
      <c r="F795">
        <v>4.0886670800000004E-3</v>
      </c>
      <c r="G795">
        <v>3.1278074299999998E-3</v>
      </c>
      <c r="H795">
        <v>3.1840104300000002E-3</v>
      </c>
      <c r="I795">
        <v>3.3556904399999902E-3</v>
      </c>
      <c r="J795">
        <v>3.4732855899999998E-3</v>
      </c>
      <c r="K795">
        <v>3.5421466839999998E-3</v>
      </c>
      <c r="L795">
        <v>3.5890380659999899E-3</v>
      </c>
      <c r="M795">
        <v>3.6102500599999999E-3</v>
      </c>
      <c r="N795">
        <v>3.62131010999999E-3</v>
      </c>
      <c r="O795">
        <v>0</v>
      </c>
      <c r="P795">
        <v>0</v>
      </c>
      <c r="Q795">
        <v>0</v>
      </c>
      <c r="R795" t="s">
        <v>243</v>
      </c>
    </row>
    <row r="796" spans="1:18" x14ac:dyDescent="0.3">
      <c r="A796" t="s">
        <v>259</v>
      </c>
      <c r="B796" t="s">
        <v>18</v>
      </c>
      <c r="C796" t="s">
        <v>298</v>
      </c>
      <c r="D796">
        <v>4.5563143439999896E-3</v>
      </c>
      <c r="E796">
        <v>4.1296591200000003E-3</v>
      </c>
      <c r="F796">
        <v>4.3756280000000003E-3</v>
      </c>
      <c r="G796">
        <v>3.3527381900000002E-3</v>
      </c>
      <c r="H796">
        <v>3.4156253099999999E-3</v>
      </c>
      <c r="I796">
        <v>3.5833185399999998E-3</v>
      </c>
      <c r="J796">
        <v>3.6903351699999901E-3</v>
      </c>
      <c r="K796">
        <v>3.7492625570000001E-3</v>
      </c>
      <c r="L796">
        <v>3.7888000649999999E-3</v>
      </c>
      <c r="M796">
        <v>3.80117488E-3</v>
      </c>
      <c r="N796">
        <v>3.8019935899999999E-3</v>
      </c>
      <c r="O796">
        <v>0</v>
      </c>
      <c r="P796">
        <v>0</v>
      </c>
      <c r="Q796">
        <v>0</v>
      </c>
      <c r="R796" t="s">
        <v>243</v>
      </c>
    </row>
    <row r="797" spans="1:18" x14ac:dyDescent="0.3">
      <c r="A797" t="s">
        <v>259</v>
      </c>
      <c r="B797" t="s">
        <v>18</v>
      </c>
      <c r="C797" t="s">
        <v>299</v>
      </c>
      <c r="D797">
        <v>4.8197223759999996E-3</v>
      </c>
      <c r="E797">
        <v>4.3079189499999997E-3</v>
      </c>
      <c r="F797">
        <v>4.5866212499999998E-3</v>
      </c>
      <c r="G797">
        <v>3.5098829499999999E-3</v>
      </c>
      <c r="H797">
        <v>3.5869556800000001E-3</v>
      </c>
      <c r="I797">
        <v>3.7519522600000001E-3</v>
      </c>
      <c r="J797">
        <v>3.85078669E-3</v>
      </c>
      <c r="K797">
        <v>3.8999994329999999E-3</v>
      </c>
      <c r="L797">
        <v>3.9334845259999997E-3</v>
      </c>
      <c r="M797">
        <v>3.9378736799999996E-3</v>
      </c>
      <c r="N797">
        <v>3.9305408099999904E-3</v>
      </c>
      <c r="O797">
        <v>0</v>
      </c>
      <c r="P797">
        <v>0</v>
      </c>
      <c r="Q797">
        <v>0</v>
      </c>
      <c r="R797" t="s">
        <v>243</v>
      </c>
    </row>
    <row r="798" spans="1:18" x14ac:dyDescent="0.3">
      <c r="A798" t="s">
        <v>259</v>
      </c>
      <c r="B798" t="s">
        <v>18</v>
      </c>
      <c r="C798" t="s">
        <v>300</v>
      </c>
      <c r="D798">
        <v>5.0404596359999998E-3</v>
      </c>
      <c r="E798">
        <v>4.4509129400000002E-3</v>
      </c>
      <c r="F798">
        <v>4.7588451099999998E-3</v>
      </c>
      <c r="G798">
        <v>3.6382726300000002E-3</v>
      </c>
      <c r="H798">
        <v>3.7262651499999902E-3</v>
      </c>
      <c r="I798">
        <v>3.8862741399999898E-3</v>
      </c>
      <c r="J798">
        <v>3.9770247700000004E-3</v>
      </c>
      <c r="K798">
        <v>4.0196549719999997E-3</v>
      </c>
      <c r="L798">
        <v>4.0463001649999998E-3</v>
      </c>
      <c r="M798">
        <v>4.0452082299999997E-3</v>
      </c>
      <c r="N798">
        <v>4.0326685000000003E-3</v>
      </c>
      <c r="O798">
        <v>0</v>
      </c>
      <c r="P798">
        <v>0</v>
      </c>
      <c r="Q798">
        <v>0</v>
      </c>
      <c r="R798" t="s">
        <v>243</v>
      </c>
    </row>
    <row r="799" spans="1:18" x14ac:dyDescent="0.3">
      <c r="A799" t="s">
        <v>259</v>
      </c>
      <c r="B799" t="s">
        <v>18</v>
      </c>
      <c r="C799" t="s">
        <v>301</v>
      </c>
      <c r="D799">
        <v>5.2417667770000001E-3</v>
      </c>
      <c r="E799">
        <v>4.5765914099999997E-3</v>
      </c>
      <c r="F799">
        <v>4.9110579899999899E-3</v>
      </c>
      <c r="G799">
        <v>3.7473649099999998E-3</v>
      </c>
      <c r="H799">
        <v>3.8477249100000001E-3</v>
      </c>
      <c r="I799">
        <v>4.0029161000000001E-3</v>
      </c>
      <c r="J799">
        <v>4.0879156000000003E-3</v>
      </c>
      <c r="K799">
        <v>4.1243724739999897E-3</v>
      </c>
      <c r="L799">
        <v>4.1466808399999999E-3</v>
      </c>
      <c r="M799">
        <v>4.1400454000000003E-3</v>
      </c>
      <c r="N799">
        <v>4.1219174299999897E-3</v>
      </c>
      <c r="O799">
        <v>0</v>
      </c>
      <c r="P799">
        <v>0</v>
      </c>
      <c r="Q799">
        <v>0</v>
      </c>
      <c r="R799" t="s">
        <v>243</v>
      </c>
    </row>
    <row r="800" spans="1:18" x14ac:dyDescent="0.3">
      <c r="A800" t="s">
        <v>259</v>
      </c>
      <c r="B800" t="s">
        <v>18</v>
      </c>
      <c r="C800" t="s">
        <v>302</v>
      </c>
      <c r="D800">
        <v>5.4273784040000002E-3</v>
      </c>
      <c r="E800">
        <v>4.7014383499999904E-3</v>
      </c>
      <c r="F800">
        <v>5.0565584899999903E-3</v>
      </c>
      <c r="G800">
        <v>3.8613849799999998E-3</v>
      </c>
      <c r="H800">
        <v>3.9596451399999998E-3</v>
      </c>
      <c r="I800">
        <v>4.1141429299999897E-3</v>
      </c>
      <c r="J800">
        <v>4.1963874999999904E-3</v>
      </c>
      <c r="K800">
        <v>4.2282407249999996E-3</v>
      </c>
      <c r="L800">
        <v>4.2462650339999998E-3</v>
      </c>
      <c r="M800">
        <v>4.2352427299999999E-3</v>
      </c>
      <c r="N800">
        <v>4.2138825100000001E-3</v>
      </c>
      <c r="O800">
        <v>0</v>
      </c>
      <c r="P800">
        <v>0</v>
      </c>
      <c r="Q800">
        <v>0</v>
      </c>
      <c r="R800" t="s">
        <v>243</v>
      </c>
    </row>
    <row r="801" spans="1:18" x14ac:dyDescent="0.3">
      <c r="A801" t="s">
        <v>259</v>
      </c>
      <c r="B801" t="s">
        <v>18</v>
      </c>
      <c r="C801" t="s">
        <v>303</v>
      </c>
      <c r="D801">
        <v>5.6424923349999998E-3</v>
      </c>
      <c r="E801">
        <v>4.8483332199999998E-3</v>
      </c>
      <c r="F801">
        <v>5.2235288499999999E-3</v>
      </c>
      <c r="G801">
        <v>3.9760621600000001E-3</v>
      </c>
      <c r="H801">
        <v>4.0847816399999896E-3</v>
      </c>
      <c r="I801">
        <v>4.2385378499999998E-3</v>
      </c>
      <c r="J801">
        <v>4.3185647400000001E-3</v>
      </c>
      <c r="K801">
        <v>4.3486152049999902E-3</v>
      </c>
      <c r="L801">
        <v>4.3658986909999899E-3</v>
      </c>
      <c r="M801">
        <v>4.3534973799999998E-3</v>
      </c>
      <c r="N801">
        <v>4.3300358599999899E-3</v>
      </c>
      <c r="O801">
        <v>0</v>
      </c>
      <c r="P801">
        <v>0</v>
      </c>
      <c r="Q801">
        <v>0</v>
      </c>
      <c r="R801" t="s">
        <v>243</v>
      </c>
    </row>
    <row r="802" spans="1:18" x14ac:dyDescent="0.3">
      <c r="A802" t="s">
        <v>259</v>
      </c>
      <c r="B802" t="s">
        <v>18</v>
      </c>
      <c r="C802" t="s">
        <v>304</v>
      </c>
      <c r="D802">
        <v>1.9522700000000001E-3</v>
      </c>
      <c r="E802">
        <v>2.2856299999999999E-3</v>
      </c>
      <c r="F802">
        <v>2.2516400000000001E-3</v>
      </c>
      <c r="G802">
        <v>2.1811399999999998E-3</v>
      </c>
      <c r="H802">
        <v>2.4110399999999902E-3</v>
      </c>
      <c r="I802">
        <v>2.4625409999999999E-3</v>
      </c>
      <c r="J802">
        <v>2.4950529999999901E-3</v>
      </c>
      <c r="K802">
        <v>2.5542310000000001E-3</v>
      </c>
      <c r="L802">
        <v>2.5936219999999999E-3</v>
      </c>
      <c r="M802">
        <v>2.6158760000000001E-3</v>
      </c>
      <c r="N802">
        <v>2.6338479999999998E-3</v>
      </c>
      <c r="O802">
        <v>0</v>
      </c>
      <c r="P802">
        <v>0</v>
      </c>
      <c r="Q802">
        <v>0</v>
      </c>
      <c r="R802" t="s">
        <v>243</v>
      </c>
    </row>
    <row r="803" spans="1:18" x14ac:dyDescent="0.3">
      <c r="A803" t="s">
        <v>259</v>
      </c>
      <c r="B803" t="s">
        <v>18</v>
      </c>
      <c r="C803" t="s">
        <v>305</v>
      </c>
      <c r="D803">
        <v>3.1356800000000001E-3</v>
      </c>
      <c r="E803">
        <v>3.3359499999999999E-3</v>
      </c>
      <c r="F803">
        <v>3.32556E-3</v>
      </c>
      <c r="G803">
        <v>3.2950499999999999E-3</v>
      </c>
      <c r="H803">
        <v>3.3869299999999998E-3</v>
      </c>
      <c r="I803">
        <v>3.5102419999999998E-3</v>
      </c>
      <c r="J803">
        <v>3.543895E-3</v>
      </c>
      <c r="K803">
        <v>3.5747610000000001E-3</v>
      </c>
      <c r="L803">
        <v>3.591117E-3</v>
      </c>
      <c r="M803">
        <v>3.5907459999999902E-3</v>
      </c>
      <c r="N803">
        <v>3.5895050000000002E-3</v>
      </c>
      <c r="O803">
        <v>0</v>
      </c>
      <c r="P803">
        <v>0</v>
      </c>
      <c r="Q803">
        <v>0</v>
      </c>
      <c r="R803" t="s">
        <v>243</v>
      </c>
    </row>
    <row r="804" spans="1:18" x14ac:dyDescent="0.3">
      <c r="A804" t="s">
        <v>259</v>
      </c>
      <c r="B804" t="s">
        <v>18</v>
      </c>
      <c r="C804" t="s">
        <v>306</v>
      </c>
      <c r="D804">
        <v>2.3293099999999998E-3</v>
      </c>
      <c r="E804">
        <v>2.6186999999999998E-3</v>
      </c>
      <c r="F804">
        <v>2.5925100000000001E-3</v>
      </c>
      <c r="G804">
        <v>2.5488300000000002E-3</v>
      </c>
      <c r="H804">
        <v>2.6873999999999999E-3</v>
      </c>
      <c r="I804">
        <v>2.7514240000000001E-3</v>
      </c>
      <c r="J804">
        <v>2.7855860000000001E-3</v>
      </c>
      <c r="K804">
        <v>2.82249E-3</v>
      </c>
      <c r="L804">
        <v>2.84506E-3</v>
      </c>
      <c r="M804">
        <v>2.8540869999999999E-3</v>
      </c>
      <c r="N804">
        <v>2.8627520000000001E-3</v>
      </c>
      <c r="O804">
        <v>0</v>
      </c>
      <c r="P804">
        <v>0</v>
      </c>
      <c r="Q804">
        <v>0</v>
      </c>
      <c r="R804" t="s">
        <v>243</v>
      </c>
    </row>
    <row r="805" spans="1:18" x14ac:dyDescent="0.3">
      <c r="A805" t="s">
        <v>259</v>
      </c>
      <c r="B805" t="s">
        <v>18</v>
      </c>
      <c r="C805" t="s">
        <v>307</v>
      </c>
      <c r="D805">
        <v>2.5196799999999998E-3</v>
      </c>
      <c r="E805">
        <v>2.74245E-3</v>
      </c>
      <c r="F805">
        <v>2.7278200000000002E-3</v>
      </c>
      <c r="G805">
        <v>2.6939500000000001E-3</v>
      </c>
      <c r="H805">
        <v>2.77488E-3</v>
      </c>
      <c r="I805">
        <v>2.8853820000000001E-3</v>
      </c>
      <c r="J805">
        <v>2.9172489999999998E-3</v>
      </c>
      <c r="K805">
        <v>2.947819E-3</v>
      </c>
      <c r="L805">
        <v>2.9659589999999898E-3</v>
      </c>
      <c r="M805">
        <v>2.97086999999999E-3</v>
      </c>
      <c r="N805">
        <v>2.976467E-3</v>
      </c>
      <c r="O805">
        <v>0</v>
      </c>
      <c r="P805">
        <v>0</v>
      </c>
      <c r="Q805">
        <v>0</v>
      </c>
      <c r="R805" t="s">
        <v>243</v>
      </c>
    </row>
    <row r="806" spans="1:18" x14ac:dyDescent="0.3">
      <c r="A806" t="s">
        <v>259</v>
      </c>
      <c r="B806" t="s">
        <v>18</v>
      </c>
      <c r="C806" t="s">
        <v>308</v>
      </c>
      <c r="D806">
        <v>2.6195099999999998E-3</v>
      </c>
      <c r="E806">
        <v>2.8196300000000001E-3</v>
      </c>
      <c r="F806">
        <v>2.8098200000000002E-3</v>
      </c>
      <c r="G806">
        <v>2.7806100000000002E-3</v>
      </c>
      <c r="H806">
        <v>2.85666E-3</v>
      </c>
      <c r="I806">
        <v>2.9672409999999998E-3</v>
      </c>
      <c r="J806">
        <v>2.9987529999999998E-3</v>
      </c>
      <c r="K806">
        <v>3.0288279999999999E-3</v>
      </c>
      <c r="L806">
        <v>3.0470799999999902E-3</v>
      </c>
      <c r="M806">
        <v>3.0519499999999999E-3</v>
      </c>
      <c r="N806">
        <v>3.0569669999999998E-3</v>
      </c>
      <c r="O806">
        <v>0</v>
      </c>
      <c r="P806">
        <v>0</v>
      </c>
      <c r="Q806">
        <v>0</v>
      </c>
      <c r="R806" t="s">
        <v>243</v>
      </c>
    </row>
    <row r="807" spans="1:18" x14ac:dyDescent="0.3">
      <c r="A807" t="s">
        <v>259</v>
      </c>
      <c r="B807" t="s">
        <v>18</v>
      </c>
      <c r="C807" t="s">
        <v>309</v>
      </c>
      <c r="D807">
        <v>2.6960399999999998E-3</v>
      </c>
      <c r="E807">
        <v>2.88426E-3</v>
      </c>
      <c r="F807">
        <v>2.8738499999999998E-3</v>
      </c>
      <c r="G807">
        <v>2.84534E-3</v>
      </c>
      <c r="H807">
        <v>2.9237099999999999E-3</v>
      </c>
      <c r="I807">
        <v>3.0360080000000002E-3</v>
      </c>
      <c r="J807">
        <v>3.0677289999999999E-3</v>
      </c>
      <c r="K807">
        <v>3.0973730000000001E-3</v>
      </c>
      <c r="L807">
        <v>3.1160839999999999E-3</v>
      </c>
      <c r="M807">
        <v>3.1205389999999999E-3</v>
      </c>
      <c r="N807">
        <v>3.124787E-3</v>
      </c>
      <c r="O807">
        <v>0</v>
      </c>
      <c r="P807">
        <v>0</v>
      </c>
      <c r="Q807">
        <v>0</v>
      </c>
      <c r="R807" t="s">
        <v>243</v>
      </c>
    </row>
    <row r="808" spans="1:18" x14ac:dyDescent="0.3">
      <c r="A808" t="s">
        <v>259</v>
      </c>
      <c r="B808" t="s">
        <v>18</v>
      </c>
      <c r="C808" t="s">
        <v>310</v>
      </c>
      <c r="D808">
        <v>2.7602799999999999E-3</v>
      </c>
      <c r="E808">
        <v>2.94166E-3</v>
      </c>
      <c r="F808">
        <v>2.93152E-3</v>
      </c>
      <c r="G808">
        <v>2.9040099999999998E-3</v>
      </c>
      <c r="H808">
        <v>2.9857199999999999E-3</v>
      </c>
      <c r="I808">
        <v>3.099016E-3</v>
      </c>
      <c r="J808">
        <v>3.1302999999999999E-3</v>
      </c>
      <c r="K808">
        <v>3.1603489999999998E-3</v>
      </c>
      <c r="L808">
        <v>3.1783639999999999E-3</v>
      </c>
      <c r="M808">
        <v>3.1827700000000001E-3</v>
      </c>
      <c r="N808">
        <v>3.1867750000000002E-3</v>
      </c>
      <c r="O808">
        <v>0</v>
      </c>
      <c r="P808">
        <v>0</v>
      </c>
      <c r="Q808">
        <v>0</v>
      </c>
      <c r="R808" t="s">
        <v>243</v>
      </c>
    </row>
    <row r="809" spans="1:18" x14ac:dyDescent="0.3">
      <c r="A809" t="s">
        <v>259</v>
      </c>
      <c r="B809" t="s">
        <v>18</v>
      </c>
      <c r="C809" t="s">
        <v>311</v>
      </c>
      <c r="D809">
        <v>2.8216199999999999E-3</v>
      </c>
      <c r="E809">
        <v>2.9983000000000002E-3</v>
      </c>
      <c r="F809">
        <v>2.98899E-3</v>
      </c>
      <c r="G809">
        <v>2.9603199999999998E-3</v>
      </c>
      <c r="H809">
        <v>3.0480199999999998E-3</v>
      </c>
      <c r="I809">
        <v>3.1620809999999902E-3</v>
      </c>
      <c r="J809">
        <v>3.1933510000000001E-3</v>
      </c>
      <c r="K809">
        <v>3.2232390000000001E-3</v>
      </c>
      <c r="L809">
        <v>3.2412220000000002E-3</v>
      </c>
      <c r="M809">
        <v>3.2446020000000001E-3</v>
      </c>
      <c r="N809">
        <v>3.2471369999999898E-3</v>
      </c>
      <c r="O809">
        <v>0</v>
      </c>
      <c r="P809">
        <v>0</v>
      </c>
      <c r="Q809">
        <v>0</v>
      </c>
      <c r="R809" t="s">
        <v>243</v>
      </c>
    </row>
    <row r="810" spans="1:18" x14ac:dyDescent="0.3">
      <c r="A810" t="s">
        <v>259</v>
      </c>
      <c r="B810" t="s">
        <v>18</v>
      </c>
      <c r="C810" t="s">
        <v>312</v>
      </c>
      <c r="D810">
        <v>2.8834799999999999E-3</v>
      </c>
      <c r="E810">
        <v>3.0618099999999999E-3</v>
      </c>
      <c r="F810">
        <v>3.0518199999999998E-3</v>
      </c>
      <c r="G810">
        <v>3.0276299999999999E-3</v>
      </c>
      <c r="H810">
        <v>3.1140899999999999E-3</v>
      </c>
      <c r="I810">
        <v>3.2309719999999999E-3</v>
      </c>
      <c r="J810">
        <v>3.2632730000000001E-3</v>
      </c>
      <c r="K810">
        <v>3.2931649999999998E-3</v>
      </c>
      <c r="L810">
        <v>3.3102510000000002E-3</v>
      </c>
      <c r="M810">
        <v>3.312457E-3</v>
      </c>
      <c r="N810">
        <v>3.314357E-3</v>
      </c>
      <c r="O810">
        <v>0</v>
      </c>
      <c r="P810">
        <v>0</v>
      </c>
      <c r="Q810">
        <v>0</v>
      </c>
      <c r="R810" t="s">
        <v>243</v>
      </c>
    </row>
    <row r="811" spans="1:18" x14ac:dyDescent="0.3">
      <c r="A811" t="s">
        <v>259</v>
      </c>
      <c r="B811" t="s">
        <v>18</v>
      </c>
      <c r="C811" t="s">
        <v>313</v>
      </c>
      <c r="D811">
        <v>2.9660200000000002E-3</v>
      </c>
      <c r="E811">
        <v>3.1460199999999998E-3</v>
      </c>
      <c r="F811">
        <v>3.1350499999999999E-3</v>
      </c>
      <c r="G811">
        <v>3.1048400000000002E-3</v>
      </c>
      <c r="H811">
        <v>3.1987700000000001E-3</v>
      </c>
      <c r="I811">
        <v>3.3180219999999999E-3</v>
      </c>
      <c r="J811">
        <v>3.3506859999999999E-3</v>
      </c>
      <c r="K811">
        <v>3.3814679999999999E-3</v>
      </c>
      <c r="L811">
        <v>3.3994589999999901E-3</v>
      </c>
      <c r="M811">
        <v>3.4019889999999998E-3</v>
      </c>
      <c r="N811">
        <v>3.4035580000000001E-3</v>
      </c>
      <c r="O811">
        <v>0</v>
      </c>
      <c r="P811">
        <v>0</v>
      </c>
      <c r="Q811">
        <v>0</v>
      </c>
      <c r="R811" t="s">
        <v>243</v>
      </c>
    </row>
    <row r="812" spans="1:18" x14ac:dyDescent="0.3">
      <c r="A812" t="s">
        <v>259</v>
      </c>
      <c r="B812" t="s">
        <v>18</v>
      </c>
      <c r="C812" t="s">
        <v>416</v>
      </c>
      <c r="D812" s="8">
        <v>1.44845E-4</v>
      </c>
      <c r="E812">
        <v>0</v>
      </c>
      <c r="F812" s="8">
        <v>3.9136600000000001E-6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243</v>
      </c>
    </row>
    <row r="813" spans="1:18" x14ac:dyDescent="0.3">
      <c r="A813" t="s">
        <v>259</v>
      </c>
      <c r="B813" t="s">
        <v>18</v>
      </c>
      <c r="C813" t="s">
        <v>417</v>
      </c>
      <c r="D813" s="8">
        <v>1.0638000000000001E-8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243</v>
      </c>
    </row>
    <row r="814" spans="1:18" x14ac:dyDescent="0.3">
      <c r="A814" t="s">
        <v>259</v>
      </c>
      <c r="B814" t="s">
        <v>18</v>
      </c>
      <c r="C814" t="s">
        <v>418</v>
      </c>
      <c r="D814" s="8">
        <v>2.3031300000000001E-5</v>
      </c>
      <c r="E814">
        <v>0</v>
      </c>
      <c r="F814" s="8">
        <v>4.7202600000000002E-7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243</v>
      </c>
    </row>
    <row r="815" spans="1:18" x14ac:dyDescent="0.3">
      <c r="A815" t="s">
        <v>259</v>
      </c>
      <c r="B815" t="s">
        <v>18</v>
      </c>
      <c r="C815" t="s">
        <v>419</v>
      </c>
      <c r="D815" s="8">
        <v>7.0556800000000004E-6</v>
      </c>
      <c r="E815">
        <v>0</v>
      </c>
      <c r="F815" s="8">
        <v>1.50426E-7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243</v>
      </c>
    </row>
    <row r="816" spans="1:18" x14ac:dyDescent="0.3">
      <c r="A816" t="s">
        <v>259</v>
      </c>
      <c r="B816" t="s">
        <v>18</v>
      </c>
      <c r="C816" t="s">
        <v>420</v>
      </c>
      <c r="D816" s="8">
        <v>3.3110900000000001E-6</v>
      </c>
      <c r="E816">
        <v>0</v>
      </c>
      <c r="F816" s="8">
        <v>6.7432299999999994E-8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243</v>
      </c>
    </row>
    <row r="817" spans="1:18" x14ac:dyDescent="0.3">
      <c r="A817" t="s">
        <v>259</v>
      </c>
      <c r="B817" t="s">
        <v>18</v>
      </c>
      <c r="C817" t="s">
        <v>421</v>
      </c>
      <c r="D817" s="8">
        <v>1.69677E-6</v>
      </c>
      <c r="E817">
        <v>0</v>
      </c>
      <c r="F817" s="8">
        <v>3.3716100000000001E-8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243</v>
      </c>
    </row>
    <row r="818" spans="1:18" x14ac:dyDescent="0.3">
      <c r="A818" t="s">
        <v>259</v>
      </c>
      <c r="B818" t="s">
        <v>18</v>
      </c>
      <c r="C818" t="s">
        <v>422</v>
      </c>
      <c r="D818" s="8">
        <v>9.0423300000000002E-7</v>
      </c>
      <c r="E818">
        <v>0</v>
      </c>
      <c r="F818" s="8">
        <v>1.8154799999999999E-8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243</v>
      </c>
    </row>
    <row r="819" spans="1:18" x14ac:dyDescent="0.3">
      <c r="A819" t="s">
        <v>259</v>
      </c>
      <c r="B819" t="s">
        <v>18</v>
      </c>
      <c r="C819" t="s">
        <v>423</v>
      </c>
      <c r="D819" s="8">
        <v>4.7073300000000001E-7</v>
      </c>
      <c r="E819">
        <v>0</v>
      </c>
      <c r="F819" s="8">
        <v>1.03742E-8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243</v>
      </c>
    </row>
    <row r="820" spans="1:18" x14ac:dyDescent="0.3">
      <c r="A820" t="s">
        <v>259</v>
      </c>
      <c r="B820" t="s">
        <v>18</v>
      </c>
      <c r="C820" t="s">
        <v>424</v>
      </c>
      <c r="D820" s="8">
        <v>2.3403699999999999E-7</v>
      </c>
      <c r="E820">
        <v>0</v>
      </c>
      <c r="F820" s="8">
        <v>5.1871E-9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243</v>
      </c>
    </row>
    <row r="821" spans="1:18" x14ac:dyDescent="0.3">
      <c r="A821" t="s">
        <v>259</v>
      </c>
      <c r="B821" t="s">
        <v>18</v>
      </c>
      <c r="C821" t="s">
        <v>425</v>
      </c>
      <c r="D821" s="8">
        <v>8.7763799999999993E-8</v>
      </c>
      <c r="E821">
        <v>0</v>
      </c>
      <c r="F821" s="8">
        <v>2.59355E-9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243</v>
      </c>
    </row>
    <row r="822" spans="1:18" x14ac:dyDescent="0.3">
      <c r="A822" t="s">
        <v>259</v>
      </c>
      <c r="B822" t="s">
        <v>18</v>
      </c>
      <c r="C822" t="s">
        <v>314</v>
      </c>
      <c r="D822" s="8">
        <v>5.0486209999999999E-5</v>
      </c>
      <c r="E822" s="8">
        <v>2.5711829999999999E-5</v>
      </c>
      <c r="F822" s="8">
        <v>1.8890899999999999E-5</v>
      </c>
      <c r="G822" s="8">
        <v>9.8949700000000006E-6</v>
      </c>
      <c r="H822" s="8">
        <v>1.14776299999999E-5</v>
      </c>
      <c r="I822" s="8">
        <v>1.081295E-5</v>
      </c>
      <c r="J822" s="8">
        <v>1.099693E-5</v>
      </c>
      <c r="K822" s="8">
        <v>1.128677E-5</v>
      </c>
      <c r="L822" s="8">
        <v>1.1742730000000001E-5</v>
      </c>
      <c r="M822" s="8">
        <v>1.2095420000000001E-5</v>
      </c>
      <c r="N822" s="8">
        <v>1.286121E-5</v>
      </c>
      <c r="O822">
        <v>0</v>
      </c>
      <c r="P822">
        <v>0</v>
      </c>
      <c r="Q822">
        <v>0</v>
      </c>
      <c r="R822" t="s">
        <v>243</v>
      </c>
    </row>
    <row r="823" spans="1:18" x14ac:dyDescent="0.3">
      <c r="A823" t="s">
        <v>259</v>
      </c>
      <c r="B823" t="s">
        <v>18</v>
      </c>
      <c r="C823" t="s">
        <v>315</v>
      </c>
      <c r="D823" s="8">
        <v>4.4505670000000001E-4</v>
      </c>
      <c r="E823" s="8">
        <v>2.3259579999999999E-4</v>
      </c>
      <c r="F823" s="8">
        <v>1.908592E-4</v>
      </c>
      <c r="G823" s="8">
        <v>1.09527E-4</v>
      </c>
      <c r="H823" s="8">
        <v>1.1406239999999999E-4</v>
      </c>
      <c r="I823" s="8">
        <v>1.2308149999999999E-4</v>
      </c>
      <c r="J823" s="8">
        <v>1.274011E-4</v>
      </c>
      <c r="K823" s="8">
        <v>1.2928899999999999E-4</v>
      </c>
      <c r="L823" s="8">
        <v>1.3226009999999999E-4</v>
      </c>
      <c r="M823" s="8">
        <v>1.336082E-4</v>
      </c>
      <c r="N823" s="8">
        <v>1.37995E-4</v>
      </c>
      <c r="O823">
        <v>0</v>
      </c>
      <c r="P823">
        <v>0</v>
      </c>
      <c r="Q823">
        <v>0</v>
      </c>
      <c r="R823" t="s">
        <v>243</v>
      </c>
    </row>
    <row r="824" spans="1:18" x14ac:dyDescent="0.3">
      <c r="A824" t="s">
        <v>259</v>
      </c>
      <c r="B824" t="s">
        <v>18</v>
      </c>
      <c r="C824" t="s">
        <v>316</v>
      </c>
      <c r="D824" s="8">
        <v>7.984899E-5</v>
      </c>
      <c r="E824" s="8">
        <v>4.3227560000000003E-5</v>
      </c>
      <c r="F824" s="8">
        <v>3.2108260000000003E-5</v>
      </c>
      <c r="G824" s="8">
        <v>1.7320409999999998E-5</v>
      </c>
      <c r="H824" s="8">
        <v>1.9489869999999999E-5</v>
      </c>
      <c r="I824" s="8">
        <v>1.8763959999999999E-5</v>
      </c>
      <c r="J824" s="8">
        <v>1.9337910000000001E-5</v>
      </c>
      <c r="K824" s="8">
        <v>1.9910409999999999E-5</v>
      </c>
      <c r="L824" s="8">
        <v>2.07136999999999E-5</v>
      </c>
      <c r="M824" s="8">
        <v>2.1353469999999999E-5</v>
      </c>
      <c r="N824" s="8">
        <v>2.2705E-5</v>
      </c>
      <c r="O824">
        <v>0</v>
      </c>
      <c r="P824">
        <v>0</v>
      </c>
      <c r="Q824">
        <v>0</v>
      </c>
      <c r="R824" t="s">
        <v>243</v>
      </c>
    </row>
    <row r="825" spans="1:18" x14ac:dyDescent="0.3">
      <c r="A825" t="s">
        <v>259</v>
      </c>
      <c r="B825" t="s">
        <v>18</v>
      </c>
      <c r="C825" t="s">
        <v>317</v>
      </c>
      <c r="D825" s="8">
        <v>1.0649350999999999E-4</v>
      </c>
      <c r="E825" s="8">
        <v>5.5738130000000003E-5</v>
      </c>
      <c r="F825" s="8">
        <v>4.25313699999999E-5</v>
      </c>
      <c r="G825" s="8">
        <v>2.338717E-5</v>
      </c>
      <c r="H825" s="8">
        <v>2.39708999999999E-5</v>
      </c>
      <c r="I825" s="8">
        <v>2.5886470000000002E-5</v>
      </c>
      <c r="J825" s="8">
        <v>2.6621449999999999E-5</v>
      </c>
      <c r="K825" s="8">
        <v>2.7253599999999999E-5</v>
      </c>
      <c r="L825" s="8">
        <v>2.82139999999999E-5</v>
      </c>
      <c r="M825" s="8">
        <v>2.89086E-5</v>
      </c>
      <c r="N825" s="8">
        <v>3.0562499999999997E-5</v>
      </c>
      <c r="O825">
        <v>0</v>
      </c>
      <c r="P825">
        <v>0</v>
      </c>
      <c r="Q825">
        <v>0</v>
      </c>
      <c r="R825" t="s">
        <v>243</v>
      </c>
    </row>
    <row r="826" spans="1:18" x14ac:dyDescent="0.3">
      <c r="A826" t="s">
        <v>259</v>
      </c>
      <c r="B826" t="s">
        <v>18</v>
      </c>
      <c r="C826" t="s">
        <v>318</v>
      </c>
      <c r="D826" s="8">
        <v>1.2760161999999999E-4</v>
      </c>
      <c r="E826" s="8">
        <v>6.660379E-5</v>
      </c>
      <c r="F826" s="8">
        <v>5.163534E-5</v>
      </c>
      <c r="G826" s="8">
        <v>2.877619E-5</v>
      </c>
      <c r="H826" s="8">
        <v>2.94819E-5</v>
      </c>
      <c r="I826" s="8">
        <v>3.1860499999999998E-5</v>
      </c>
      <c r="J826" s="8">
        <v>3.2780800000000003E-5</v>
      </c>
      <c r="K826" s="8">
        <v>3.3566599999999998E-5</v>
      </c>
      <c r="L826" s="8">
        <v>3.4782900000000002E-5</v>
      </c>
      <c r="M826" s="8">
        <v>3.56753E-5</v>
      </c>
      <c r="N826" s="8">
        <v>3.7677099999999999E-5</v>
      </c>
      <c r="O826">
        <v>0</v>
      </c>
      <c r="P826">
        <v>0</v>
      </c>
      <c r="Q826">
        <v>0</v>
      </c>
      <c r="R826" t="s">
        <v>243</v>
      </c>
    </row>
    <row r="827" spans="1:18" x14ac:dyDescent="0.3">
      <c r="A827" t="s">
        <v>259</v>
      </c>
      <c r="B827" t="s">
        <v>18</v>
      </c>
      <c r="C827" t="s">
        <v>319</v>
      </c>
      <c r="D827" s="8">
        <v>1.4936776999999901E-4</v>
      </c>
      <c r="E827" s="8">
        <v>7.7956320000000006E-5</v>
      </c>
      <c r="F827" s="8">
        <v>6.0623710000000001E-5</v>
      </c>
      <c r="G827" s="8">
        <v>3.3938810000000002E-5</v>
      </c>
      <c r="H827" s="8">
        <v>3.50888999999999E-5</v>
      </c>
      <c r="I827" s="8">
        <v>3.8006300000000002E-5</v>
      </c>
      <c r="J827" s="8">
        <v>3.9148900000000001E-5</v>
      </c>
      <c r="K827" s="8">
        <v>4.00323E-5</v>
      </c>
      <c r="L827" s="8">
        <v>4.1525900000000002E-5</v>
      </c>
      <c r="M827" s="8">
        <v>4.2568599999999998E-5</v>
      </c>
      <c r="N827" s="8">
        <v>4.4873899999999997E-5</v>
      </c>
      <c r="O827">
        <v>0</v>
      </c>
      <c r="P827">
        <v>0</v>
      </c>
      <c r="Q827">
        <v>0</v>
      </c>
      <c r="R827" t="s">
        <v>243</v>
      </c>
    </row>
    <row r="828" spans="1:18" x14ac:dyDescent="0.3">
      <c r="A828" t="s">
        <v>259</v>
      </c>
      <c r="B828" t="s">
        <v>18</v>
      </c>
      <c r="C828" t="s">
        <v>320</v>
      </c>
      <c r="D828" s="8">
        <v>1.7279837000000001E-4</v>
      </c>
      <c r="E828" s="8">
        <v>8.9945419999999996E-5</v>
      </c>
      <c r="F828" s="8">
        <v>7.0304519999999897E-5</v>
      </c>
      <c r="G828" s="8">
        <v>3.9579890000000003E-5</v>
      </c>
      <c r="H828" s="8">
        <v>4.1257100000000002E-5</v>
      </c>
      <c r="I828" s="8">
        <v>4.4660599999999997E-5</v>
      </c>
      <c r="J828" s="8">
        <v>4.5969900000000002E-5</v>
      </c>
      <c r="K828" s="8">
        <v>4.7021699999999997E-5</v>
      </c>
      <c r="L828" s="8">
        <v>4.86709999999999E-5</v>
      </c>
      <c r="M828" s="8">
        <v>4.9901500000000003E-5</v>
      </c>
      <c r="N828" s="8">
        <v>5.2571100000000002E-5</v>
      </c>
      <c r="O828">
        <v>0</v>
      </c>
      <c r="P828">
        <v>0</v>
      </c>
      <c r="Q828">
        <v>0</v>
      </c>
      <c r="R828" t="s">
        <v>243</v>
      </c>
    </row>
    <row r="829" spans="1:18" x14ac:dyDescent="0.3">
      <c r="A829" t="s">
        <v>259</v>
      </c>
      <c r="B829" t="s">
        <v>18</v>
      </c>
      <c r="C829" t="s">
        <v>321</v>
      </c>
      <c r="D829" s="8">
        <v>2.0058850999999999E-4</v>
      </c>
      <c r="E829" s="8">
        <v>1.036584E-4</v>
      </c>
      <c r="F829" s="8">
        <v>8.1592099999999994E-5</v>
      </c>
      <c r="G829" s="8">
        <v>4.5939589999999901E-5</v>
      </c>
      <c r="H829" s="8">
        <v>4.8528300000000001E-5</v>
      </c>
      <c r="I829" s="8">
        <v>5.2442399999999998E-5</v>
      </c>
      <c r="J829" s="8">
        <v>5.3990999999999999E-5</v>
      </c>
      <c r="K829" s="8">
        <v>5.51534E-5</v>
      </c>
      <c r="L829" s="8">
        <v>5.7049599999999997E-5</v>
      </c>
      <c r="M829" s="8">
        <v>5.83499999999999E-5</v>
      </c>
      <c r="N829" s="8">
        <v>6.1229000000000006E-5</v>
      </c>
      <c r="O829">
        <v>0</v>
      </c>
      <c r="P829">
        <v>0</v>
      </c>
      <c r="Q829">
        <v>0</v>
      </c>
      <c r="R829" t="s">
        <v>243</v>
      </c>
    </row>
    <row r="830" spans="1:18" x14ac:dyDescent="0.3">
      <c r="A830" t="s">
        <v>259</v>
      </c>
      <c r="B830" t="s">
        <v>18</v>
      </c>
      <c r="C830" t="s">
        <v>322</v>
      </c>
      <c r="D830" s="8">
        <v>2.3467550000000001E-4</v>
      </c>
      <c r="E830" s="8">
        <v>1.2143560000000001E-4</v>
      </c>
      <c r="F830" s="8">
        <v>9.5996900000000002E-5</v>
      </c>
      <c r="G830" s="8">
        <v>5.4898600000000003E-5</v>
      </c>
      <c r="H830" s="8">
        <v>5.7571799999999902E-5</v>
      </c>
      <c r="I830" s="8">
        <v>6.2404700000000002E-5</v>
      </c>
      <c r="J830" s="8">
        <v>6.4432100000000003E-5</v>
      </c>
      <c r="K830" s="8">
        <v>6.5734099999999998E-5</v>
      </c>
      <c r="L830" s="8">
        <v>6.7789499999999897E-5</v>
      </c>
      <c r="M830" s="8">
        <v>6.9133899999999999E-5</v>
      </c>
      <c r="N830" s="8">
        <v>7.2396699999999998E-5</v>
      </c>
      <c r="O830">
        <v>0</v>
      </c>
      <c r="P830">
        <v>0</v>
      </c>
      <c r="Q830">
        <v>0</v>
      </c>
      <c r="R830" t="s">
        <v>243</v>
      </c>
    </row>
    <row r="831" spans="1:18" x14ac:dyDescent="0.3">
      <c r="A831" t="s">
        <v>259</v>
      </c>
      <c r="B831" t="s">
        <v>18</v>
      </c>
      <c r="C831" t="s">
        <v>323</v>
      </c>
      <c r="D831" s="8">
        <v>2.9037330000000001E-4</v>
      </c>
      <c r="E831" s="8">
        <v>1.4929550000000001E-4</v>
      </c>
      <c r="F831" s="8">
        <v>1.18838599999999E-4</v>
      </c>
      <c r="G831" s="8">
        <v>6.7255599999999994E-5</v>
      </c>
      <c r="H831" s="8">
        <v>7.1512699999999997E-5</v>
      </c>
      <c r="I831" s="8">
        <v>7.7531200000000001E-5</v>
      </c>
      <c r="J831" s="8">
        <v>8.0117999999999994E-5</v>
      </c>
      <c r="K831" s="8">
        <v>8.1770699999999898E-5</v>
      </c>
      <c r="L831" s="8">
        <v>8.4402100000000003E-5</v>
      </c>
      <c r="M831" s="8">
        <v>8.6108100000000003E-5</v>
      </c>
      <c r="N831" s="8">
        <v>8.99914E-5</v>
      </c>
      <c r="O831">
        <v>0</v>
      </c>
      <c r="P831">
        <v>0</v>
      </c>
      <c r="Q831">
        <v>0</v>
      </c>
      <c r="R831" t="s">
        <v>243</v>
      </c>
    </row>
    <row r="832" spans="1:18" x14ac:dyDescent="0.3">
      <c r="A832" t="s">
        <v>259</v>
      </c>
      <c r="B832" t="s">
        <v>20</v>
      </c>
      <c r="C832" t="s">
        <v>261</v>
      </c>
      <c r="D832" s="8">
        <v>3.0669580000000001E-6</v>
      </c>
      <c r="E832" s="8">
        <v>7.2607300000000002E-6</v>
      </c>
      <c r="F832" s="8">
        <v>7.8916200000000005E-6</v>
      </c>
      <c r="G832" s="8">
        <v>1.0727700000000001E-5</v>
      </c>
      <c r="H832" s="8">
        <v>1.410275E-5</v>
      </c>
      <c r="I832" s="8">
        <v>1.5170439999999901E-5</v>
      </c>
      <c r="J832" s="8">
        <v>1.7182721000000001E-5</v>
      </c>
      <c r="K832" s="8">
        <v>2.0428164E-5</v>
      </c>
      <c r="L832" s="8">
        <v>2.2388954999999999E-5</v>
      </c>
      <c r="M832" s="8">
        <v>2.3180261999999998E-5</v>
      </c>
      <c r="N832" s="8">
        <v>2.3510473000000001E-5</v>
      </c>
      <c r="O832">
        <v>0</v>
      </c>
      <c r="P832">
        <v>0</v>
      </c>
      <c r="Q832">
        <v>0</v>
      </c>
      <c r="R832" t="s">
        <v>243</v>
      </c>
    </row>
    <row r="833" spans="1:18" x14ac:dyDescent="0.3">
      <c r="A833" t="s">
        <v>259</v>
      </c>
      <c r="B833" t="s">
        <v>20</v>
      </c>
      <c r="C833" t="s">
        <v>262</v>
      </c>
      <c r="D833">
        <v>1.277162691E-2</v>
      </c>
      <c r="E833">
        <v>6.6196946899999996E-3</v>
      </c>
      <c r="F833">
        <v>6.8679674999999997E-3</v>
      </c>
      <c r="G833">
        <v>7.27054049799999E-3</v>
      </c>
      <c r="H833">
        <v>7.6085319459999997E-3</v>
      </c>
      <c r="I833">
        <v>7.7160807859999901E-3</v>
      </c>
      <c r="J833">
        <v>8.0173860264999997E-3</v>
      </c>
      <c r="K833">
        <v>7.6725778282999996E-3</v>
      </c>
      <c r="L833">
        <v>7.2760783254999899E-3</v>
      </c>
      <c r="M833">
        <v>6.93179904799999E-3</v>
      </c>
      <c r="N833">
        <v>6.5296968304000003E-3</v>
      </c>
      <c r="O833">
        <v>0</v>
      </c>
      <c r="P833">
        <v>0</v>
      </c>
      <c r="Q833">
        <v>0</v>
      </c>
      <c r="R833" t="s">
        <v>243</v>
      </c>
    </row>
    <row r="834" spans="1:18" x14ac:dyDescent="0.3">
      <c r="A834" t="s">
        <v>259</v>
      </c>
      <c r="B834" t="s">
        <v>20</v>
      </c>
      <c r="C834" t="s">
        <v>263</v>
      </c>
      <c r="D834">
        <v>5.8479357999999997E-3</v>
      </c>
      <c r="E834">
        <v>7.5290696000000004E-3</v>
      </c>
      <c r="F834">
        <v>8.1430223000000003E-3</v>
      </c>
      <c r="G834">
        <v>9.0173467999999993E-3</v>
      </c>
      <c r="H834">
        <v>9.4329310999999999E-3</v>
      </c>
      <c r="I834">
        <v>9.8001640192999905E-3</v>
      </c>
      <c r="J834">
        <v>1.060239717E-2</v>
      </c>
      <c r="K834">
        <v>1.1026664570000001E-2</v>
      </c>
      <c r="L834">
        <v>1.1215498929999901E-2</v>
      </c>
      <c r="M834">
        <v>1.1209788139999999E-2</v>
      </c>
      <c r="N834">
        <v>1.11018437599999E-2</v>
      </c>
      <c r="O834">
        <v>0</v>
      </c>
      <c r="P834">
        <v>0</v>
      </c>
      <c r="Q834">
        <v>0</v>
      </c>
      <c r="R834" t="s">
        <v>243</v>
      </c>
    </row>
    <row r="835" spans="1:18" x14ac:dyDescent="0.3">
      <c r="A835" t="s">
        <v>259</v>
      </c>
      <c r="B835" t="s">
        <v>20</v>
      </c>
      <c r="C835" t="s">
        <v>324</v>
      </c>
      <c r="D835" s="8">
        <v>1.7788800000000002E-5</v>
      </c>
      <c r="E835" s="8">
        <v>2.95641E-6</v>
      </c>
      <c r="F835" s="8">
        <v>1.0205800000000001E-6</v>
      </c>
      <c r="G835" s="8">
        <v>6.0816900000000005E-7</v>
      </c>
      <c r="H835" s="8">
        <v>6.5777600000000005E-7</v>
      </c>
      <c r="I835" s="8">
        <v>6.7976599999999995E-7</v>
      </c>
      <c r="J835" s="8">
        <v>6.8465360000000002E-7</v>
      </c>
      <c r="K835" s="8">
        <v>6.897945E-7</v>
      </c>
      <c r="L835" s="8">
        <v>6.8912100000000005E-7</v>
      </c>
      <c r="M835" s="8">
        <v>6.8169400000000002E-7</v>
      </c>
      <c r="N835" s="8">
        <v>6.7208300000000005E-7</v>
      </c>
      <c r="O835">
        <v>0</v>
      </c>
      <c r="P835">
        <v>0</v>
      </c>
      <c r="Q835">
        <v>0</v>
      </c>
      <c r="R835" t="s">
        <v>243</v>
      </c>
    </row>
    <row r="836" spans="1:18" x14ac:dyDescent="0.3">
      <c r="A836" t="s">
        <v>259</v>
      </c>
      <c r="B836" t="s">
        <v>20</v>
      </c>
      <c r="C836" t="s">
        <v>325</v>
      </c>
      <c r="D836" s="8">
        <v>1.27683E-6</v>
      </c>
      <c r="E836" s="8">
        <v>1.34152E-7</v>
      </c>
      <c r="F836" s="8">
        <v>5.4364899999999999E-8</v>
      </c>
      <c r="G836" s="8">
        <v>3.3787200000000001E-8</v>
      </c>
      <c r="H836" s="8">
        <v>3.5182899999999999E-8</v>
      </c>
      <c r="I836" s="8">
        <v>3.6477120000000002E-8</v>
      </c>
      <c r="J836" s="8">
        <v>3.6180789999999997E-8</v>
      </c>
      <c r="K836" s="8">
        <v>3.6125719999999999E-8</v>
      </c>
      <c r="L836" s="8">
        <v>3.5995130000000001E-8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243</v>
      </c>
    </row>
    <row r="837" spans="1:18" x14ac:dyDescent="0.3">
      <c r="A837" t="s">
        <v>259</v>
      </c>
      <c r="B837" t="s">
        <v>20</v>
      </c>
      <c r="C837" t="s">
        <v>326</v>
      </c>
      <c r="D837" s="8">
        <v>1.0559499999999999E-5</v>
      </c>
      <c r="E837" s="8">
        <v>1.62501E-6</v>
      </c>
      <c r="F837" s="8">
        <v>5.4859200000000002E-7</v>
      </c>
      <c r="G837" s="8">
        <v>3.2821800000000001E-7</v>
      </c>
      <c r="H837" s="8">
        <v>3.4645299999999901E-7</v>
      </c>
      <c r="I837" s="8">
        <v>3.5752939999999999E-7</v>
      </c>
      <c r="J837" s="8">
        <v>3.587169E-7</v>
      </c>
      <c r="K837" s="8">
        <v>3.6081060000000002E-7</v>
      </c>
      <c r="L837" s="8">
        <v>3.6051809999999999E-7</v>
      </c>
      <c r="M837" s="8">
        <v>3.5724219999999997E-7</v>
      </c>
      <c r="N837" s="8">
        <v>3.5305629999999998E-7</v>
      </c>
      <c r="O837">
        <v>0</v>
      </c>
      <c r="P837">
        <v>0</v>
      </c>
      <c r="Q837">
        <v>0</v>
      </c>
      <c r="R837" t="s">
        <v>243</v>
      </c>
    </row>
    <row r="838" spans="1:18" x14ac:dyDescent="0.3">
      <c r="A838" t="s">
        <v>259</v>
      </c>
      <c r="B838" t="s">
        <v>20</v>
      </c>
      <c r="C838" t="s">
        <v>327</v>
      </c>
      <c r="D838" s="8">
        <v>7.6320200000000005E-6</v>
      </c>
      <c r="E838" s="8">
        <v>1.1466200000000001E-6</v>
      </c>
      <c r="F838" s="8">
        <v>3.9538100000000001E-7</v>
      </c>
      <c r="G838" s="8">
        <v>2.3650999999999999E-7</v>
      </c>
      <c r="H838" s="8">
        <v>2.47206E-7</v>
      </c>
      <c r="I838" s="8">
        <v>2.554706E-7</v>
      </c>
      <c r="J838" s="8">
        <v>2.5546469999999999E-7</v>
      </c>
      <c r="K838" s="8">
        <v>2.5649700000000002E-7</v>
      </c>
      <c r="L838" s="8">
        <v>2.560584E-7</v>
      </c>
      <c r="M838" s="8">
        <v>2.535492E-7</v>
      </c>
      <c r="N838" s="8">
        <v>2.5043860000000001E-7</v>
      </c>
      <c r="O838">
        <v>0</v>
      </c>
      <c r="P838">
        <v>0</v>
      </c>
      <c r="Q838">
        <v>0</v>
      </c>
      <c r="R838" t="s">
        <v>243</v>
      </c>
    </row>
    <row r="839" spans="1:18" x14ac:dyDescent="0.3">
      <c r="A839" t="s">
        <v>259</v>
      </c>
      <c r="B839" t="s">
        <v>20</v>
      </c>
      <c r="C839" t="s">
        <v>328</v>
      </c>
      <c r="D839" s="8">
        <v>6.2498900000000002E-6</v>
      </c>
      <c r="E839" s="8">
        <v>8.8337999999999996E-7</v>
      </c>
      <c r="F839" s="8">
        <v>3.0889200000000001E-7</v>
      </c>
      <c r="G839" s="8">
        <v>1.8582999999999999E-7</v>
      </c>
      <c r="H839" s="8">
        <v>1.93075999999999E-7</v>
      </c>
      <c r="I839" s="8">
        <v>1.9923849999999999E-7</v>
      </c>
      <c r="J839" s="8">
        <v>1.9900409999999999E-7</v>
      </c>
      <c r="K839" s="8">
        <v>1.996759E-7</v>
      </c>
      <c r="L839" s="8">
        <v>1.993033E-7</v>
      </c>
      <c r="M839" s="8">
        <v>1.9753009999999999E-7</v>
      </c>
      <c r="N839" s="8">
        <v>1.9532980000000001E-7</v>
      </c>
      <c r="O839">
        <v>0</v>
      </c>
      <c r="P839">
        <v>0</v>
      </c>
      <c r="Q839">
        <v>0</v>
      </c>
      <c r="R839" t="s">
        <v>243</v>
      </c>
    </row>
    <row r="840" spans="1:18" x14ac:dyDescent="0.3">
      <c r="A840" t="s">
        <v>259</v>
      </c>
      <c r="B840" t="s">
        <v>20</v>
      </c>
      <c r="C840" t="s">
        <v>329</v>
      </c>
      <c r="D840" s="8">
        <v>5.2126300000000003E-6</v>
      </c>
      <c r="E840" s="8">
        <v>6.98605E-7</v>
      </c>
      <c r="F840" s="8">
        <v>2.5205599999999999E-7</v>
      </c>
      <c r="G840" s="8">
        <v>1.5204200000000001E-7</v>
      </c>
      <c r="H840" s="8">
        <v>1.5708009999999999E-7</v>
      </c>
      <c r="I840" s="8">
        <v>1.6227089999999999E-7</v>
      </c>
      <c r="J840" s="8">
        <v>1.61948799999999E-7</v>
      </c>
      <c r="K840" s="8">
        <v>1.624037E-7</v>
      </c>
      <c r="L840" s="8">
        <v>1.62055599999999E-7</v>
      </c>
      <c r="M840" s="8">
        <v>1.605114E-7</v>
      </c>
      <c r="N840" s="8">
        <v>1.587157E-7</v>
      </c>
      <c r="O840">
        <v>0</v>
      </c>
      <c r="P840">
        <v>0</v>
      </c>
      <c r="Q840">
        <v>0</v>
      </c>
      <c r="R840" t="s">
        <v>243</v>
      </c>
    </row>
    <row r="841" spans="1:18" x14ac:dyDescent="0.3">
      <c r="A841" t="s">
        <v>259</v>
      </c>
      <c r="B841" t="s">
        <v>20</v>
      </c>
      <c r="C841" t="s">
        <v>330</v>
      </c>
      <c r="D841" s="8">
        <v>4.3254299999999997E-6</v>
      </c>
      <c r="E841" s="8">
        <v>5.64452E-7</v>
      </c>
      <c r="F841" s="8">
        <v>2.10046E-7</v>
      </c>
      <c r="G841" s="8">
        <v>1.25495E-7</v>
      </c>
      <c r="H841" s="8">
        <v>1.294989E-7</v>
      </c>
      <c r="I841" s="8">
        <v>1.3386189999999999E-7</v>
      </c>
      <c r="J841" s="8">
        <v>1.3345539999999999E-7</v>
      </c>
      <c r="K841" s="8">
        <v>1.336531E-7</v>
      </c>
      <c r="L841" s="8">
        <v>1.3325189999999999E-7</v>
      </c>
      <c r="M841" s="8">
        <v>1.319969E-7</v>
      </c>
      <c r="N841" s="8">
        <v>1.30518599999999E-7</v>
      </c>
      <c r="O841">
        <v>0</v>
      </c>
      <c r="P841">
        <v>0</v>
      </c>
      <c r="Q841">
        <v>0</v>
      </c>
      <c r="R841" t="s">
        <v>243</v>
      </c>
    </row>
    <row r="842" spans="1:18" x14ac:dyDescent="0.3">
      <c r="A842" t="s">
        <v>259</v>
      </c>
      <c r="B842" t="s">
        <v>20</v>
      </c>
      <c r="C842" t="s">
        <v>331</v>
      </c>
      <c r="D842" s="8">
        <v>3.5540600000000002E-6</v>
      </c>
      <c r="E842" s="8">
        <v>4.5814299999999998E-7</v>
      </c>
      <c r="F842" s="8">
        <v>1.72979E-7</v>
      </c>
      <c r="G842" s="8">
        <v>1.06188E-7</v>
      </c>
      <c r="H842" s="8">
        <v>1.09975E-7</v>
      </c>
      <c r="I842" s="8">
        <v>1.135728E-7</v>
      </c>
      <c r="J842" s="8">
        <v>1.130758E-7</v>
      </c>
      <c r="K842" s="8">
        <v>1.132818E-7</v>
      </c>
      <c r="L842" s="8">
        <v>1.130192E-7</v>
      </c>
      <c r="M842" s="8">
        <v>1.11992E-7</v>
      </c>
      <c r="N842" s="8">
        <v>1.107657E-7</v>
      </c>
      <c r="O842">
        <v>0</v>
      </c>
      <c r="P842">
        <v>0</v>
      </c>
      <c r="Q842">
        <v>0</v>
      </c>
      <c r="R842" t="s">
        <v>243</v>
      </c>
    </row>
    <row r="843" spans="1:18" x14ac:dyDescent="0.3">
      <c r="A843" t="s">
        <v>259</v>
      </c>
      <c r="B843" t="s">
        <v>20</v>
      </c>
      <c r="C843" t="s">
        <v>332</v>
      </c>
      <c r="D843" s="8">
        <v>2.8985400000000001E-6</v>
      </c>
      <c r="E843" s="8">
        <v>3.6448899999999998E-7</v>
      </c>
      <c r="F843" s="8">
        <v>1.40855E-7</v>
      </c>
      <c r="G843" s="8">
        <v>8.6881400000000004E-8</v>
      </c>
      <c r="H843" s="8">
        <v>8.9781599999999994E-8</v>
      </c>
      <c r="I843" s="8">
        <v>9.2873899999999996E-8</v>
      </c>
      <c r="J843" s="8">
        <v>9.2416300000000001E-8</v>
      </c>
      <c r="K843" s="8">
        <v>9.2490300000000006E-8</v>
      </c>
      <c r="L843" s="8">
        <v>9.2233300000000006E-8</v>
      </c>
      <c r="M843" s="8">
        <v>9.13741E-8</v>
      </c>
      <c r="N843" s="8">
        <v>9.0370999999999996E-8</v>
      </c>
      <c r="O843">
        <v>0</v>
      </c>
      <c r="P843">
        <v>0</v>
      </c>
      <c r="Q843">
        <v>0</v>
      </c>
      <c r="R843" t="s">
        <v>243</v>
      </c>
    </row>
    <row r="844" spans="1:18" x14ac:dyDescent="0.3">
      <c r="A844" t="s">
        <v>259</v>
      </c>
      <c r="B844" t="s">
        <v>20</v>
      </c>
      <c r="C844" t="s">
        <v>333</v>
      </c>
      <c r="D844" s="8">
        <v>2.1034800000000001E-6</v>
      </c>
      <c r="E844" s="8">
        <v>2.7842900000000001E-7</v>
      </c>
      <c r="F844" s="8">
        <v>1.06259E-7</v>
      </c>
      <c r="G844" s="8">
        <v>6.5160999999999997E-8</v>
      </c>
      <c r="H844" s="8">
        <v>6.7562400000000002E-8</v>
      </c>
      <c r="I844" s="8">
        <v>6.98582999999999E-8</v>
      </c>
      <c r="J844" s="8">
        <v>6.9414850000000002E-8</v>
      </c>
      <c r="K844" s="8">
        <v>6.9440869999999998E-8</v>
      </c>
      <c r="L844" s="8">
        <v>6.9218599999999998E-8</v>
      </c>
      <c r="M844" s="8">
        <v>6.8552599999999997E-8</v>
      </c>
      <c r="N844" s="8">
        <v>6.7778899999999996E-8</v>
      </c>
      <c r="O844">
        <v>0</v>
      </c>
      <c r="P844">
        <v>0</v>
      </c>
      <c r="Q844">
        <v>0</v>
      </c>
      <c r="R844" t="s">
        <v>243</v>
      </c>
    </row>
    <row r="845" spans="1:18" x14ac:dyDescent="0.3">
      <c r="A845" t="s">
        <v>259</v>
      </c>
      <c r="B845" t="s">
        <v>20</v>
      </c>
      <c r="C845" t="s">
        <v>264</v>
      </c>
      <c r="D845" s="8">
        <v>3.6054830000000003E-4</v>
      </c>
      <c r="E845" s="8">
        <v>4.3047069999999998E-4</v>
      </c>
      <c r="F845" s="8">
        <v>6.3231789999999995E-4</v>
      </c>
      <c r="G845" s="8">
        <v>5.7108949999999995E-4</v>
      </c>
      <c r="H845" s="8">
        <v>6.0288573999999905E-4</v>
      </c>
      <c r="I845" s="8">
        <v>6.4615845000000002E-4</v>
      </c>
      <c r="J845" s="8">
        <v>6.7201879999999998E-4</v>
      </c>
      <c r="K845" s="8">
        <v>6.8199387999999896E-4</v>
      </c>
      <c r="L845" s="8">
        <v>6.7082901999999999E-4</v>
      </c>
      <c r="M845" s="8">
        <v>6.4563570999999996E-4</v>
      </c>
      <c r="N845" s="8">
        <v>6.2139307999999895E-4</v>
      </c>
      <c r="O845">
        <v>0</v>
      </c>
      <c r="P845">
        <v>0</v>
      </c>
      <c r="Q845">
        <v>0</v>
      </c>
      <c r="R845" t="s">
        <v>243</v>
      </c>
    </row>
    <row r="846" spans="1:18" x14ac:dyDescent="0.3">
      <c r="A846" t="s">
        <v>259</v>
      </c>
      <c r="B846" t="s">
        <v>20</v>
      </c>
      <c r="C846" t="s">
        <v>265</v>
      </c>
      <c r="D846" s="8">
        <v>6.6447139999999995E-4</v>
      </c>
      <c r="E846">
        <v>1.0025722E-3</v>
      </c>
      <c r="F846">
        <v>1.3732051E-3</v>
      </c>
      <c r="G846">
        <v>1.1647814000000001E-3</v>
      </c>
      <c r="H846">
        <v>1.1697143099999999E-3</v>
      </c>
      <c r="I846">
        <v>1.2165312599999999E-3</v>
      </c>
      <c r="J846">
        <v>1.2170763800000001E-3</v>
      </c>
      <c r="K846">
        <v>1.21807379E-3</v>
      </c>
      <c r="L846">
        <v>1.19322642E-3</v>
      </c>
      <c r="M846">
        <v>1.14976035E-3</v>
      </c>
      <c r="N846">
        <v>1.11053112999999E-3</v>
      </c>
      <c r="O846">
        <v>0</v>
      </c>
      <c r="P846">
        <v>0</v>
      </c>
      <c r="Q846">
        <v>0</v>
      </c>
      <c r="R846" t="s">
        <v>243</v>
      </c>
    </row>
    <row r="847" spans="1:18" x14ac:dyDescent="0.3">
      <c r="A847" t="s">
        <v>259</v>
      </c>
      <c r="B847" t="s">
        <v>20</v>
      </c>
      <c r="C847" t="s">
        <v>266</v>
      </c>
      <c r="D847" s="8">
        <v>4.324908E-4</v>
      </c>
      <c r="E847" s="8">
        <v>5.8021449999999997E-4</v>
      </c>
      <c r="F847" s="8">
        <v>8.3932340000000003E-4</v>
      </c>
      <c r="G847" s="8">
        <v>7.3298489999999998E-4</v>
      </c>
      <c r="H847" s="8">
        <v>7.4700334000000004E-4</v>
      </c>
      <c r="I847" s="8">
        <v>7.8029529999999996E-4</v>
      </c>
      <c r="J847" s="8">
        <v>7.93387059999999E-4</v>
      </c>
      <c r="K847" s="8">
        <v>8.0031799999999995E-4</v>
      </c>
      <c r="L847" s="8">
        <v>7.8631671999999995E-4</v>
      </c>
      <c r="M847" s="8">
        <v>7.5777406999999995E-4</v>
      </c>
      <c r="N847" s="8">
        <v>7.3112532999999999E-4</v>
      </c>
      <c r="O847">
        <v>0</v>
      </c>
      <c r="P847">
        <v>0</v>
      </c>
      <c r="Q847">
        <v>0</v>
      </c>
      <c r="R847" t="s">
        <v>243</v>
      </c>
    </row>
    <row r="848" spans="1:18" x14ac:dyDescent="0.3">
      <c r="A848" t="s">
        <v>259</v>
      </c>
      <c r="B848" t="s">
        <v>20</v>
      </c>
      <c r="C848" t="s">
        <v>267</v>
      </c>
      <c r="D848" s="8">
        <v>4.7179319999999999E-4</v>
      </c>
      <c r="E848" s="8">
        <v>6.5525809999999996E-4</v>
      </c>
      <c r="F848" s="8">
        <v>9.3051080000000001E-4</v>
      </c>
      <c r="G848" s="8">
        <v>8.0583719999999996E-4</v>
      </c>
      <c r="H848" s="8">
        <v>8.1234180000000001E-4</v>
      </c>
      <c r="I848" s="8">
        <v>8.4489345999999999E-4</v>
      </c>
      <c r="J848" s="8">
        <v>8.5330129000000003E-4</v>
      </c>
      <c r="K848" s="8">
        <v>8.5876696000000002E-4</v>
      </c>
      <c r="L848" s="8">
        <v>8.4287645000000004E-4</v>
      </c>
      <c r="M848" s="8">
        <v>8.1162897999999901E-4</v>
      </c>
      <c r="N848" s="8">
        <v>7.8264634999999905E-4</v>
      </c>
      <c r="O848">
        <v>0</v>
      </c>
      <c r="P848">
        <v>0</v>
      </c>
      <c r="Q848">
        <v>0</v>
      </c>
      <c r="R848" t="s">
        <v>243</v>
      </c>
    </row>
    <row r="849" spans="1:18" x14ac:dyDescent="0.3">
      <c r="A849" t="s">
        <v>259</v>
      </c>
      <c r="B849" t="s">
        <v>20</v>
      </c>
      <c r="C849" t="s">
        <v>268</v>
      </c>
      <c r="D849" s="8">
        <v>4.9477210000000002E-4</v>
      </c>
      <c r="E849" s="8">
        <v>7.0458939999999996E-4</v>
      </c>
      <c r="F849" s="8">
        <v>9.9321000000000001E-4</v>
      </c>
      <c r="G849" s="8">
        <v>8.5474490000000004E-4</v>
      </c>
      <c r="H849" s="8">
        <v>8.5655253999999904E-4</v>
      </c>
      <c r="I849" s="8">
        <v>8.8773709999999905E-4</v>
      </c>
      <c r="J849" s="8">
        <v>8.9472079999999995E-4</v>
      </c>
      <c r="K849" s="8">
        <v>8.9974174999999995E-4</v>
      </c>
      <c r="L849" s="8">
        <v>8.8293586999999897E-4</v>
      </c>
      <c r="M849" s="8">
        <v>8.5092996000000001E-4</v>
      </c>
      <c r="N849" s="8">
        <v>8.2149131999999898E-4</v>
      </c>
      <c r="O849">
        <v>0</v>
      </c>
      <c r="P849">
        <v>0</v>
      </c>
      <c r="Q849">
        <v>0</v>
      </c>
      <c r="R849" t="s">
        <v>243</v>
      </c>
    </row>
    <row r="850" spans="1:18" x14ac:dyDescent="0.3">
      <c r="A850" t="s">
        <v>259</v>
      </c>
      <c r="B850" t="s">
        <v>20</v>
      </c>
      <c r="C850" t="s">
        <v>269</v>
      </c>
      <c r="D850" s="8">
        <v>5.1515929999999897E-4</v>
      </c>
      <c r="E850" s="8">
        <v>7.4591459999999996E-4</v>
      </c>
      <c r="F850">
        <v>1.0423000999999999E-3</v>
      </c>
      <c r="G850" s="8">
        <v>8.9561559999999998E-4</v>
      </c>
      <c r="H850" s="8">
        <v>8.9268468999999901E-4</v>
      </c>
      <c r="I850" s="8">
        <v>9.2539619999999897E-4</v>
      </c>
      <c r="J850" s="8">
        <v>9.3155268999999897E-4</v>
      </c>
      <c r="K850" s="8">
        <v>9.3618993E-4</v>
      </c>
      <c r="L850" s="8">
        <v>9.1843828000000001E-4</v>
      </c>
      <c r="M850" s="8">
        <v>8.8457420999999998E-4</v>
      </c>
      <c r="N850" s="8">
        <v>8.53933459999999E-4</v>
      </c>
      <c r="O850">
        <v>0</v>
      </c>
      <c r="P850">
        <v>0</v>
      </c>
      <c r="Q850">
        <v>0</v>
      </c>
      <c r="R850" t="s">
        <v>243</v>
      </c>
    </row>
    <row r="851" spans="1:18" x14ac:dyDescent="0.3">
      <c r="A851" t="s">
        <v>259</v>
      </c>
      <c r="B851" t="s">
        <v>20</v>
      </c>
      <c r="C851" t="s">
        <v>270</v>
      </c>
      <c r="D851" s="8">
        <v>5.3583950000000004E-4</v>
      </c>
      <c r="E851" s="8">
        <v>7.8173990000000003E-4</v>
      </c>
      <c r="F851">
        <v>1.0846241E-3</v>
      </c>
      <c r="G851" s="8">
        <v>9.3089099999999999E-4</v>
      </c>
      <c r="H851" s="8">
        <v>9.2683942999999996E-4</v>
      </c>
      <c r="I851" s="8">
        <v>9.6106715999999895E-4</v>
      </c>
      <c r="J851" s="8">
        <v>9.6632401999999901E-4</v>
      </c>
      <c r="K851" s="8">
        <v>9.6985578999999895E-4</v>
      </c>
      <c r="L851" s="8">
        <v>9.5065210999999898E-4</v>
      </c>
      <c r="M851" s="8">
        <v>9.1568040000000002E-4</v>
      </c>
      <c r="N851" s="8">
        <v>8.8396068999999999E-4</v>
      </c>
      <c r="O851">
        <v>0</v>
      </c>
      <c r="P851">
        <v>0</v>
      </c>
      <c r="Q851">
        <v>0</v>
      </c>
      <c r="R851" t="s">
        <v>243</v>
      </c>
    </row>
    <row r="852" spans="1:18" x14ac:dyDescent="0.3">
      <c r="A852" t="s">
        <v>259</v>
      </c>
      <c r="B852" t="s">
        <v>20</v>
      </c>
      <c r="C852" t="s">
        <v>271</v>
      </c>
      <c r="D852" s="8">
        <v>5.5725700000000002E-4</v>
      </c>
      <c r="E852" s="8">
        <v>8.1498859999999998E-4</v>
      </c>
      <c r="F852">
        <v>1.1258976E-3</v>
      </c>
      <c r="G852" s="8">
        <v>9.6227309999999996E-4</v>
      </c>
      <c r="H852" s="8">
        <v>9.6139993999999997E-4</v>
      </c>
      <c r="I852" s="8">
        <v>9.959061E-4</v>
      </c>
      <c r="J852">
        <v>1.00005214999999E-3</v>
      </c>
      <c r="K852">
        <v>1.0041013299999901E-3</v>
      </c>
      <c r="L852" s="8">
        <v>9.8489238999999998E-4</v>
      </c>
      <c r="M852" s="8">
        <v>9.4900178999999998E-4</v>
      </c>
      <c r="N852" s="8">
        <v>9.1634656999999996E-4</v>
      </c>
      <c r="O852">
        <v>0</v>
      </c>
      <c r="P852">
        <v>0</v>
      </c>
      <c r="Q852">
        <v>0</v>
      </c>
      <c r="R852" t="s">
        <v>243</v>
      </c>
    </row>
    <row r="853" spans="1:18" x14ac:dyDescent="0.3">
      <c r="A853" t="s">
        <v>259</v>
      </c>
      <c r="B853" t="s">
        <v>20</v>
      </c>
      <c r="C853" t="s">
        <v>272</v>
      </c>
      <c r="D853" s="8">
        <v>5.7915750000000002E-4</v>
      </c>
      <c r="E853" s="8">
        <v>8.5090890000000003E-4</v>
      </c>
      <c r="F853">
        <v>1.170637E-3</v>
      </c>
      <c r="G853">
        <v>1.0017322E-3</v>
      </c>
      <c r="H853" s="8">
        <v>9.987458099999999E-4</v>
      </c>
      <c r="I853">
        <v>1.0362342100000001E-3</v>
      </c>
      <c r="J853">
        <v>1.0399058000000001E-3</v>
      </c>
      <c r="K853">
        <v>1.0430366800000001E-3</v>
      </c>
      <c r="L853">
        <v>1.02260691E-3</v>
      </c>
      <c r="M853" s="8">
        <v>9.85109159999999E-4</v>
      </c>
      <c r="N853" s="8">
        <v>9.5119398999999997E-4</v>
      </c>
      <c r="O853">
        <v>0</v>
      </c>
      <c r="P853">
        <v>0</v>
      </c>
      <c r="Q853">
        <v>0</v>
      </c>
      <c r="R853" t="s">
        <v>243</v>
      </c>
    </row>
    <row r="854" spans="1:18" x14ac:dyDescent="0.3">
      <c r="A854" t="s">
        <v>259</v>
      </c>
      <c r="B854" t="s">
        <v>20</v>
      </c>
      <c r="C854" t="s">
        <v>273</v>
      </c>
      <c r="D854" s="8">
        <v>6.1318630000000004E-4</v>
      </c>
      <c r="E854" s="8">
        <v>8.9355139999999897E-4</v>
      </c>
      <c r="F854">
        <v>1.2331695999999899E-3</v>
      </c>
      <c r="G854">
        <v>1.0500093000000001E-3</v>
      </c>
      <c r="H854">
        <v>1.05019622E-3</v>
      </c>
      <c r="I854">
        <v>1.0891904300000001E-3</v>
      </c>
      <c r="J854">
        <v>1.0915501899999901E-3</v>
      </c>
      <c r="K854">
        <v>1.09443407999999E-3</v>
      </c>
      <c r="L854">
        <v>1.0725564500000001E-3</v>
      </c>
      <c r="M854">
        <v>1.03291958999999E-3</v>
      </c>
      <c r="N854" s="8">
        <v>9.9703659999999909E-4</v>
      </c>
      <c r="O854">
        <v>0</v>
      </c>
      <c r="P854">
        <v>0</v>
      </c>
      <c r="Q854">
        <v>0</v>
      </c>
      <c r="R854" t="s">
        <v>243</v>
      </c>
    </row>
    <row r="855" spans="1:18" x14ac:dyDescent="0.3">
      <c r="A855" t="s">
        <v>259</v>
      </c>
      <c r="B855" t="s">
        <v>20</v>
      </c>
      <c r="C855" t="s">
        <v>274</v>
      </c>
      <c r="D855" s="8">
        <v>4.7521599999999999E-9</v>
      </c>
      <c r="E855" s="8">
        <v>3.58472E-9</v>
      </c>
      <c r="F855" s="8">
        <v>3.4295599999999999E-9</v>
      </c>
      <c r="G855" s="8">
        <v>3.2820600000000001E-9</v>
      </c>
      <c r="H855" s="8">
        <v>6.9451240000000001E-9</v>
      </c>
      <c r="I855" s="8">
        <v>7.0895059999999899E-9</v>
      </c>
      <c r="J855" s="8">
        <v>7.4209470000000004E-9</v>
      </c>
      <c r="K855" s="8">
        <v>8.149989E-9</v>
      </c>
      <c r="L855" s="8">
        <v>8.4289789999999906E-9</v>
      </c>
      <c r="M855" s="8">
        <v>8.2786009999999994E-9</v>
      </c>
      <c r="N855" s="8">
        <v>8.0089089999999999E-9</v>
      </c>
      <c r="O855">
        <v>0</v>
      </c>
      <c r="P855">
        <v>0</v>
      </c>
      <c r="Q855">
        <v>0</v>
      </c>
      <c r="R855" t="s">
        <v>243</v>
      </c>
    </row>
    <row r="856" spans="1:18" x14ac:dyDescent="0.3">
      <c r="A856" t="s">
        <v>259</v>
      </c>
      <c r="B856" t="s">
        <v>20</v>
      </c>
      <c r="C856" t="s">
        <v>275</v>
      </c>
      <c r="D856" s="8">
        <v>6.2570199999999995E-8</v>
      </c>
      <c r="E856" s="8">
        <v>6.5959000000000002E-8</v>
      </c>
      <c r="F856" s="8">
        <v>6.0360400000000001E-8</v>
      </c>
      <c r="G856" s="8">
        <v>5.57948E-8</v>
      </c>
      <c r="H856" s="8">
        <v>9.25575E-8</v>
      </c>
      <c r="I856" s="8">
        <v>1.0058980000000001E-7</v>
      </c>
      <c r="J856" s="8">
        <v>1.0990548E-7</v>
      </c>
      <c r="K856" s="8">
        <v>1.2212979E-7</v>
      </c>
      <c r="L856" s="8">
        <v>1.2808535E-7</v>
      </c>
      <c r="M856" s="8">
        <v>1.2832808999999999E-7</v>
      </c>
      <c r="N856" s="8">
        <v>1.2693949E-7</v>
      </c>
      <c r="O856">
        <v>0</v>
      </c>
      <c r="P856">
        <v>0</v>
      </c>
      <c r="Q856">
        <v>0</v>
      </c>
      <c r="R856" t="s">
        <v>243</v>
      </c>
    </row>
    <row r="857" spans="1:18" x14ac:dyDescent="0.3">
      <c r="A857" t="s">
        <v>259</v>
      </c>
      <c r="B857" t="s">
        <v>20</v>
      </c>
      <c r="C857" t="s">
        <v>276</v>
      </c>
      <c r="D857" s="8">
        <v>8.7123000000000002E-9</v>
      </c>
      <c r="E857" s="8">
        <v>6.45252E-9</v>
      </c>
      <c r="F857" s="8">
        <v>6.8591400000000004E-9</v>
      </c>
      <c r="G857" s="8">
        <v>6.5640999999999997E-9</v>
      </c>
      <c r="H857" s="8">
        <v>1.2296870000000001E-8</v>
      </c>
      <c r="I857" s="8">
        <v>1.267753E-8</v>
      </c>
      <c r="J857" s="8">
        <v>1.3450091999999999E-8</v>
      </c>
      <c r="K857" s="8">
        <v>1.4812678E-8</v>
      </c>
      <c r="L857" s="8">
        <v>1.5385644999999999E-8</v>
      </c>
      <c r="M857" s="8">
        <v>1.5226676000000001E-8</v>
      </c>
      <c r="N857" s="8">
        <v>1.48759549999999E-8</v>
      </c>
      <c r="O857">
        <v>0</v>
      </c>
      <c r="P857">
        <v>0</v>
      </c>
      <c r="Q857">
        <v>0</v>
      </c>
      <c r="R857" t="s">
        <v>243</v>
      </c>
    </row>
    <row r="858" spans="1:18" x14ac:dyDescent="0.3">
      <c r="A858" t="s">
        <v>259</v>
      </c>
      <c r="B858" t="s">
        <v>20</v>
      </c>
      <c r="C858" t="s">
        <v>277</v>
      </c>
      <c r="D858" s="8">
        <v>1.1880419999999999E-8</v>
      </c>
      <c r="E858" s="8">
        <v>9.3202999999999998E-9</v>
      </c>
      <c r="F858" s="8">
        <v>9.6027799999999994E-9</v>
      </c>
      <c r="G858" s="8">
        <v>9.1897399999999997E-9</v>
      </c>
      <c r="H858" s="8">
        <v>1.6395950000000001E-8</v>
      </c>
      <c r="I858" s="8">
        <v>1.712523E-8</v>
      </c>
      <c r="J858" s="8">
        <v>1.8190710000000001E-8</v>
      </c>
      <c r="K858" s="8">
        <v>1.9992169999999999E-8</v>
      </c>
      <c r="L858" s="8">
        <v>2.0732439999999899E-8</v>
      </c>
      <c r="M858" s="8">
        <v>2.0473813999999999E-8</v>
      </c>
      <c r="N858" s="8">
        <v>1.9959674E-8</v>
      </c>
      <c r="O858">
        <v>0</v>
      </c>
      <c r="P858">
        <v>0</v>
      </c>
      <c r="Q858">
        <v>0</v>
      </c>
      <c r="R858" t="s">
        <v>243</v>
      </c>
    </row>
    <row r="859" spans="1:18" x14ac:dyDescent="0.3">
      <c r="A859" t="s">
        <v>259</v>
      </c>
      <c r="B859" t="s">
        <v>20</v>
      </c>
      <c r="C859" t="s">
        <v>278</v>
      </c>
      <c r="D859" s="8">
        <v>1.504854E-8</v>
      </c>
      <c r="E859" s="8">
        <v>1.218808E-8</v>
      </c>
      <c r="F859" s="8">
        <v>1.234644E-8</v>
      </c>
      <c r="G859" s="8">
        <v>1.1815380000000001E-8</v>
      </c>
      <c r="H859" s="8">
        <v>2.0236220000000001E-8</v>
      </c>
      <c r="I859" s="8">
        <v>2.1051229999999899E-8</v>
      </c>
      <c r="J859" s="8">
        <v>2.2382589999999898E-8</v>
      </c>
      <c r="K859" s="8">
        <v>2.4621173000000001E-8</v>
      </c>
      <c r="L859" s="8">
        <v>2.5564140000000001E-8</v>
      </c>
      <c r="M859" s="8">
        <v>2.536627E-8</v>
      </c>
      <c r="N859" s="8">
        <v>2.4869046000000001E-8</v>
      </c>
      <c r="O859">
        <v>0</v>
      </c>
      <c r="P859">
        <v>0</v>
      </c>
      <c r="Q859">
        <v>0</v>
      </c>
      <c r="R859" t="s">
        <v>243</v>
      </c>
    </row>
    <row r="860" spans="1:18" x14ac:dyDescent="0.3">
      <c r="A860" t="s">
        <v>259</v>
      </c>
      <c r="B860" t="s">
        <v>20</v>
      </c>
      <c r="C860" t="s">
        <v>279</v>
      </c>
      <c r="D860" s="8">
        <v>1.742462E-8</v>
      </c>
      <c r="E860" s="8">
        <v>1.5055860000000001E-8</v>
      </c>
      <c r="F860" s="8">
        <v>1.50901E-8</v>
      </c>
      <c r="G860" s="8">
        <v>1.444102E-8</v>
      </c>
      <c r="H860" s="8">
        <v>2.4002249999999999E-8</v>
      </c>
      <c r="I860" s="8">
        <v>2.517489E-8</v>
      </c>
      <c r="J860" s="8">
        <v>2.6886529999999901E-8</v>
      </c>
      <c r="K860" s="8">
        <v>2.96148E-8</v>
      </c>
      <c r="L860" s="8">
        <v>3.0763709999999997E-8</v>
      </c>
      <c r="M860" s="8">
        <v>3.0462050000000001E-8</v>
      </c>
      <c r="N860" s="8">
        <v>2.9871930000000002E-8</v>
      </c>
      <c r="O860">
        <v>0</v>
      </c>
      <c r="P860">
        <v>0</v>
      </c>
      <c r="Q860">
        <v>0</v>
      </c>
      <c r="R860" t="s">
        <v>243</v>
      </c>
    </row>
    <row r="861" spans="1:18" x14ac:dyDescent="0.3">
      <c r="A861" t="s">
        <v>259</v>
      </c>
      <c r="B861" t="s">
        <v>20</v>
      </c>
      <c r="C861" t="s">
        <v>280</v>
      </c>
      <c r="D861" s="8">
        <v>2.05928E-8</v>
      </c>
      <c r="E861" s="8">
        <v>1.86406E-8</v>
      </c>
      <c r="F861" s="8">
        <v>1.7833739999999999E-8</v>
      </c>
      <c r="G861" s="8">
        <v>1.7723080000000002E-8</v>
      </c>
      <c r="H861" s="8">
        <v>2.8628190000000001E-8</v>
      </c>
      <c r="I861" s="8">
        <v>3.0026480000000001E-8</v>
      </c>
      <c r="J861" s="8">
        <v>3.1944970000000003E-8</v>
      </c>
      <c r="K861" s="8">
        <v>3.508936E-8</v>
      </c>
      <c r="L861" s="8">
        <v>3.636134E-8</v>
      </c>
      <c r="M861" s="8">
        <v>3.6046530000000001E-8</v>
      </c>
      <c r="N861" s="8">
        <v>3.5363149999999999E-8</v>
      </c>
      <c r="O861">
        <v>0</v>
      </c>
      <c r="P861">
        <v>0</v>
      </c>
      <c r="Q861">
        <v>0</v>
      </c>
      <c r="R861" t="s">
        <v>243</v>
      </c>
    </row>
    <row r="862" spans="1:18" x14ac:dyDescent="0.3">
      <c r="A862" t="s">
        <v>259</v>
      </c>
      <c r="B862" t="s">
        <v>20</v>
      </c>
      <c r="C862" t="s">
        <v>281</v>
      </c>
      <c r="D862" s="8">
        <v>2.5344799999999999E-8</v>
      </c>
      <c r="E862" s="8">
        <v>2.2225400000000001E-8</v>
      </c>
      <c r="F862" s="8">
        <v>2.1263399999999998E-8</v>
      </c>
      <c r="G862" s="8">
        <v>2.0348800000000002E-8</v>
      </c>
      <c r="H862" s="8">
        <v>3.3596240000000002E-8</v>
      </c>
      <c r="I862" s="8">
        <v>3.5314669999999897E-8</v>
      </c>
      <c r="J862" s="8">
        <v>3.7753940000000002E-8</v>
      </c>
      <c r="K862" s="8">
        <v>4.1672409999999903E-8</v>
      </c>
      <c r="L862" s="8">
        <v>4.3416950000000002E-8</v>
      </c>
      <c r="M862" s="8">
        <v>4.3168050000000003E-8</v>
      </c>
      <c r="N862" s="8">
        <v>4.2430989999999902E-8</v>
      </c>
      <c r="O862">
        <v>0</v>
      </c>
      <c r="P862">
        <v>0</v>
      </c>
      <c r="Q862">
        <v>0</v>
      </c>
      <c r="R862" t="s">
        <v>243</v>
      </c>
    </row>
    <row r="863" spans="1:18" x14ac:dyDescent="0.3">
      <c r="A863" t="s">
        <v>259</v>
      </c>
      <c r="B863" t="s">
        <v>20</v>
      </c>
      <c r="C863" t="s">
        <v>282</v>
      </c>
      <c r="D863" s="8">
        <v>3.0097000000000001E-8</v>
      </c>
      <c r="E863" s="8">
        <v>2.7243999999999999E-8</v>
      </c>
      <c r="F863" s="8">
        <v>2.6064800000000001E-8</v>
      </c>
      <c r="G863" s="8">
        <v>2.49436E-8</v>
      </c>
      <c r="H863" s="8">
        <v>4.0355130000000001E-8</v>
      </c>
      <c r="I863" s="8">
        <v>4.2803009999999999E-8</v>
      </c>
      <c r="J863" s="8">
        <v>4.5918299999999998E-8</v>
      </c>
      <c r="K863" s="8">
        <v>5.064923E-8</v>
      </c>
      <c r="L863" s="8">
        <v>5.2756669999999902E-8</v>
      </c>
      <c r="M863" s="8">
        <v>5.2446949999999997E-8</v>
      </c>
      <c r="N863" s="8">
        <v>5.1577259999999897E-8</v>
      </c>
      <c r="O863">
        <v>0</v>
      </c>
      <c r="P863">
        <v>0</v>
      </c>
      <c r="Q863">
        <v>0</v>
      </c>
      <c r="R863" t="s">
        <v>243</v>
      </c>
    </row>
    <row r="864" spans="1:18" x14ac:dyDescent="0.3">
      <c r="A864" t="s">
        <v>259</v>
      </c>
      <c r="B864" t="s">
        <v>20</v>
      </c>
      <c r="C864" t="s">
        <v>283</v>
      </c>
      <c r="D864" s="8">
        <v>4.0393399999999998E-8</v>
      </c>
      <c r="E864" s="8">
        <v>3.5130399999999999E-8</v>
      </c>
      <c r="F864" s="8">
        <v>3.3609799999999997E-8</v>
      </c>
      <c r="G864" s="8">
        <v>3.1507599999999998E-8</v>
      </c>
      <c r="H864" s="8">
        <v>5.1669599999999997E-8</v>
      </c>
      <c r="I864" s="8">
        <v>5.4953149999999997E-8</v>
      </c>
      <c r="J864" s="8">
        <v>5.9205360000000002E-8</v>
      </c>
      <c r="K864" s="8">
        <v>6.55192699999999E-8</v>
      </c>
      <c r="L864" s="8">
        <v>6.8314870000000005E-8</v>
      </c>
      <c r="M864" s="8">
        <v>6.7913689999999996E-8</v>
      </c>
      <c r="N864" s="8">
        <v>6.6731249999999997E-8</v>
      </c>
      <c r="O864">
        <v>0</v>
      </c>
      <c r="P864">
        <v>0</v>
      </c>
      <c r="Q864">
        <v>0</v>
      </c>
      <c r="R864" t="s">
        <v>243</v>
      </c>
    </row>
    <row r="865" spans="1:18" x14ac:dyDescent="0.3">
      <c r="A865" t="s">
        <v>259</v>
      </c>
      <c r="B865" t="s">
        <v>20</v>
      </c>
      <c r="C865" t="s">
        <v>334</v>
      </c>
      <c r="D865">
        <v>1.8110400000000001E-3</v>
      </c>
      <c r="E865" s="8">
        <v>2.9733599999999999E-4</v>
      </c>
      <c r="F865" s="8">
        <v>1.0736E-4</v>
      </c>
      <c r="G865" s="8">
        <v>6.3481700000000006E-5</v>
      </c>
      <c r="H865" s="8">
        <v>6.8596999999999994E-5</v>
      </c>
      <c r="I865" s="8">
        <v>7.1071799999999999E-5</v>
      </c>
      <c r="J865" s="8">
        <v>7.1500999999999897E-5</v>
      </c>
      <c r="K865" s="8">
        <v>7.1979029999999999E-5</v>
      </c>
      <c r="L865" s="8">
        <v>7.2003199999999995E-5</v>
      </c>
      <c r="M865" s="8">
        <v>7.1186900000000001E-5</v>
      </c>
      <c r="N865" s="8">
        <v>7.0164999999999895E-5</v>
      </c>
      <c r="O865">
        <v>0</v>
      </c>
      <c r="P865">
        <v>0</v>
      </c>
      <c r="Q865">
        <v>0</v>
      </c>
      <c r="R865" t="s">
        <v>243</v>
      </c>
    </row>
    <row r="866" spans="1:18" x14ac:dyDescent="0.3">
      <c r="A866" t="s">
        <v>259</v>
      </c>
      <c r="B866" t="s">
        <v>20</v>
      </c>
      <c r="C866" t="s">
        <v>335</v>
      </c>
      <c r="D866" s="8">
        <v>1.3192600000000001E-4</v>
      </c>
      <c r="E866" s="8">
        <v>1.37299E-5</v>
      </c>
      <c r="F866" s="8">
        <v>5.8277600000000001E-6</v>
      </c>
      <c r="G866" s="8">
        <v>3.6736899999999998E-6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243</v>
      </c>
    </row>
    <row r="867" spans="1:18" x14ac:dyDescent="0.3">
      <c r="A867" t="s">
        <v>259</v>
      </c>
      <c r="B867" t="s">
        <v>20</v>
      </c>
      <c r="C867" t="s">
        <v>336</v>
      </c>
      <c r="D867">
        <v>1.07822E-3</v>
      </c>
      <c r="E867" s="8">
        <v>1.63936E-4</v>
      </c>
      <c r="F867" s="8">
        <v>5.7853699999999998E-5</v>
      </c>
      <c r="G867" s="8">
        <v>3.4372100000000002E-5</v>
      </c>
      <c r="H867" s="8">
        <v>3.6247700000000002E-5</v>
      </c>
      <c r="I867" s="8">
        <v>3.7505600000000002E-5</v>
      </c>
      <c r="J867" s="8">
        <v>3.7583470000000002E-5</v>
      </c>
      <c r="K867" s="8">
        <v>3.7772579999999997E-5</v>
      </c>
      <c r="L867" s="8">
        <v>3.77935699999999E-5</v>
      </c>
      <c r="M867" s="8">
        <v>3.7426830000000001E-5</v>
      </c>
      <c r="N867" s="8">
        <v>3.69794E-5</v>
      </c>
      <c r="O867">
        <v>0</v>
      </c>
      <c r="P867">
        <v>0</v>
      </c>
      <c r="Q867">
        <v>0</v>
      </c>
      <c r="R867" t="s">
        <v>243</v>
      </c>
    </row>
    <row r="868" spans="1:18" x14ac:dyDescent="0.3">
      <c r="A868" t="s">
        <v>259</v>
      </c>
      <c r="B868" t="s">
        <v>20</v>
      </c>
      <c r="C868" t="s">
        <v>337</v>
      </c>
      <c r="D868" s="8">
        <v>7.8063600000000003E-4</v>
      </c>
      <c r="E868" s="8">
        <v>1.15778E-4</v>
      </c>
      <c r="F868" s="8">
        <v>4.1909700000000003E-5</v>
      </c>
      <c r="G868" s="8">
        <v>2.4763899999999998E-5</v>
      </c>
      <c r="H868" s="8">
        <v>2.58592999999999E-5</v>
      </c>
      <c r="I868" s="8">
        <v>2.67954999999999E-5</v>
      </c>
      <c r="J868" s="8">
        <v>2.6760499999999999E-5</v>
      </c>
      <c r="K868" s="8">
        <v>2.6847570000000002E-5</v>
      </c>
      <c r="L868" s="8">
        <v>2.68386099999999E-5</v>
      </c>
      <c r="M868" s="8">
        <v>2.655855E-5</v>
      </c>
      <c r="N868" s="8">
        <v>2.622654E-5</v>
      </c>
      <c r="O868">
        <v>0</v>
      </c>
      <c r="P868">
        <v>0</v>
      </c>
      <c r="Q868">
        <v>0</v>
      </c>
      <c r="R868" t="s">
        <v>243</v>
      </c>
    </row>
    <row r="869" spans="1:18" x14ac:dyDescent="0.3">
      <c r="A869" t="s">
        <v>259</v>
      </c>
      <c r="B869" t="s">
        <v>20</v>
      </c>
      <c r="C869" t="s">
        <v>338</v>
      </c>
      <c r="D869" s="8">
        <v>6.4000899999999998E-4</v>
      </c>
      <c r="E869" s="8">
        <v>8.9526300000000004E-5</v>
      </c>
      <c r="F869" s="8">
        <v>3.2783700000000003E-5</v>
      </c>
      <c r="G869" s="8">
        <v>1.9516499999999999E-5</v>
      </c>
      <c r="H869" s="8">
        <v>2.0258249999999999E-5</v>
      </c>
      <c r="I869" s="8">
        <v>2.0961399999999999E-5</v>
      </c>
      <c r="J869" s="8">
        <v>2.0909420000000001E-5</v>
      </c>
      <c r="K869" s="8">
        <v>2.0963489999999999E-5</v>
      </c>
      <c r="L869" s="8">
        <v>2.09535399999999E-5</v>
      </c>
      <c r="M869" s="8">
        <v>2.075354E-5</v>
      </c>
      <c r="N869" s="8">
        <v>2.0517500000000001E-5</v>
      </c>
      <c r="O869">
        <v>0</v>
      </c>
      <c r="P869">
        <v>0</v>
      </c>
      <c r="Q869">
        <v>0</v>
      </c>
      <c r="R869" t="s">
        <v>243</v>
      </c>
    </row>
    <row r="870" spans="1:18" x14ac:dyDescent="0.3">
      <c r="A870" t="s">
        <v>259</v>
      </c>
      <c r="B870" t="s">
        <v>20</v>
      </c>
      <c r="C870" t="s">
        <v>339</v>
      </c>
      <c r="D870" s="8">
        <v>5.3438400000000005E-4</v>
      </c>
      <c r="E870" s="8">
        <v>7.0885199999999997E-5</v>
      </c>
      <c r="F870" s="8">
        <v>2.6710500000000001E-5</v>
      </c>
      <c r="G870" s="8">
        <v>1.5864600000000001E-5</v>
      </c>
      <c r="H870" s="8">
        <v>1.6374550000000001E-5</v>
      </c>
      <c r="I870" s="8">
        <v>1.6961750000000001E-5</v>
      </c>
      <c r="J870" s="8">
        <v>1.6905549999999999E-5</v>
      </c>
      <c r="K870" s="8">
        <v>1.6939909999999899E-5</v>
      </c>
      <c r="L870" s="8">
        <v>1.6927280000000002E-5</v>
      </c>
      <c r="M870" s="8">
        <v>1.6754850000000001E-5</v>
      </c>
      <c r="N870" s="8">
        <v>1.656358E-5</v>
      </c>
      <c r="O870">
        <v>0</v>
      </c>
      <c r="P870">
        <v>0</v>
      </c>
      <c r="Q870">
        <v>0</v>
      </c>
      <c r="R870" t="s">
        <v>243</v>
      </c>
    </row>
    <row r="871" spans="1:18" x14ac:dyDescent="0.3">
      <c r="A871" t="s">
        <v>259</v>
      </c>
      <c r="B871" t="s">
        <v>20</v>
      </c>
      <c r="C871" t="s">
        <v>340</v>
      </c>
      <c r="D871" s="8">
        <v>4.4368400000000002E-4</v>
      </c>
      <c r="E871" s="8">
        <v>5.7252E-5</v>
      </c>
      <c r="F871" s="8">
        <v>2.2229899999999999E-5</v>
      </c>
      <c r="G871" s="8">
        <v>1.32099E-5</v>
      </c>
      <c r="H871" s="8">
        <v>1.361823E-5</v>
      </c>
      <c r="I871" s="8">
        <v>1.4115450000000001E-5</v>
      </c>
      <c r="J871" s="8">
        <v>1.4053779999999999E-5</v>
      </c>
      <c r="K871" s="8">
        <v>1.406377E-5</v>
      </c>
      <c r="L871" s="8">
        <v>1.4041229999999901E-5</v>
      </c>
      <c r="M871" s="8">
        <v>1.389967E-5</v>
      </c>
      <c r="N871" s="8">
        <v>1.259596E-5</v>
      </c>
      <c r="O871">
        <v>0</v>
      </c>
      <c r="P871">
        <v>0</v>
      </c>
      <c r="Q871">
        <v>0</v>
      </c>
      <c r="R871" t="s">
        <v>243</v>
      </c>
    </row>
    <row r="872" spans="1:18" x14ac:dyDescent="0.3">
      <c r="A872" t="s">
        <v>259</v>
      </c>
      <c r="B872" t="s">
        <v>20</v>
      </c>
      <c r="C872" t="s">
        <v>341</v>
      </c>
      <c r="D872" s="8">
        <v>3.6496599999999999E-4</v>
      </c>
      <c r="E872" s="8">
        <v>4.6640400000000002E-5</v>
      </c>
      <c r="F872" s="8">
        <v>1.8502600000000001E-5</v>
      </c>
      <c r="G872" s="8">
        <v>1.11954E-5</v>
      </c>
      <c r="H872" s="8">
        <v>1.158352E-5</v>
      </c>
      <c r="I872" s="8">
        <v>1.1994970000000001E-5</v>
      </c>
      <c r="J872" s="8">
        <v>1.192672E-5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243</v>
      </c>
    </row>
    <row r="873" spans="1:18" x14ac:dyDescent="0.3">
      <c r="A873" t="s">
        <v>259</v>
      </c>
      <c r="B873" t="s">
        <v>20</v>
      </c>
      <c r="C873" t="s">
        <v>342</v>
      </c>
      <c r="D873" s="8">
        <v>2.9811399999999999E-4</v>
      </c>
      <c r="E873" s="8">
        <v>3.7183700000000001E-5</v>
      </c>
      <c r="F873" s="8">
        <v>1.51082E-5</v>
      </c>
      <c r="G873" s="8">
        <v>9.0668999999999995E-6</v>
      </c>
      <c r="H873" s="8">
        <v>9.3606199999999995E-6</v>
      </c>
      <c r="I873" s="8">
        <v>9.7093599999999995E-6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243</v>
      </c>
    </row>
    <row r="874" spans="1:18" x14ac:dyDescent="0.3">
      <c r="A874" t="s">
        <v>259</v>
      </c>
      <c r="B874" t="s">
        <v>20</v>
      </c>
      <c r="C874" t="s">
        <v>343</v>
      </c>
      <c r="D874" s="8">
        <v>2.1652600000000001E-4</v>
      </c>
      <c r="E874" s="8">
        <v>2.82736E-5</v>
      </c>
      <c r="F874" s="8">
        <v>1.1324299999999999E-5</v>
      </c>
      <c r="G874" s="8">
        <v>6.9769899999999996E-6</v>
      </c>
      <c r="H874" s="8">
        <v>7.2272299999999996E-6</v>
      </c>
      <c r="I874" s="8">
        <v>7.49306E-6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243</v>
      </c>
    </row>
    <row r="875" spans="1:18" x14ac:dyDescent="0.3">
      <c r="A875" t="s">
        <v>259</v>
      </c>
      <c r="B875" t="s">
        <v>20</v>
      </c>
      <c r="C875" t="s">
        <v>284</v>
      </c>
      <c r="D875" s="8">
        <v>9.2606929999999995E-4</v>
      </c>
      <c r="E875" s="8">
        <v>5.2351879000000004E-4</v>
      </c>
      <c r="F875" s="8">
        <v>6.1046900999999897E-4</v>
      </c>
      <c r="G875" s="8">
        <v>5.3365740000000002E-4</v>
      </c>
      <c r="H875" s="8">
        <v>5.2797363899999999E-4</v>
      </c>
      <c r="I875" s="8">
        <v>5.6701322367999998E-4</v>
      </c>
      <c r="J875" s="8">
        <v>6.1240037971999897E-4</v>
      </c>
      <c r="K875" s="8">
        <v>6.0422949499000002E-4</v>
      </c>
      <c r="L875" s="8">
        <v>5.8869161934299997E-4</v>
      </c>
      <c r="M875" s="8">
        <v>5.6169752599999996E-4</v>
      </c>
      <c r="N875" s="8">
        <v>5.3040009210000003E-4</v>
      </c>
      <c r="O875">
        <v>0</v>
      </c>
      <c r="P875">
        <v>0</v>
      </c>
      <c r="Q875">
        <v>0</v>
      </c>
      <c r="R875" t="s">
        <v>243</v>
      </c>
    </row>
    <row r="876" spans="1:18" x14ac:dyDescent="0.3">
      <c r="A876" t="s">
        <v>259</v>
      </c>
      <c r="B876" t="s">
        <v>20</v>
      </c>
      <c r="C876" t="s">
        <v>285</v>
      </c>
      <c r="D876">
        <v>3.9920961000000001E-3</v>
      </c>
      <c r="E876">
        <v>4.0675614999999997E-3</v>
      </c>
      <c r="F876">
        <v>4.4890996999999997E-3</v>
      </c>
      <c r="G876">
        <v>3.4511832000000001E-3</v>
      </c>
      <c r="H876">
        <v>3.2054240706999998E-3</v>
      </c>
      <c r="I876">
        <v>3.1925939036E-3</v>
      </c>
      <c r="J876">
        <v>2.9838743997000002E-3</v>
      </c>
      <c r="K876">
        <v>2.6589678403399898E-3</v>
      </c>
      <c r="L876">
        <v>2.4711290216800001E-3</v>
      </c>
      <c r="M876">
        <v>2.2744440834999899E-3</v>
      </c>
      <c r="N876">
        <v>2.0842771380000001E-3</v>
      </c>
      <c r="O876">
        <v>0</v>
      </c>
      <c r="P876">
        <v>0</v>
      </c>
      <c r="Q876">
        <v>0</v>
      </c>
      <c r="R876" t="s">
        <v>243</v>
      </c>
    </row>
    <row r="877" spans="1:18" x14ac:dyDescent="0.3">
      <c r="A877" t="s">
        <v>259</v>
      </c>
      <c r="B877" t="s">
        <v>20</v>
      </c>
      <c r="C877" t="s">
        <v>286</v>
      </c>
      <c r="D877">
        <v>1.44968669999999E-3</v>
      </c>
      <c r="E877" s="8">
        <v>9.3663966999999999E-4</v>
      </c>
      <c r="F877">
        <v>1.1103251499999999E-3</v>
      </c>
      <c r="G877" s="8">
        <v>9.5542540999999997E-4</v>
      </c>
      <c r="H877" s="8">
        <v>8.9424623039999998E-4</v>
      </c>
      <c r="I877" s="8">
        <v>9.4055188759999998E-4</v>
      </c>
      <c r="J877" s="8">
        <v>9.9199443128999911E-4</v>
      </c>
      <c r="K877" s="8">
        <v>9.6708579505000003E-4</v>
      </c>
      <c r="L877" s="8">
        <v>9.4093941981000003E-4</v>
      </c>
      <c r="M877" s="8">
        <v>8.9812935840000001E-4</v>
      </c>
      <c r="N877" s="8">
        <v>8.4939537999999899E-4</v>
      </c>
      <c r="O877">
        <v>0</v>
      </c>
      <c r="P877">
        <v>0</v>
      </c>
      <c r="Q877">
        <v>0</v>
      </c>
      <c r="R877" t="s">
        <v>243</v>
      </c>
    </row>
    <row r="878" spans="1:18" x14ac:dyDescent="0.3">
      <c r="A878" t="s">
        <v>259</v>
      </c>
      <c r="B878" t="s">
        <v>20</v>
      </c>
      <c r="C878" t="s">
        <v>287</v>
      </c>
      <c r="D878">
        <v>1.8395055999999999E-3</v>
      </c>
      <c r="E878">
        <v>1.26381277E-3</v>
      </c>
      <c r="F878">
        <v>1.46242214E-3</v>
      </c>
      <c r="G878">
        <v>1.25267612999999E-3</v>
      </c>
      <c r="H878">
        <v>1.1471398327999999E-3</v>
      </c>
      <c r="I878">
        <v>1.2017518652399999E-3</v>
      </c>
      <c r="J878">
        <v>1.24470424434E-3</v>
      </c>
      <c r="K878">
        <v>1.1996596054400001E-3</v>
      </c>
      <c r="L878">
        <v>1.1610083656E-3</v>
      </c>
      <c r="M878">
        <v>1.1018198430000001E-3</v>
      </c>
      <c r="N878">
        <v>1.0363504947E-3</v>
      </c>
      <c r="O878">
        <v>0</v>
      </c>
      <c r="P878">
        <v>0</v>
      </c>
      <c r="Q878">
        <v>0</v>
      </c>
      <c r="R878" t="s">
        <v>243</v>
      </c>
    </row>
    <row r="879" spans="1:18" x14ac:dyDescent="0.3">
      <c r="A879" t="s">
        <v>259</v>
      </c>
      <c r="B879" t="s">
        <v>20</v>
      </c>
      <c r="C879" t="s">
        <v>288</v>
      </c>
      <c r="D879">
        <v>2.0970182E-3</v>
      </c>
      <c r="E879">
        <v>1.5477905E-3</v>
      </c>
      <c r="F879">
        <v>1.7742293000000001E-3</v>
      </c>
      <c r="G879">
        <v>1.4987314E-3</v>
      </c>
      <c r="H879">
        <v>1.3554904797E-3</v>
      </c>
      <c r="I879">
        <v>1.4054417266099999E-3</v>
      </c>
      <c r="J879">
        <v>1.4405054643800001E-3</v>
      </c>
      <c r="K879">
        <v>1.3776428975499999E-3</v>
      </c>
      <c r="L879">
        <v>1.32925463382999E-3</v>
      </c>
      <c r="M879">
        <v>1.2608406307000001E-3</v>
      </c>
      <c r="N879">
        <v>1.1859667637999999E-3</v>
      </c>
      <c r="O879">
        <v>0</v>
      </c>
      <c r="P879">
        <v>0</v>
      </c>
      <c r="Q879">
        <v>0</v>
      </c>
      <c r="R879" t="s">
        <v>243</v>
      </c>
    </row>
    <row r="880" spans="1:18" x14ac:dyDescent="0.3">
      <c r="A880" t="s">
        <v>259</v>
      </c>
      <c r="B880" t="s">
        <v>20</v>
      </c>
      <c r="C880" t="s">
        <v>289</v>
      </c>
      <c r="D880">
        <v>2.3379875999999999E-3</v>
      </c>
      <c r="E880">
        <v>1.8345071E-3</v>
      </c>
      <c r="F880">
        <v>2.0614477999999999E-3</v>
      </c>
      <c r="G880">
        <v>1.7309463E-3</v>
      </c>
      <c r="H880">
        <v>1.54728260889999E-3</v>
      </c>
      <c r="I880">
        <v>1.6010778682300001E-3</v>
      </c>
      <c r="J880">
        <v>1.62612916486E-3</v>
      </c>
      <c r="K880">
        <v>1.54417749892E-3</v>
      </c>
      <c r="L880">
        <v>1.4847524996800001E-3</v>
      </c>
      <c r="M880">
        <v>1.40157297699999E-3</v>
      </c>
      <c r="N880">
        <v>1.3141884908E-3</v>
      </c>
      <c r="O880">
        <v>0</v>
      </c>
      <c r="P880">
        <v>0</v>
      </c>
      <c r="Q880">
        <v>0</v>
      </c>
      <c r="R880" t="s">
        <v>243</v>
      </c>
    </row>
    <row r="881" spans="1:18" x14ac:dyDescent="0.3">
      <c r="A881" t="s">
        <v>259</v>
      </c>
      <c r="B881" t="s">
        <v>20</v>
      </c>
      <c r="C881" t="s">
        <v>290</v>
      </c>
      <c r="D881">
        <v>2.5891231000000001E-3</v>
      </c>
      <c r="E881">
        <v>2.1174708E-3</v>
      </c>
      <c r="F881">
        <v>2.3374256E-3</v>
      </c>
      <c r="G881">
        <v>1.9474388E-3</v>
      </c>
      <c r="H881">
        <v>1.742086946E-3</v>
      </c>
      <c r="I881">
        <v>1.7970314419100001E-3</v>
      </c>
      <c r="J881">
        <v>1.8074893248799899E-3</v>
      </c>
      <c r="K881">
        <v>1.7007768198E-3</v>
      </c>
      <c r="L881">
        <v>1.6264558119199999E-3</v>
      </c>
      <c r="M881">
        <v>1.5309185603999899E-3</v>
      </c>
      <c r="N881">
        <v>1.4311490366E-3</v>
      </c>
      <c r="O881">
        <v>0</v>
      </c>
      <c r="P881">
        <v>0</v>
      </c>
      <c r="Q881">
        <v>0</v>
      </c>
      <c r="R881" t="s">
        <v>243</v>
      </c>
    </row>
    <row r="882" spans="1:18" x14ac:dyDescent="0.3">
      <c r="A882" t="s">
        <v>259</v>
      </c>
      <c r="B882" t="s">
        <v>20</v>
      </c>
      <c r="C882" t="s">
        <v>291</v>
      </c>
      <c r="D882">
        <v>2.8504544999999998E-3</v>
      </c>
      <c r="E882">
        <v>2.4033533999999902E-3</v>
      </c>
      <c r="F882">
        <v>2.6278895000000002E-3</v>
      </c>
      <c r="G882">
        <v>2.1494834999999999E-3</v>
      </c>
      <c r="H882">
        <v>1.94891589E-3</v>
      </c>
      <c r="I882">
        <v>1.99570083052E-3</v>
      </c>
      <c r="J882">
        <v>1.9863694396099999E-3</v>
      </c>
      <c r="K882">
        <v>1.8600414917599899E-3</v>
      </c>
      <c r="L882">
        <v>1.7751770233099999E-3</v>
      </c>
      <c r="M882">
        <v>1.6668538934000001E-3</v>
      </c>
      <c r="N882">
        <v>1.5542889034E-3</v>
      </c>
      <c r="O882">
        <v>0</v>
      </c>
      <c r="P882">
        <v>0</v>
      </c>
      <c r="Q882">
        <v>0</v>
      </c>
      <c r="R882" t="s">
        <v>243</v>
      </c>
    </row>
    <row r="883" spans="1:18" x14ac:dyDescent="0.3">
      <c r="A883" t="s">
        <v>259</v>
      </c>
      <c r="B883" t="s">
        <v>20</v>
      </c>
      <c r="C883" t="s">
        <v>292</v>
      </c>
      <c r="D883">
        <v>3.1127399000000001E-3</v>
      </c>
      <c r="E883">
        <v>2.7290867000000002E-3</v>
      </c>
      <c r="F883">
        <v>2.9606429000000002E-3</v>
      </c>
      <c r="G883">
        <v>2.4115029000000001E-3</v>
      </c>
      <c r="H883">
        <v>2.1826843790999999E-3</v>
      </c>
      <c r="I883">
        <v>2.23098319557E-3</v>
      </c>
      <c r="J883">
        <v>2.19631430816999E-3</v>
      </c>
      <c r="K883">
        <v>2.0354233309799901E-3</v>
      </c>
      <c r="L883">
        <v>1.9316573378E-3</v>
      </c>
      <c r="M883">
        <v>1.8051743475999899E-3</v>
      </c>
      <c r="N883">
        <v>1.6767083076E-3</v>
      </c>
      <c r="O883">
        <v>0</v>
      </c>
      <c r="P883">
        <v>0</v>
      </c>
      <c r="Q883">
        <v>0</v>
      </c>
      <c r="R883" t="s">
        <v>243</v>
      </c>
    </row>
    <row r="884" spans="1:18" x14ac:dyDescent="0.3">
      <c r="A884" t="s">
        <v>259</v>
      </c>
      <c r="B884" t="s">
        <v>20</v>
      </c>
      <c r="C884" t="s">
        <v>293</v>
      </c>
      <c r="D884">
        <v>3.4966818999999901E-3</v>
      </c>
      <c r="E884">
        <v>3.1248311999999999E-3</v>
      </c>
      <c r="F884">
        <v>3.4431499999999999E-3</v>
      </c>
      <c r="G884">
        <v>2.7353626999999901E-3</v>
      </c>
      <c r="H884">
        <v>2.5072879712999901E-3</v>
      </c>
      <c r="I884">
        <v>2.5382744331600001E-3</v>
      </c>
      <c r="J884">
        <v>2.4580024758099998E-3</v>
      </c>
      <c r="K884">
        <v>2.2513838218799999E-3</v>
      </c>
      <c r="L884">
        <v>2.12129804105E-3</v>
      </c>
      <c r="M884">
        <v>1.9709507646999899E-3</v>
      </c>
      <c r="N884">
        <v>1.820894007E-3</v>
      </c>
      <c r="O884">
        <v>0</v>
      </c>
      <c r="P884">
        <v>0</v>
      </c>
      <c r="Q884">
        <v>0</v>
      </c>
      <c r="R884" t="s">
        <v>243</v>
      </c>
    </row>
    <row r="885" spans="1:18" x14ac:dyDescent="0.3">
      <c r="A885" t="s">
        <v>259</v>
      </c>
      <c r="B885" t="s">
        <v>20</v>
      </c>
      <c r="C885" t="s">
        <v>344</v>
      </c>
      <c r="D885" s="8">
        <v>8.1727699999999993E-5</v>
      </c>
      <c r="E885" s="8">
        <v>1.3210199999999999E-5</v>
      </c>
      <c r="F885" s="8">
        <v>4.8063500000000002E-6</v>
      </c>
      <c r="G885" s="8">
        <v>2.7970999999999999E-6</v>
      </c>
      <c r="H885" s="8">
        <v>3.0240499999999999E-6</v>
      </c>
      <c r="I885" s="8">
        <v>3.12848399999999E-6</v>
      </c>
      <c r="J885" s="8">
        <v>3.149719E-6</v>
      </c>
      <c r="K885" s="8">
        <v>3.1722319999999999E-6</v>
      </c>
      <c r="L885" s="8">
        <v>3.1710300000000002E-6</v>
      </c>
      <c r="M885" s="8">
        <v>3.13593999999999E-6</v>
      </c>
      <c r="N885" s="8">
        <v>3.0914379999999999E-6</v>
      </c>
      <c r="O885">
        <v>0</v>
      </c>
      <c r="P885">
        <v>0</v>
      </c>
      <c r="Q885">
        <v>0</v>
      </c>
      <c r="R885" t="s">
        <v>243</v>
      </c>
    </row>
    <row r="886" spans="1:18" x14ac:dyDescent="0.3">
      <c r="A886" t="s">
        <v>259</v>
      </c>
      <c r="B886" t="s">
        <v>20</v>
      </c>
      <c r="C886" t="s">
        <v>345</v>
      </c>
      <c r="D886" s="8">
        <v>1.0298900000000001E-5</v>
      </c>
      <c r="E886" s="8">
        <v>1.1618100000000001E-6</v>
      </c>
      <c r="F886" s="8">
        <v>4.7940000000000002E-7</v>
      </c>
      <c r="G886" s="8">
        <v>2.94431E-7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243</v>
      </c>
    </row>
    <row r="887" spans="1:18" x14ac:dyDescent="0.3">
      <c r="A887" t="s">
        <v>259</v>
      </c>
      <c r="B887" t="s">
        <v>20</v>
      </c>
      <c r="C887" t="s">
        <v>346</v>
      </c>
      <c r="D887" s="8">
        <v>5.4579900000000002E-5</v>
      </c>
      <c r="E887" s="8">
        <v>8.3199800000000003E-6</v>
      </c>
      <c r="F887" s="8">
        <v>2.9703000000000002E-6</v>
      </c>
      <c r="G887" s="8">
        <v>1.7376300000000001E-6</v>
      </c>
      <c r="H887" s="8">
        <v>1.8334159999999999E-6</v>
      </c>
      <c r="I887" s="8">
        <v>1.894131E-6</v>
      </c>
      <c r="J887" s="8">
        <v>1.8995639999999901E-6</v>
      </c>
      <c r="K887" s="8">
        <v>1.909995E-6</v>
      </c>
      <c r="L887" s="8">
        <v>1.9096330000000002E-6</v>
      </c>
      <c r="M887" s="8">
        <v>1.8916729999999999E-6</v>
      </c>
      <c r="N887" s="8">
        <v>1.8693569999999999E-6</v>
      </c>
      <c r="O887">
        <v>0</v>
      </c>
      <c r="P887">
        <v>0</v>
      </c>
      <c r="Q887">
        <v>0</v>
      </c>
      <c r="R887" t="s">
        <v>243</v>
      </c>
    </row>
    <row r="888" spans="1:18" x14ac:dyDescent="0.3">
      <c r="A888" t="s">
        <v>259</v>
      </c>
      <c r="B888" t="s">
        <v>20</v>
      </c>
      <c r="C888" t="s">
        <v>347</v>
      </c>
      <c r="D888" s="8">
        <v>4.2359199999999999E-5</v>
      </c>
      <c r="E888" s="8">
        <v>6.3330000000000002E-6</v>
      </c>
      <c r="F888" s="8">
        <v>2.30804E-6</v>
      </c>
      <c r="G888" s="8">
        <v>1.34183E-6</v>
      </c>
      <c r="H888" s="8">
        <v>1.401942E-6</v>
      </c>
      <c r="I888" s="8">
        <v>1.4504379999999999E-6</v>
      </c>
      <c r="J888" s="8">
        <v>1.449721E-6</v>
      </c>
      <c r="K888" s="8">
        <v>1.4550959999999999E-6</v>
      </c>
      <c r="L888" s="8">
        <v>1.453516E-6</v>
      </c>
      <c r="M888" s="8">
        <v>1.438797E-6</v>
      </c>
      <c r="N888" s="8">
        <v>1.4210330000000001E-6</v>
      </c>
      <c r="O888">
        <v>0</v>
      </c>
      <c r="P888">
        <v>0</v>
      </c>
      <c r="Q888">
        <v>0</v>
      </c>
      <c r="R888" t="s">
        <v>243</v>
      </c>
    </row>
    <row r="889" spans="1:18" x14ac:dyDescent="0.3">
      <c r="A889" t="s">
        <v>259</v>
      </c>
      <c r="B889" t="s">
        <v>20</v>
      </c>
      <c r="C889" t="s">
        <v>348</v>
      </c>
      <c r="D889" s="8">
        <v>3.6219900000000002E-5</v>
      </c>
      <c r="E889" s="8">
        <v>5.1737199999999998E-6</v>
      </c>
      <c r="F889" s="8">
        <v>1.9003E-6</v>
      </c>
      <c r="G889" s="8">
        <v>1.1125599999999999E-6</v>
      </c>
      <c r="H889" s="8">
        <v>1.1554749999999999E-6</v>
      </c>
      <c r="I889" s="8">
        <v>1.193705E-6</v>
      </c>
      <c r="J889" s="8">
        <v>1.1917270000000001E-6</v>
      </c>
      <c r="K889" s="8">
        <v>1.1953509999999999E-6</v>
      </c>
      <c r="L889" s="8">
        <v>1.193872E-6</v>
      </c>
      <c r="M889" s="8">
        <v>1.1828539999999999E-6</v>
      </c>
      <c r="N889" s="8">
        <v>1.1695870000000001E-6</v>
      </c>
      <c r="O889">
        <v>0</v>
      </c>
      <c r="P889">
        <v>0</v>
      </c>
      <c r="Q889">
        <v>0</v>
      </c>
      <c r="R889" t="s">
        <v>243</v>
      </c>
    </row>
    <row r="890" spans="1:18" x14ac:dyDescent="0.3">
      <c r="A890" t="s">
        <v>259</v>
      </c>
      <c r="B890" t="s">
        <v>20</v>
      </c>
      <c r="C890" t="s">
        <v>349</v>
      </c>
      <c r="D890" s="8">
        <v>3.14074E-5</v>
      </c>
      <c r="E890" s="8">
        <v>4.3004700000000002E-6</v>
      </c>
      <c r="F890" s="8">
        <v>1.61612E-6</v>
      </c>
      <c r="G890" s="8">
        <v>9.4362799999999998E-7</v>
      </c>
      <c r="H890" s="8">
        <v>9.7449000000000009E-7</v>
      </c>
      <c r="I890" s="8">
        <v>1.0078440000000001E-6</v>
      </c>
      <c r="J890" s="8">
        <v>1.0053449999999999E-6</v>
      </c>
      <c r="K890" s="8">
        <v>1.007841E-6</v>
      </c>
      <c r="L890" s="8">
        <v>1.0063180000000001E-6</v>
      </c>
      <c r="M890" s="8">
        <v>9.9638899999999896E-7</v>
      </c>
      <c r="N890" s="8">
        <v>9.8516799999999902E-7</v>
      </c>
      <c r="O890">
        <v>0</v>
      </c>
      <c r="P890">
        <v>0</v>
      </c>
      <c r="Q890">
        <v>0</v>
      </c>
      <c r="R890" t="s">
        <v>243</v>
      </c>
    </row>
    <row r="891" spans="1:18" x14ac:dyDescent="0.3">
      <c r="A891" t="s">
        <v>259</v>
      </c>
      <c r="B891" t="s">
        <v>20</v>
      </c>
      <c r="C891" t="s">
        <v>350</v>
      </c>
      <c r="D891" s="8">
        <v>2.71057E-5</v>
      </c>
      <c r="E891" s="8">
        <v>3.63224E-6</v>
      </c>
      <c r="F891" s="8">
        <v>1.39866E-6</v>
      </c>
      <c r="G891" s="8">
        <v>8.1813300000000001E-7</v>
      </c>
      <c r="H891" s="8">
        <v>8.4388300000000004E-7</v>
      </c>
      <c r="I891" s="8">
        <v>8.7331199999999998E-7</v>
      </c>
      <c r="J891" s="8">
        <v>8.7022699999999995E-7</v>
      </c>
      <c r="K891" s="8">
        <v>8.7123599999999995E-7</v>
      </c>
      <c r="L891" s="8">
        <v>8.6917099999999896E-7</v>
      </c>
      <c r="M891" s="8">
        <v>8.6069000000000001E-7</v>
      </c>
      <c r="N891" s="8">
        <v>8.5098799999999997E-7</v>
      </c>
      <c r="O891">
        <v>0</v>
      </c>
      <c r="P891">
        <v>0</v>
      </c>
      <c r="Q891">
        <v>0</v>
      </c>
      <c r="R891" t="s">
        <v>243</v>
      </c>
    </row>
    <row r="892" spans="1:18" x14ac:dyDescent="0.3">
      <c r="A892" t="s">
        <v>259</v>
      </c>
      <c r="B892" t="s">
        <v>20</v>
      </c>
      <c r="C892" t="s">
        <v>351</v>
      </c>
      <c r="D892" s="8">
        <v>2.3212000000000001E-5</v>
      </c>
      <c r="E892" s="8">
        <v>3.0854999999999999E-6</v>
      </c>
      <c r="F892" s="8">
        <v>1.20838E-6</v>
      </c>
      <c r="G892" s="8">
        <v>7.1677100000000001E-7</v>
      </c>
      <c r="H892" s="8">
        <v>7.42025E-7</v>
      </c>
      <c r="I892" s="8">
        <v>7.6717199999999895E-7</v>
      </c>
      <c r="J892" s="8">
        <v>7.6344100000000004E-7</v>
      </c>
      <c r="K892" s="8">
        <v>7.6458300000000001E-7</v>
      </c>
      <c r="L892" s="8">
        <v>7.6329099999999897E-7</v>
      </c>
      <c r="M892" s="8">
        <v>7.56098E-7</v>
      </c>
      <c r="N892" s="8">
        <v>7.4776100000000005E-7</v>
      </c>
      <c r="O892">
        <v>0</v>
      </c>
      <c r="P892">
        <v>0</v>
      </c>
      <c r="Q892">
        <v>0</v>
      </c>
      <c r="R892" t="s">
        <v>243</v>
      </c>
    </row>
    <row r="893" spans="1:18" x14ac:dyDescent="0.3">
      <c r="A893" t="s">
        <v>259</v>
      </c>
      <c r="B893" t="s">
        <v>20</v>
      </c>
      <c r="C893" t="s">
        <v>352</v>
      </c>
      <c r="D893" s="8">
        <v>1.9760599999999998E-5</v>
      </c>
      <c r="E893" s="8">
        <v>2.5767400000000001E-6</v>
      </c>
      <c r="F893" s="8">
        <v>1.0279900000000001E-6</v>
      </c>
      <c r="G893" s="8">
        <v>6.0575600000000004E-7</v>
      </c>
      <c r="H893" s="8">
        <v>6.2571799999999997E-7</v>
      </c>
      <c r="I893" s="8">
        <v>6.4800799999999999E-7</v>
      </c>
      <c r="J893" s="8">
        <v>6.4449699999999995E-7</v>
      </c>
      <c r="K893" s="8">
        <v>6.4480459999999896E-7</v>
      </c>
      <c r="L893" s="8">
        <v>6.4341899999999899E-7</v>
      </c>
      <c r="M893" s="8">
        <v>6.37207E-7</v>
      </c>
      <c r="N893" s="8">
        <v>6.3016600000000003E-7</v>
      </c>
      <c r="O893">
        <v>0</v>
      </c>
      <c r="P893">
        <v>0</v>
      </c>
      <c r="Q893">
        <v>0</v>
      </c>
      <c r="R893" t="s">
        <v>243</v>
      </c>
    </row>
    <row r="894" spans="1:18" x14ac:dyDescent="0.3">
      <c r="A894" t="s">
        <v>259</v>
      </c>
      <c r="B894" t="s">
        <v>20</v>
      </c>
      <c r="C894" t="s">
        <v>353</v>
      </c>
      <c r="D894" s="8">
        <v>1.53114E-5</v>
      </c>
      <c r="E894" s="8">
        <v>2.0704999999999999E-6</v>
      </c>
      <c r="F894" s="8">
        <v>8.1794500000000001E-7</v>
      </c>
      <c r="G894" s="8">
        <v>4.9232799999999996E-7</v>
      </c>
      <c r="H894" s="8">
        <v>5.1026200000000002E-7</v>
      </c>
      <c r="I894" s="8">
        <v>5.2819899999999995E-7</v>
      </c>
      <c r="J894" s="8">
        <v>5.2459250000000003E-7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243</v>
      </c>
    </row>
    <row r="895" spans="1:18" x14ac:dyDescent="0.3">
      <c r="A895" t="s">
        <v>259</v>
      </c>
      <c r="B895" t="s">
        <v>20</v>
      </c>
      <c r="C895" t="s">
        <v>294</v>
      </c>
      <c r="D895" s="8">
        <v>2.1920788999999901E-4</v>
      </c>
      <c r="E895" s="8">
        <v>1.0778327E-4</v>
      </c>
      <c r="F895" s="8">
        <v>1.14721640999999E-4</v>
      </c>
      <c r="G895" s="8">
        <v>9.7576835999999996E-5</v>
      </c>
      <c r="H895" s="8">
        <v>1.16238487E-4</v>
      </c>
      <c r="I895" s="8">
        <v>1.2934775639999999E-4</v>
      </c>
      <c r="J895" s="8">
        <v>1.5036632939999901E-4</v>
      </c>
      <c r="K895" s="8">
        <v>1.6035682477E-4</v>
      </c>
      <c r="L895" s="8">
        <v>1.6230351999999999E-4</v>
      </c>
      <c r="M895" s="8">
        <v>1.6183295659999899E-4</v>
      </c>
      <c r="N895" s="8">
        <v>1.5939176730000001E-4</v>
      </c>
      <c r="O895">
        <v>0</v>
      </c>
      <c r="P895">
        <v>0</v>
      </c>
      <c r="Q895">
        <v>0</v>
      </c>
      <c r="R895" t="s">
        <v>243</v>
      </c>
    </row>
    <row r="896" spans="1:18" x14ac:dyDescent="0.3">
      <c r="A896" t="s">
        <v>259</v>
      </c>
      <c r="B896" t="s">
        <v>20</v>
      </c>
      <c r="C896" t="s">
        <v>295</v>
      </c>
      <c r="D896" s="8">
        <v>9.0628309999999995E-4</v>
      </c>
      <c r="E896" s="8">
        <v>8.1737328E-4</v>
      </c>
      <c r="F896" s="8">
        <v>8.5259273999999997E-4</v>
      </c>
      <c r="G896" s="8">
        <v>6.4621573999999998E-4</v>
      </c>
      <c r="H896" s="8">
        <v>6.7335401899999996E-4</v>
      </c>
      <c r="I896" s="8">
        <v>7.0894185899999997E-4</v>
      </c>
      <c r="J896" s="8">
        <v>7.086195767E-4</v>
      </c>
      <c r="K896" s="8">
        <v>6.9657065789999997E-4</v>
      </c>
      <c r="L896" s="8">
        <v>6.8237498479999895E-4</v>
      </c>
      <c r="M896" s="8">
        <v>6.6384848399999999E-4</v>
      </c>
      <c r="N896" s="8">
        <v>6.4448146099999905E-4</v>
      </c>
      <c r="O896">
        <v>0</v>
      </c>
      <c r="P896">
        <v>0</v>
      </c>
      <c r="Q896">
        <v>0</v>
      </c>
      <c r="R896" t="s">
        <v>243</v>
      </c>
    </row>
    <row r="897" spans="1:18" x14ac:dyDescent="0.3">
      <c r="A897" t="s">
        <v>259</v>
      </c>
      <c r="B897" t="s">
        <v>20</v>
      </c>
      <c r="C897" t="s">
        <v>296</v>
      </c>
      <c r="D897" s="8">
        <v>3.4088941999999998E-4</v>
      </c>
      <c r="E897" s="8">
        <v>1.92331809999999E-4</v>
      </c>
      <c r="F897" s="8">
        <v>2.0892093999999901E-4</v>
      </c>
      <c r="G897" s="8">
        <v>1.7523709000000001E-4</v>
      </c>
      <c r="H897" s="8">
        <v>1.9417680650000001E-4</v>
      </c>
      <c r="I897" s="8">
        <v>2.1265193170000001E-4</v>
      </c>
      <c r="J897" s="8">
        <v>2.422846861E-4</v>
      </c>
      <c r="K897" s="8">
        <v>2.5682082719999898E-4</v>
      </c>
      <c r="L897" s="8">
        <v>2.6035059870000002E-4</v>
      </c>
      <c r="M897" s="8">
        <v>2.60460546E-4</v>
      </c>
      <c r="N897" s="8">
        <v>2.5788173100000001E-4</v>
      </c>
      <c r="O897">
        <v>0</v>
      </c>
      <c r="P897">
        <v>0</v>
      </c>
      <c r="Q897">
        <v>0</v>
      </c>
      <c r="R897" t="s">
        <v>243</v>
      </c>
    </row>
    <row r="898" spans="1:18" x14ac:dyDescent="0.3">
      <c r="A898" t="s">
        <v>259</v>
      </c>
      <c r="B898" t="s">
        <v>20</v>
      </c>
      <c r="C898" t="s">
        <v>297</v>
      </c>
      <c r="D898" s="8">
        <v>4.3040356999999999E-4</v>
      </c>
      <c r="E898" s="8">
        <v>2.5898845999999999E-4</v>
      </c>
      <c r="F898" s="8">
        <v>2.7541110000000002E-4</v>
      </c>
      <c r="G898" s="8">
        <v>2.30257219999999E-4</v>
      </c>
      <c r="H898" s="8">
        <v>2.4746790089999899E-4</v>
      </c>
      <c r="I898" s="8">
        <v>2.7066729019999998E-4</v>
      </c>
      <c r="J898" s="8">
        <v>3.0289750139999899E-4</v>
      </c>
      <c r="K898" s="8">
        <v>3.1822089969999899E-4</v>
      </c>
      <c r="L898" s="8">
        <v>3.213339769E-4</v>
      </c>
      <c r="M898" s="8">
        <v>3.2003242199999998E-4</v>
      </c>
      <c r="N898" s="8">
        <v>3.1569457299999998E-4</v>
      </c>
      <c r="O898">
        <v>0</v>
      </c>
      <c r="P898">
        <v>0</v>
      </c>
      <c r="Q898">
        <v>0</v>
      </c>
      <c r="R898" t="s">
        <v>243</v>
      </c>
    </row>
    <row r="899" spans="1:18" x14ac:dyDescent="0.3">
      <c r="A899" t="s">
        <v>259</v>
      </c>
      <c r="B899" t="s">
        <v>20</v>
      </c>
      <c r="C899" t="s">
        <v>298</v>
      </c>
      <c r="D899" s="8">
        <v>4.8900021999999995E-4</v>
      </c>
      <c r="E899" s="8">
        <v>3.1662233E-4</v>
      </c>
      <c r="F899" s="8">
        <v>3.3439070000000002E-4</v>
      </c>
      <c r="G899" s="8">
        <v>2.7598583000000001E-4</v>
      </c>
      <c r="H899" s="8">
        <v>2.9114736789999899E-4</v>
      </c>
      <c r="I899" s="8">
        <v>3.1560291619999999E-4</v>
      </c>
      <c r="J899" s="8">
        <v>3.4955420550000001E-4</v>
      </c>
      <c r="K899" s="8">
        <v>3.6513452389999899E-4</v>
      </c>
      <c r="L899" s="8">
        <v>3.67976929999999E-4</v>
      </c>
      <c r="M899" s="8">
        <v>3.6662685799999998E-4</v>
      </c>
      <c r="N899" s="8">
        <v>3.62122187E-4</v>
      </c>
      <c r="O899">
        <v>0</v>
      </c>
      <c r="P899">
        <v>0</v>
      </c>
      <c r="Q899">
        <v>0</v>
      </c>
      <c r="R899" t="s">
        <v>243</v>
      </c>
    </row>
    <row r="900" spans="1:18" x14ac:dyDescent="0.3">
      <c r="A900" t="s">
        <v>259</v>
      </c>
      <c r="B900" t="s">
        <v>20</v>
      </c>
      <c r="C900" t="s">
        <v>299</v>
      </c>
      <c r="D900" s="8">
        <v>5.4342910000000004E-4</v>
      </c>
      <c r="E900" s="8">
        <v>3.7459815000000002E-4</v>
      </c>
      <c r="F900" s="8">
        <v>3.8880248999999999E-4</v>
      </c>
      <c r="G900" s="8">
        <v>3.1930514000000002E-4</v>
      </c>
      <c r="H900" s="8">
        <v>3.310464747E-4</v>
      </c>
      <c r="I900" s="8">
        <v>3.5870565089999901E-4</v>
      </c>
      <c r="J900" s="8">
        <v>3.9347369280000002E-4</v>
      </c>
      <c r="K900" s="8">
        <v>4.0860144919999998E-4</v>
      </c>
      <c r="L900" s="8">
        <v>4.1066899499999997E-4</v>
      </c>
      <c r="M900" s="8">
        <v>4.0746642199999999E-4</v>
      </c>
      <c r="N900" s="8">
        <v>4.0158918700000001E-4</v>
      </c>
      <c r="O900">
        <v>0</v>
      </c>
      <c r="P900">
        <v>0</v>
      </c>
      <c r="Q900">
        <v>0</v>
      </c>
      <c r="R900" t="s">
        <v>243</v>
      </c>
    </row>
    <row r="901" spans="1:18" x14ac:dyDescent="0.3">
      <c r="A901" t="s">
        <v>259</v>
      </c>
      <c r="B901" t="s">
        <v>20</v>
      </c>
      <c r="C901" t="s">
        <v>300</v>
      </c>
      <c r="D901" s="8">
        <v>5.9972219999999998E-4</v>
      </c>
      <c r="E901" s="8">
        <v>4.3159037999999998E-4</v>
      </c>
      <c r="F901" s="8">
        <v>4.4116533000000002E-4</v>
      </c>
      <c r="G901" s="8">
        <v>3.5984363999999998E-4</v>
      </c>
      <c r="H901" s="8">
        <v>3.7176340320000002E-4</v>
      </c>
      <c r="I901" s="8">
        <v>4.0207110100000002E-4</v>
      </c>
      <c r="J901" s="8">
        <v>4.3631486209999901E-4</v>
      </c>
      <c r="K901" s="8">
        <v>4.4937580009999999E-4</v>
      </c>
      <c r="L901" s="8">
        <v>4.4962165809999999E-4</v>
      </c>
      <c r="M901" s="8">
        <v>4.4513135600000002E-4</v>
      </c>
      <c r="N901" s="8">
        <v>4.3780159299999999E-4</v>
      </c>
      <c r="O901">
        <v>0</v>
      </c>
      <c r="P901">
        <v>0</v>
      </c>
      <c r="Q901">
        <v>0</v>
      </c>
      <c r="R901" t="s">
        <v>243</v>
      </c>
    </row>
    <row r="902" spans="1:18" x14ac:dyDescent="0.3">
      <c r="A902" t="s">
        <v>259</v>
      </c>
      <c r="B902" t="s">
        <v>20</v>
      </c>
      <c r="C902" t="s">
        <v>301</v>
      </c>
      <c r="D902" s="8">
        <v>6.5781770000000002E-4</v>
      </c>
      <c r="E902" s="8">
        <v>4.8893470999999999E-4</v>
      </c>
      <c r="F902" s="8">
        <v>4.9636508000000003E-4</v>
      </c>
      <c r="G902" s="8">
        <v>3.9781734999999997E-4</v>
      </c>
      <c r="H902" s="8">
        <v>4.1526690199999999E-4</v>
      </c>
      <c r="I902" s="8">
        <v>4.4614810770000001E-4</v>
      </c>
      <c r="J902" s="8">
        <v>4.7837938289999998E-4</v>
      </c>
      <c r="K902" s="8">
        <v>4.9057534809999895E-4</v>
      </c>
      <c r="L902" s="8">
        <v>4.9030394890000001E-4</v>
      </c>
      <c r="M902" s="8">
        <v>4.8442632699999998E-4</v>
      </c>
      <c r="N902" s="8">
        <v>4.7561502199999902E-4</v>
      </c>
      <c r="O902">
        <v>0</v>
      </c>
      <c r="P902">
        <v>0</v>
      </c>
      <c r="Q902">
        <v>0</v>
      </c>
      <c r="R902" t="s">
        <v>243</v>
      </c>
    </row>
    <row r="903" spans="1:18" x14ac:dyDescent="0.3">
      <c r="A903" t="s">
        <v>259</v>
      </c>
      <c r="B903" t="s">
        <v>20</v>
      </c>
      <c r="C903" t="s">
        <v>302</v>
      </c>
      <c r="D903" s="8">
        <v>7.1561650000000004E-4</v>
      </c>
      <c r="E903" s="8">
        <v>5.5396600999999999E-4</v>
      </c>
      <c r="F903" s="8">
        <v>5.5971845E-4</v>
      </c>
      <c r="G903" s="8">
        <v>4.4727406999999999E-4</v>
      </c>
      <c r="H903" s="8">
        <v>4.6362253799999998E-4</v>
      </c>
      <c r="I903" s="8">
        <v>4.9803112589999997E-4</v>
      </c>
      <c r="J903" s="8">
        <v>5.2743750669999995E-4</v>
      </c>
      <c r="K903" s="8">
        <v>5.3590141839999995E-4</v>
      </c>
      <c r="L903" s="8">
        <v>5.3320219439999999E-4</v>
      </c>
      <c r="M903" s="8">
        <v>5.2475412699999895E-4</v>
      </c>
      <c r="N903" s="8">
        <v>5.1379944199999997E-4</v>
      </c>
      <c r="O903">
        <v>0</v>
      </c>
      <c r="P903">
        <v>0</v>
      </c>
      <c r="Q903">
        <v>0</v>
      </c>
      <c r="R903" t="s">
        <v>243</v>
      </c>
    </row>
    <row r="904" spans="1:18" x14ac:dyDescent="0.3">
      <c r="A904" t="s">
        <v>259</v>
      </c>
      <c r="B904" t="s">
        <v>20</v>
      </c>
      <c r="C904" t="s">
        <v>303</v>
      </c>
      <c r="D904" s="8">
        <v>7.9933429999999995E-4</v>
      </c>
      <c r="E904" s="8">
        <v>6.3250717999999997E-4</v>
      </c>
      <c r="F904" s="8">
        <v>6.5182510000000001E-4</v>
      </c>
      <c r="G904" s="8">
        <v>5.0876092000000004E-4</v>
      </c>
      <c r="H904" s="8">
        <v>5.3092776399999895E-4</v>
      </c>
      <c r="I904" s="8">
        <v>5.6572185699999998E-4</v>
      </c>
      <c r="J904" s="8">
        <v>5.8803065090000004E-4</v>
      </c>
      <c r="K904" s="8">
        <v>5.9132521130000003E-4</v>
      </c>
      <c r="L904" s="8">
        <v>5.8503142150000001E-4</v>
      </c>
      <c r="M904" s="8">
        <v>5.7297096099999997E-4</v>
      </c>
      <c r="N904" s="8">
        <v>5.5881786299999999E-4</v>
      </c>
      <c r="O904">
        <v>0</v>
      </c>
      <c r="P904">
        <v>0</v>
      </c>
      <c r="Q904">
        <v>0</v>
      </c>
      <c r="R904" t="s">
        <v>243</v>
      </c>
    </row>
    <row r="905" spans="1:18" x14ac:dyDescent="0.3">
      <c r="A905" t="s">
        <v>259</v>
      </c>
      <c r="B905" t="s">
        <v>20</v>
      </c>
      <c r="C905" t="s">
        <v>304</v>
      </c>
      <c r="D905" s="8">
        <v>1.14905E-4</v>
      </c>
      <c r="E905" s="8">
        <v>1.81452E-4</v>
      </c>
      <c r="F905" s="8">
        <v>2.4141200000000001E-4</v>
      </c>
      <c r="G905" s="8">
        <v>2.15987E-4</v>
      </c>
      <c r="H905" s="8">
        <v>2.4774299999999998E-4</v>
      </c>
      <c r="I905" s="8">
        <v>2.5765389999999998E-4</v>
      </c>
      <c r="J905" s="8">
        <v>2.6155029999999998E-4</v>
      </c>
      <c r="K905" s="8">
        <v>2.6531709999999997E-4</v>
      </c>
      <c r="L905" s="8">
        <v>2.6593560000000001E-4</v>
      </c>
      <c r="M905" s="8">
        <v>2.6334410000000003E-4</v>
      </c>
      <c r="N905" s="8">
        <v>2.5973149999999998E-4</v>
      </c>
      <c r="O905">
        <v>0</v>
      </c>
      <c r="P905">
        <v>0</v>
      </c>
      <c r="Q905">
        <v>0</v>
      </c>
      <c r="R905" t="s">
        <v>243</v>
      </c>
    </row>
    <row r="906" spans="1:18" x14ac:dyDescent="0.3">
      <c r="A906" t="s">
        <v>259</v>
      </c>
      <c r="B906" t="s">
        <v>20</v>
      </c>
      <c r="C906" t="s">
        <v>305</v>
      </c>
      <c r="D906" s="8">
        <v>2.2168099999999999E-4</v>
      </c>
      <c r="E906" s="8">
        <v>4.2939299999999997E-4</v>
      </c>
      <c r="F906" s="8">
        <v>5.2433299999999998E-4</v>
      </c>
      <c r="G906" s="8">
        <v>4.4168499999999998E-4</v>
      </c>
      <c r="H906" s="8">
        <v>4.5972999999999999E-4</v>
      </c>
      <c r="I906" s="8">
        <v>4.7716600000000001E-4</v>
      </c>
      <c r="J906" s="8">
        <v>4.730518E-4</v>
      </c>
      <c r="K906" s="8">
        <v>4.721797E-4</v>
      </c>
      <c r="L906" s="8">
        <v>4.7076300000000002E-4</v>
      </c>
      <c r="M906" s="8">
        <v>4.6632949999999998E-4</v>
      </c>
      <c r="N906" s="8">
        <v>4.6133019999999999E-4</v>
      </c>
      <c r="O906">
        <v>0</v>
      </c>
      <c r="P906">
        <v>0</v>
      </c>
      <c r="Q906">
        <v>0</v>
      </c>
      <c r="R906" t="s">
        <v>243</v>
      </c>
    </row>
    <row r="907" spans="1:18" x14ac:dyDescent="0.3">
      <c r="A907" t="s">
        <v>259</v>
      </c>
      <c r="B907" t="s">
        <v>20</v>
      </c>
      <c r="C907" t="s">
        <v>306</v>
      </c>
      <c r="D907" s="8">
        <v>1.42096E-4</v>
      </c>
      <c r="E907" s="8">
        <v>2.4665899999999998E-4</v>
      </c>
      <c r="F907" s="8">
        <v>3.2046400000000001E-4</v>
      </c>
      <c r="G907" s="8">
        <v>2.7772199999999999E-4</v>
      </c>
      <c r="H907" s="8">
        <v>2.96996E-4</v>
      </c>
      <c r="I907" s="8">
        <v>3.071177E-4</v>
      </c>
      <c r="J907" s="8">
        <v>3.0842559999999899E-4</v>
      </c>
      <c r="K907" s="8">
        <v>3.1032999999999999E-4</v>
      </c>
      <c r="L907" s="8">
        <v>3.10327E-4</v>
      </c>
      <c r="M907" s="8">
        <v>3.074361E-4</v>
      </c>
      <c r="N907" s="8">
        <v>3.0380670000000002E-4</v>
      </c>
      <c r="O907">
        <v>0</v>
      </c>
      <c r="P907">
        <v>0</v>
      </c>
      <c r="Q907">
        <v>0</v>
      </c>
      <c r="R907" t="s">
        <v>243</v>
      </c>
    </row>
    <row r="908" spans="1:18" x14ac:dyDescent="0.3">
      <c r="A908" t="s">
        <v>259</v>
      </c>
      <c r="B908" t="s">
        <v>20</v>
      </c>
      <c r="C908" t="s">
        <v>307</v>
      </c>
      <c r="D908" s="8">
        <v>1.5649699999999999E-4</v>
      </c>
      <c r="E908" s="8">
        <v>2.7958300000000002E-4</v>
      </c>
      <c r="F908" s="8">
        <v>3.5529000000000002E-4</v>
      </c>
      <c r="G908" s="8">
        <v>3.0547799999999998E-4</v>
      </c>
      <c r="H908" s="8">
        <v>3.2053699999999899E-4</v>
      </c>
      <c r="I908" s="8">
        <v>3.3170779999999999E-4</v>
      </c>
      <c r="J908" s="8">
        <v>3.3164689999999998E-4</v>
      </c>
      <c r="K908" s="8">
        <v>3.3290799999999998E-4</v>
      </c>
      <c r="L908" s="8">
        <v>3.3255379999999997E-4</v>
      </c>
      <c r="M908" s="8">
        <v>3.2919200000000002E-4</v>
      </c>
      <c r="N908" s="8">
        <v>3.25125E-4</v>
      </c>
      <c r="O908">
        <v>0</v>
      </c>
      <c r="P908">
        <v>0</v>
      </c>
      <c r="Q908">
        <v>0</v>
      </c>
      <c r="R908" t="s">
        <v>243</v>
      </c>
    </row>
    <row r="909" spans="1:18" x14ac:dyDescent="0.3">
      <c r="A909" t="s">
        <v>259</v>
      </c>
      <c r="B909" t="s">
        <v>20</v>
      </c>
      <c r="C909" t="s">
        <v>308</v>
      </c>
      <c r="D909" s="8">
        <v>1.64618E-4</v>
      </c>
      <c r="E909" s="8">
        <v>3.0117799999999998E-4</v>
      </c>
      <c r="F909" s="8">
        <v>3.7923399999999999E-4</v>
      </c>
      <c r="G909" s="8">
        <v>3.2407600000000002E-4</v>
      </c>
      <c r="H909" s="8">
        <v>3.3709099999999997E-4</v>
      </c>
      <c r="I909" s="8">
        <v>3.4826300000000002E-4</v>
      </c>
      <c r="J909" s="8">
        <v>3.4771119999999899E-4</v>
      </c>
      <c r="K909" s="8">
        <v>3.4877280000000002E-4</v>
      </c>
      <c r="L909" s="8">
        <v>3.4834389999999899E-4</v>
      </c>
      <c r="M909" s="8">
        <v>3.4513110000000002E-4</v>
      </c>
      <c r="N909" s="8">
        <v>3.4125799999999999E-4</v>
      </c>
      <c r="O909">
        <v>0</v>
      </c>
      <c r="P909">
        <v>0</v>
      </c>
      <c r="Q909">
        <v>0</v>
      </c>
      <c r="R909" t="s">
        <v>243</v>
      </c>
    </row>
    <row r="910" spans="1:18" x14ac:dyDescent="0.3">
      <c r="A910" t="s">
        <v>259</v>
      </c>
      <c r="B910" t="s">
        <v>20</v>
      </c>
      <c r="C910" t="s">
        <v>309</v>
      </c>
      <c r="D910" s="8">
        <v>1.7165600000000001E-4</v>
      </c>
      <c r="E910" s="8">
        <v>3.1916799999999999E-4</v>
      </c>
      <c r="F910" s="8">
        <v>3.97981E-4</v>
      </c>
      <c r="G910" s="8">
        <v>3.39599E-4</v>
      </c>
      <c r="H910" s="8">
        <v>3.5088699999999998E-4</v>
      </c>
      <c r="I910" s="8">
        <v>3.6289660000000002E-4</v>
      </c>
      <c r="J910" s="8">
        <v>3.6199669999999998E-4</v>
      </c>
      <c r="K910" s="8">
        <v>3.628964E-4</v>
      </c>
      <c r="L910" s="8">
        <v>3.6234750000000001E-4</v>
      </c>
      <c r="M910" s="8">
        <v>3.5877309999999998E-4</v>
      </c>
      <c r="N910" s="8">
        <v>3.5473260000000001E-4</v>
      </c>
      <c r="O910">
        <v>0</v>
      </c>
      <c r="P910">
        <v>0</v>
      </c>
      <c r="Q910">
        <v>0</v>
      </c>
      <c r="R910" t="s">
        <v>243</v>
      </c>
    </row>
    <row r="911" spans="1:18" x14ac:dyDescent="0.3">
      <c r="A911" t="s">
        <v>259</v>
      </c>
      <c r="B911" t="s">
        <v>20</v>
      </c>
      <c r="C911" t="s">
        <v>310</v>
      </c>
      <c r="D911" s="8">
        <v>1.7868100000000001E-4</v>
      </c>
      <c r="E911" s="8">
        <v>3.3467300000000001E-4</v>
      </c>
      <c r="F911" s="8">
        <v>4.1414199999999999E-4</v>
      </c>
      <c r="G911" s="8">
        <v>3.5298600000000001E-4</v>
      </c>
      <c r="H911" s="8">
        <v>3.64154E-4</v>
      </c>
      <c r="I911" s="8">
        <v>3.768466E-4</v>
      </c>
      <c r="J911" s="8">
        <v>3.7550810000000002E-4</v>
      </c>
      <c r="K911" s="8">
        <v>3.7594240000000001E-4</v>
      </c>
      <c r="L911" s="8">
        <v>3.7505129999999999E-4</v>
      </c>
      <c r="M911" s="8">
        <v>3.7139230000000001E-4</v>
      </c>
      <c r="N911" s="8">
        <v>3.6720550000000001E-4</v>
      </c>
      <c r="O911">
        <v>0</v>
      </c>
      <c r="P911">
        <v>0</v>
      </c>
      <c r="Q911">
        <v>0</v>
      </c>
      <c r="R911" t="s">
        <v>243</v>
      </c>
    </row>
    <row r="912" spans="1:18" x14ac:dyDescent="0.3">
      <c r="A912" t="s">
        <v>259</v>
      </c>
      <c r="B912" t="s">
        <v>20</v>
      </c>
      <c r="C912" t="s">
        <v>311</v>
      </c>
      <c r="D912" s="8">
        <v>1.8588400000000001E-4</v>
      </c>
      <c r="E912" s="8">
        <v>3.4899600000000002E-4</v>
      </c>
      <c r="F912" s="8">
        <v>4.2990200000000002E-4</v>
      </c>
      <c r="G912" s="8">
        <v>3.6488999999999998E-4</v>
      </c>
      <c r="H912" s="8">
        <v>3.77758999999999E-4</v>
      </c>
      <c r="I912" s="8">
        <v>3.90552999999999E-4</v>
      </c>
      <c r="J912" s="8">
        <v>3.8864409999999998E-4</v>
      </c>
      <c r="K912" s="8">
        <v>3.8922419999999999E-4</v>
      </c>
      <c r="L912" s="8">
        <v>3.8856669999999999E-4</v>
      </c>
      <c r="M912" s="8">
        <v>3.8490490000000002E-4</v>
      </c>
      <c r="N912" s="8">
        <v>3.8066130000000001E-4</v>
      </c>
      <c r="O912">
        <v>0</v>
      </c>
      <c r="P912">
        <v>0</v>
      </c>
      <c r="Q912">
        <v>0</v>
      </c>
      <c r="R912" t="s">
        <v>243</v>
      </c>
    </row>
    <row r="913" spans="1:18" x14ac:dyDescent="0.3">
      <c r="A913" t="s">
        <v>259</v>
      </c>
      <c r="B913" t="s">
        <v>20</v>
      </c>
      <c r="C913" t="s">
        <v>312</v>
      </c>
      <c r="D913" s="8">
        <v>1.9321099999999999E-4</v>
      </c>
      <c r="E913" s="8">
        <v>3.6442000000000001E-4</v>
      </c>
      <c r="F913" s="8">
        <v>4.4698399999999999E-4</v>
      </c>
      <c r="G913" s="8">
        <v>3.79854E-4</v>
      </c>
      <c r="H913" s="8">
        <v>3.9236700000000002E-4</v>
      </c>
      <c r="I913" s="8">
        <v>4.0633399999999897E-4</v>
      </c>
      <c r="J913" s="8">
        <v>4.0412199999999998E-4</v>
      </c>
      <c r="K913" s="8">
        <v>4.04314499999999E-4</v>
      </c>
      <c r="L913" s="8">
        <v>4.0344609999999999E-4</v>
      </c>
      <c r="M913" s="8">
        <v>3.9955109999999998E-4</v>
      </c>
      <c r="N913" s="8">
        <v>3.9513580000000002E-4</v>
      </c>
      <c r="O913">
        <v>0</v>
      </c>
      <c r="P913">
        <v>0</v>
      </c>
      <c r="Q913">
        <v>0</v>
      </c>
      <c r="R913" t="s">
        <v>243</v>
      </c>
    </row>
    <row r="914" spans="1:18" x14ac:dyDescent="0.3">
      <c r="A914" t="s">
        <v>259</v>
      </c>
      <c r="B914" t="s">
        <v>20</v>
      </c>
      <c r="C914" t="s">
        <v>313</v>
      </c>
      <c r="D914" s="8">
        <v>2.0457E-4</v>
      </c>
      <c r="E914" s="8">
        <v>3.8269699999999999E-4</v>
      </c>
      <c r="F914" s="8">
        <v>4.7086399999999998E-4</v>
      </c>
      <c r="G914" s="8">
        <v>3.9816199999999997E-4</v>
      </c>
      <c r="H914" s="8">
        <v>4.1265599999999898E-4</v>
      </c>
      <c r="I914" s="8">
        <v>4.2715100000000002E-4</v>
      </c>
      <c r="J914" s="8">
        <v>4.2422329999999999E-4</v>
      </c>
      <c r="K914" s="8">
        <v>4.24244E-4</v>
      </c>
      <c r="L914" s="8">
        <v>4.231506E-4</v>
      </c>
      <c r="M914" s="8">
        <v>4.189377E-4</v>
      </c>
      <c r="N914" s="8">
        <v>4.1417860000000001E-4</v>
      </c>
      <c r="O914">
        <v>0</v>
      </c>
      <c r="P914">
        <v>0</v>
      </c>
      <c r="Q914">
        <v>0</v>
      </c>
      <c r="R914" t="s">
        <v>243</v>
      </c>
    </row>
    <row r="915" spans="1:18" x14ac:dyDescent="0.3">
      <c r="A915" t="s">
        <v>259</v>
      </c>
      <c r="B915" t="s">
        <v>20</v>
      </c>
      <c r="C915" t="s">
        <v>314</v>
      </c>
      <c r="D915" s="8">
        <v>2.3139600000000001E-5</v>
      </c>
      <c r="E915" s="8">
        <v>3.45596E-5</v>
      </c>
      <c r="F915" s="8">
        <v>4.7187600000000002E-5</v>
      </c>
      <c r="G915" s="8">
        <v>4.3637400000000003E-5</v>
      </c>
      <c r="H915" s="8">
        <v>5.2839600000000001E-5</v>
      </c>
      <c r="I915" s="8">
        <v>5.4647600000000002E-5</v>
      </c>
      <c r="J915" s="8">
        <v>5.6446200000000002E-5</v>
      </c>
      <c r="K915" s="8">
        <v>5.7970000000000002E-5</v>
      </c>
      <c r="L915" s="8">
        <v>5.8147099999999998E-5</v>
      </c>
      <c r="M915" s="8">
        <v>5.7479699999999998E-5</v>
      </c>
      <c r="N915" s="8">
        <v>5.6344999999999997E-5</v>
      </c>
      <c r="O915">
        <v>0</v>
      </c>
      <c r="P915">
        <v>0</v>
      </c>
      <c r="Q915">
        <v>0</v>
      </c>
      <c r="R915" t="s">
        <v>243</v>
      </c>
    </row>
    <row r="916" spans="1:18" x14ac:dyDescent="0.3">
      <c r="A916" t="s">
        <v>259</v>
      </c>
      <c r="B916" t="s">
        <v>20</v>
      </c>
      <c r="C916" t="s">
        <v>315</v>
      </c>
      <c r="D916" s="8">
        <v>5.4005500000000003E-5</v>
      </c>
      <c r="E916" s="8">
        <v>1.05474E-4</v>
      </c>
      <c r="F916" s="8">
        <v>1.2730700000000001E-4</v>
      </c>
      <c r="G916" s="8">
        <v>1.0603399999999999E-4</v>
      </c>
      <c r="H916" s="8">
        <v>1.07626E-4</v>
      </c>
      <c r="I916" s="8">
        <v>1.09602E-4</v>
      </c>
      <c r="J916" s="8">
        <v>1.08515E-4</v>
      </c>
      <c r="K916" s="8">
        <v>1.06993E-4</v>
      </c>
      <c r="L916" s="8">
        <v>1.0554500000000001E-4</v>
      </c>
      <c r="M916" s="8">
        <v>1.03731E-4</v>
      </c>
      <c r="N916" s="8">
        <v>1.0155E-4</v>
      </c>
      <c r="O916">
        <v>0</v>
      </c>
      <c r="P916">
        <v>0</v>
      </c>
      <c r="Q916">
        <v>0</v>
      </c>
      <c r="R916" t="s">
        <v>243</v>
      </c>
    </row>
    <row r="917" spans="1:18" x14ac:dyDescent="0.3">
      <c r="A917" t="s">
        <v>259</v>
      </c>
      <c r="B917" t="s">
        <v>20</v>
      </c>
      <c r="C917" t="s">
        <v>316</v>
      </c>
      <c r="D917" s="8">
        <v>3.1325300000000003E-5</v>
      </c>
      <c r="E917" s="8">
        <v>5.2138800000000003E-5</v>
      </c>
      <c r="F917" s="8">
        <v>6.9585000000000005E-5</v>
      </c>
      <c r="G917" s="8">
        <v>6.18103E-5</v>
      </c>
      <c r="H917" s="8">
        <v>6.7483800000000006E-5</v>
      </c>
      <c r="I917" s="8">
        <v>6.8903699999999996E-5</v>
      </c>
      <c r="J917" s="8">
        <v>6.97368E-5</v>
      </c>
      <c r="K917" s="8">
        <v>6.9912600000000006E-5</v>
      </c>
      <c r="L917" s="8">
        <v>6.9367000000000002E-5</v>
      </c>
      <c r="M917" s="8">
        <v>6.8263799999999995E-5</v>
      </c>
      <c r="N917" s="8">
        <v>6.6804399999999993E-5</v>
      </c>
      <c r="O917">
        <v>0</v>
      </c>
      <c r="P917">
        <v>0</v>
      </c>
      <c r="Q917">
        <v>0</v>
      </c>
      <c r="R917" t="s">
        <v>243</v>
      </c>
    </row>
    <row r="918" spans="1:18" x14ac:dyDescent="0.3">
      <c r="A918" t="s">
        <v>259</v>
      </c>
      <c r="B918" t="s">
        <v>20</v>
      </c>
      <c r="C918" t="s">
        <v>317</v>
      </c>
      <c r="D918" s="8">
        <v>3.6029599999999998E-5</v>
      </c>
      <c r="E918" s="8">
        <v>6.2447900000000002E-5</v>
      </c>
      <c r="F918" s="8">
        <v>8.0680399999999994E-5</v>
      </c>
      <c r="G918" s="8">
        <v>7.0494799999999995E-5</v>
      </c>
      <c r="H918" s="8">
        <v>7.4098900000000003E-5</v>
      </c>
      <c r="I918" s="8">
        <v>7.5503300000000006E-5</v>
      </c>
      <c r="J918" s="8">
        <v>7.5719100000000005E-5</v>
      </c>
      <c r="K918" s="8">
        <v>7.5329199999999997E-5</v>
      </c>
      <c r="L918" s="8">
        <v>7.4512300000000001E-5</v>
      </c>
      <c r="M918" s="8">
        <v>7.32011E-5</v>
      </c>
      <c r="N918" s="8">
        <v>7.1555699999999997E-5</v>
      </c>
      <c r="O918">
        <v>0</v>
      </c>
      <c r="P918">
        <v>0</v>
      </c>
      <c r="Q918">
        <v>0</v>
      </c>
      <c r="R918" t="s">
        <v>243</v>
      </c>
    </row>
    <row r="919" spans="1:18" x14ac:dyDescent="0.3">
      <c r="A919" t="s">
        <v>259</v>
      </c>
      <c r="B919" t="s">
        <v>20</v>
      </c>
      <c r="C919" t="s">
        <v>318</v>
      </c>
      <c r="D919" s="8">
        <v>3.8658800000000003E-5</v>
      </c>
      <c r="E919" s="8">
        <v>6.9567700000000001E-5</v>
      </c>
      <c r="F919" s="8">
        <v>8.8394799999999996E-5</v>
      </c>
      <c r="G919" s="8">
        <v>7.6123499999999997E-5</v>
      </c>
      <c r="H919" s="8">
        <v>7.8452200000000001E-5</v>
      </c>
      <c r="I919" s="8">
        <v>7.9664800000000003E-5</v>
      </c>
      <c r="J919" s="8">
        <v>7.9624799999999997E-5</v>
      </c>
      <c r="K919" s="8">
        <v>7.9001300000000005E-5</v>
      </c>
      <c r="L919" s="8">
        <v>7.8085399999999996E-5</v>
      </c>
      <c r="M919" s="8">
        <v>7.6765800000000003E-5</v>
      </c>
      <c r="N919" s="8">
        <v>7.51173E-5</v>
      </c>
      <c r="O919">
        <v>0</v>
      </c>
      <c r="P919">
        <v>0</v>
      </c>
      <c r="Q919">
        <v>0</v>
      </c>
      <c r="R919" t="s">
        <v>243</v>
      </c>
    </row>
    <row r="920" spans="1:18" x14ac:dyDescent="0.3">
      <c r="A920" t="s">
        <v>259</v>
      </c>
      <c r="B920" t="s">
        <v>20</v>
      </c>
      <c r="C920" t="s">
        <v>319</v>
      </c>
      <c r="D920" s="8">
        <v>4.0856799999999998E-5</v>
      </c>
      <c r="E920" s="8">
        <v>7.5483300000000003E-5</v>
      </c>
      <c r="F920" s="8">
        <v>9.4254199999999996E-5</v>
      </c>
      <c r="G920" s="8">
        <v>8.0573600000000004E-5</v>
      </c>
      <c r="H920" s="8">
        <v>8.1912199999999998E-5</v>
      </c>
      <c r="I920" s="8">
        <v>8.3200200000000003E-5</v>
      </c>
      <c r="J920" s="8">
        <v>8.2995600000000002E-5</v>
      </c>
      <c r="K920" s="8">
        <v>8.2224800000000006E-5</v>
      </c>
      <c r="L920" s="8">
        <v>8.1233699999999994E-5</v>
      </c>
      <c r="M920" s="8">
        <v>7.9804599999999998E-5</v>
      </c>
      <c r="N920" s="8">
        <v>7.8084599999999994E-5</v>
      </c>
      <c r="O920">
        <v>0</v>
      </c>
      <c r="P920">
        <v>0</v>
      </c>
      <c r="Q920">
        <v>0</v>
      </c>
      <c r="R920" t="s">
        <v>243</v>
      </c>
    </row>
    <row r="921" spans="1:18" x14ac:dyDescent="0.3">
      <c r="A921" t="s">
        <v>259</v>
      </c>
      <c r="B921" t="s">
        <v>20</v>
      </c>
      <c r="C921" t="s">
        <v>320</v>
      </c>
      <c r="D921" s="8">
        <v>4.2945999999999998E-5</v>
      </c>
      <c r="E921" s="8">
        <v>8.0392500000000007E-5</v>
      </c>
      <c r="F921" s="8">
        <v>9.9072000000000003E-5</v>
      </c>
      <c r="G921" s="8">
        <v>8.4213899999999997E-5</v>
      </c>
      <c r="H921" s="8">
        <v>8.5141000000000004E-5</v>
      </c>
      <c r="I921" s="8">
        <v>8.6488699999999997E-5</v>
      </c>
      <c r="J921" s="8">
        <v>8.61315E-5</v>
      </c>
      <c r="K921" s="8">
        <v>8.5186900000000003E-5</v>
      </c>
      <c r="L921" s="8">
        <v>8.4083299999999995E-5</v>
      </c>
      <c r="M921" s="8">
        <v>8.2613000000000003E-5</v>
      </c>
      <c r="N921" s="8">
        <v>8.0830399999999998E-5</v>
      </c>
      <c r="O921">
        <v>0</v>
      </c>
      <c r="P921">
        <v>0</v>
      </c>
      <c r="Q921">
        <v>0</v>
      </c>
      <c r="R921" t="s">
        <v>243</v>
      </c>
    </row>
    <row r="922" spans="1:18" x14ac:dyDescent="0.3">
      <c r="A922" t="s">
        <v>259</v>
      </c>
      <c r="B922" t="s">
        <v>20</v>
      </c>
      <c r="C922" t="s">
        <v>321</v>
      </c>
      <c r="D922" s="8">
        <v>4.4968800000000002E-5</v>
      </c>
      <c r="E922" s="8">
        <v>8.4680399999999996E-5</v>
      </c>
      <c r="F922" s="8">
        <v>1.03529E-4</v>
      </c>
      <c r="G922" s="8">
        <v>8.7314199999999998E-5</v>
      </c>
      <c r="H922" s="8">
        <v>8.8391000000000001E-5</v>
      </c>
      <c r="I922" s="8">
        <v>8.9674199999999996E-5</v>
      </c>
      <c r="J922" s="8">
        <v>8.9154700000000002E-5</v>
      </c>
      <c r="K922" s="8">
        <v>8.8200400000000003E-5</v>
      </c>
      <c r="L922" s="8">
        <v>8.7115100000000002E-5</v>
      </c>
      <c r="M922" s="8">
        <v>8.5618599999999994E-5</v>
      </c>
      <c r="N922" s="8">
        <v>8.3792800000000002E-5</v>
      </c>
      <c r="O922">
        <v>0</v>
      </c>
      <c r="P922">
        <v>0</v>
      </c>
      <c r="Q922">
        <v>0</v>
      </c>
      <c r="R922" t="s">
        <v>243</v>
      </c>
    </row>
    <row r="923" spans="1:18" x14ac:dyDescent="0.3">
      <c r="A923" t="s">
        <v>259</v>
      </c>
      <c r="B923" t="s">
        <v>20</v>
      </c>
      <c r="C923" t="s">
        <v>322</v>
      </c>
      <c r="D923" s="8">
        <v>4.69209E-5</v>
      </c>
      <c r="E923" s="8">
        <v>8.9013199999999997E-5</v>
      </c>
      <c r="F923" s="8">
        <v>1.08114E-4</v>
      </c>
      <c r="G923" s="8">
        <v>9.1077700000000004E-5</v>
      </c>
      <c r="H923" s="8">
        <v>9.1835299999999998E-5</v>
      </c>
      <c r="I923" s="8">
        <v>9.3315900000000006E-5</v>
      </c>
      <c r="J923" s="8">
        <v>9.27108E-5</v>
      </c>
      <c r="K923" s="8">
        <v>9.1618000000000003E-5</v>
      </c>
      <c r="L923" s="8">
        <v>9.0450899999999998E-5</v>
      </c>
      <c r="M923" s="8">
        <v>8.8876799999999996E-5</v>
      </c>
      <c r="N923" s="8">
        <v>8.6978599999999994E-5</v>
      </c>
      <c r="O923">
        <v>0</v>
      </c>
      <c r="P923">
        <v>0</v>
      </c>
      <c r="Q923">
        <v>0</v>
      </c>
      <c r="R923" t="s">
        <v>243</v>
      </c>
    </row>
    <row r="924" spans="1:18" x14ac:dyDescent="0.3">
      <c r="A924" t="s">
        <v>259</v>
      </c>
      <c r="B924" t="s">
        <v>20</v>
      </c>
      <c r="C924" t="s">
        <v>323</v>
      </c>
      <c r="D924" s="8">
        <v>4.9803099999999998E-5</v>
      </c>
      <c r="E924" s="8">
        <v>9.3835399999999999E-5</v>
      </c>
      <c r="F924" s="8">
        <v>1.14206E-4</v>
      </c>
      <c r="G924" s="8">
        <v>9.5557500000000001E-5</v>
      </c>
      <c r="H924" s="8">
        <v>9.6598800000000001E-5</v>
      </c>
      <c r="I924" s="8">
        <v>9.8103700000000001E-5</v>
      </c>
      <c r="J924" s="8">
        <v>9.7319300000000002E-5</v>
      </c>
      <c r="K924" s="8">
        <v>9.6134399999999999E-5</v>
      </c>
      <c r="L924" s="8">
        <v>9.4868800000000002E-5</v>
      </c>
      <c r="M924" s="8">
        <v>9.3188299999999997E-5</v>
      </c>
      <c r="N924" s="8">
        <v>9.1170399999999997E-5</v>
      </c>
      <c r="O924">
        <v>0</v>
      </c>
      <c r="P924">
        <v>0</v>
      </c>
      <c r="Q924">
        <v>0</v>
      </c>
      <c r="R924" t="s">
        <v>243</v>
      </c>
    </row>
    <row r="925" spans="1:18" x14ac:dyDescent="0.3">
      <c r="A925" t="s">
        <v>259</v>
      </c>
      <c r="B925" t="s">
        <v>26</v>
      </c>
      <c r="C925" t="s">
        <v>261</v>
      </c>
      <c r="D925" s="8">
        <v>8.7039599999999995E-4</v>
      </c>
      <c r="E925">
        <v>1.3144600700000001E-3</v>
      </c>
      <c r="F925">
        <v>1.5182200199999999E-3</v>
      </c>
      <c r="G925">
        <v>1.48847998E-3</v>
      </c>
      <c r="H925">
        <v>1.4873204799999999E-3</v>
      </c>
      <c r="I925">
        <v>1.490321815E-3</v>
      </c>
      <c r="J925">
        <v>1.4225812389999999E-3</v>
      </c>
      <c r="K925">
        <v>1.3762027744999999E-3</v>
      </c>
      <c r="L925">
        <v>1.32338692299999E-3</v>
      </c>
      <c r="M925">
        <v>1.2586005640999899E-3</v>
      </c>
      <c r="N925">
        <v>1.1998219384999999E-3</v>
      </c>
      <c r="O925">
        <v>0</v>
      </c>
      <c r="P925">
        <v>0</v>
      </c>
      <c r="Q925">
        <v>0</v>
      </c>
      <c r="R925" t="s">
        <v>243</v>
      </c>
    </row>
    <row r="926" spans="1:18" x14ac:dyDescent="0.3">
      <c r="A926" t="s">
        <v>259</v>
      </c>
      <c r="B926" t="s">
        <v>26</v>
      </c>
      <c r="C926" t="s">
        <v>262</v>
      </c>
      <c r="D926">
        <v>3.1558233424E-2</v>
      </c>
      <c r="E926">
        <v>5.5025744839999897E-2</v>
      </c>
      <c r="F926">
        <v>6.839866704E-2</v>
      </c>
      <c r="G926">
        <v>5.6660015219999998E-2</v>
      </c>
      <c r="H926">
        <v>5.1410812190000002E-2</v>
      </c>
      <c r="I926">
        <v>4.9879150464499998E-2</v>
      </c>
      <c r="J926">
        <v>4.7391256612100002E-2</v>
      </c>
      <c r="K926">
        <v>4.0392483994799999E-2</v>
      </c>
      <c r="L926">
        <v>3.62089523638E-2</v>
      </c>
      <c r="M926">
        <v>3.3510693909399897E-2</v>
      </c>
      <c r="N926">
        <v>3.0833285599000001E-2</v>
      </c>
      <c r="O926">
        <v>0</v>
      </c>
      <c r="P926">
        <v>0</v>
      </c>
      <c r="Q926">
        <v>0</v>
      </c>
      <c r="R926" t="s">
        <v>243</v>
      </c>
    </row>
    <row r="927" spans="1:18" x14ac:dyDescent="0.3">
      <c r="A927" t="s">
        <v>259</v>
      </c>
      <c r="B927" t="s">
        <v>26</v>
      </c>
      <c r="C927" t="s">
        <v>263</v>
      </c>
      <c r="D927">
        <v>3.151731E-2</v>
      </c>
      <c r="E927">
        <v>6.0637799989999998E-2</v>
      </c>
      <c r="F927">
        <v>6.6769599999999998E-2</v>
      </c>
      <c r="G927">
        <v>6.3012299999999993E-2</v>
      </c>
      <c r="H927">
        <v>6.1763777059999997E-2</v>
      </c>
      <c r="I927">
        <v>6.2995561970599995E-2</v>
      </c>
      <c r="J927">
        <v>6.3568491404999997E-2</v>
      </c>
      <c r="K927">
        <v>6.2845316839999998E-2</v>
      </c>
      <c r="L927">
        <v>6.205040194E-2</v>
      </c>
      <c r="M927">
        <v>6.1066848679999897E-2</v>
      </c>
      <c r="N927">
        <v>6.0033125979999998E-2</v>
      </c>
      <c r="O927">
        <v>0</v>
      </c>
      <c r="P927">
        <v>0</v>
      </c>
      <c r="Q927">
        <v>0</v>
      </c>
      <c r="R927" t="s">
        <v>243</v>
      </c>
    </row>
    <row r="928" spans="1:18" x14ac:dyDescent="0.3">
      <c r="A928" t="s">
        <v>259</v>
      </c>
      <c r="B928" t="s">
        <v>26</v>
      </c>
      <c r="C928" t="s">
        <v>264</v>
      </c>
      <c r="D928">
        <v>1.5130027899999999E-3</v>
      </c>
      <c r="E928">
        <v>1.8833191600000001E-3</v>
      </c>
      <c r="F928">
        <v>2.3989253100000002E-3</v>
      </c>
      <c r="G928">
        <v>1.93576308E-3</v>
      </c>
      <c r="H928">
        <v>1.9641075109999998E-3</v>
      </c>
      <c r="I928">
        <v>2.14592541199999E-3</v>
      </c>
      <c r="J928">
        <v>2.2564317419999998E-3</v>
      </c>
      <c r="K928">
        <v>2.2978974878000002E-3</v>
      </c>
      <c r="L928">
        <v>2.2831558428999901E-3</v>
      </c>
      <c r="M928">
        <v>2.2412474401999902E-3</v>
      </c>
      <c r="N928">
        <v>2.2015639365999999E-3</v>
      </c>
      <c r="O928">
        <v>0</v>
      </c>
      <c r="P928">
        <v>0</v>
      </c>
      <c r="Q928">
        <v>0</v>
      </c>
      <c r="R928" t="s">
        <v>243</v>
      </c>
    </row>
    <row r="929" spans="1:18" x14ac:dyDescent="0.3">
      <c r="A929" t="s">
        <v>259</v>
      </c>
      <c r="B929" t="s">
        <v>26</v>
      </c>
      <c r="C929" t="s">
        <v>265</v>
      </c>
      <c r="D929">
        <v>2.6711399000000002E-3</v>
      </c>
      <c r="E929">
        <v>3.1141462699999902E-3</v>
      </c>
      <c r="F929">
        <v>3.9818629599999997E-3</v>
      </c>
      <c r="G929">
        <v>3.3481943799999999E-3</v>
      </c>
      <c r="H929">
        <v>3.289652577E-3</v>
      </c>
      <c r="I929">
        <v>3.4543215159999899E-3</v>
      </c>
      <c r="J929">
        <v>3.57223392E-3</v>
      </c>
      <c r="K929">
        <v>3.6111031958999998E-3</v>
      </c>
      <c r="L929">
        <v>3.563933342E-3</v>
      </c>
      <c r="M929">
        <v>3.47692730099999E-3</v>
      </c>
      <c r="N929">
        <v>3.3925664150000001E-3</v>
      </c>
      <c r="O929">
        <v>0</v>
      </c>
      <c r="P929">
        <v>0</v>
      </c>
      <c r="Q929">
        <v>0</v>
      </c>
      <c r="R929" t="s">
        <v>243</v>
      </c>
    </row>
    <row r="930" spans="1:18" x14ac:dyDescent="0.3">
      <c r="A930" t="s">
        <v>259</v>
      </c>
      <c r="B930" t="s">
        <v>26</v>
      </c>
      <c r="C930" t="s">
        <v>266</v>
      </c>
      <c r="D930">
        <v>1.8379901499999999E-3</v>
      </c>
      <c r="E930">
        <v>2.2346899599999998E-3</v>
      </c>
      <c r="F930">
        <v>2.8420115099999999E-3</v>
      </c>
      <c r="G930">
        <v>2.3538709599999902E-3</v>
      </c>
      <c r="H930">
        <v>2.3514758909999999E-3</v>
      </c>
      <c r="I930">
        <v>2.4596301879999901E-3</v>
      </c>
      <c r="J930">
        <v>2.56162373E-3</v>
      </c>
      <c r="K930">
        <v>2.6031761991999998E-3</v>
      </c>
      <c r="L930">
        <v>2.5810180369999999E-3</v>
      </c>
      <c r="M930">
        <v>2.5296570415999902E-3</v>
      </c>
      <c r="N930">
        <v>2.4809157413999902E-3</v>
      </c>
      <c r="O930">
        <v>0</v>
      </c>
      <c r="P930">
        <v>0</v>
      </c>
      <c r="Q930">
        <v>0</v>
      </c>
      <c r="R930" t="s">
        <v>243</v>
      </c>
    </row>
    <row r="931" spans="1:18" x14ac:dyDescent="0.3">
      <c r="A931" t="s">
        <v>259</v>
      </c>
      <c r="B931" t="s">
        <v>26</v>
      </c>
      <c r="C931" t="s">
        <v>267</v>
      </c>
      <c r="D931">
        <v>2.0102040899999999E-3</v>
      </c>
      <c r="E931">
        <v>2.3770593599999998E-3</v>
      </c>
      <c r="F931">
        <v>3.0355673299999998E-3</v>
      </c>
      <c r="G931">
        <v>2.5350187899999999E-3</v>
      </c>
      <c r="H931">
        <v>2.4796866330000001E-3</v>
      </c>
      <c r="I931">
        <v>2.62891780299999E-3</v>
      </c>
      <c r="J931">
        <v>2.7275278399999901E-3</v>
      </c>
      <c r="K931">
        <v>2.7650267259000001E-3</v>
      </c>
      <c r="L931">
        <v>2.7369628999999898E-3</v>
      </c>
      <c r="M931">
        <v>2.6781105425999902E-3</v>
      </c>
      <c r="N931">
        <v>2.6225980520000001E-3</v>
      </c>
      <c r="O931">
        <v>0</v>
      </c>
      <c r="P931">
        <v>0</v>
      </c>
      <c r="Q931">
        <v>0</v>
      </c>
      <c r="R931" t="s">
        <v>243</v>
      </c>
    </row>
    <row r="932" spans="1:18" x14ac:dyDescent="0.3">
      <c r="A932" t="s">
        <v>259</v>
      </c>
      <c r="B932" t="s">
        <v>26</v>
      </c>
      <c r="C932" t="s">
        <v>268</v>
      </c>
      <c r="D932">
        <v>2.1053098299999998E-3</v>
      </c>
      <c r="E932">
        <v>2.4695632099999902E-3</v>
      </c>
      <c r="F932">
        <v>3.15946842999999E-3</v>
      </c>
      <c r="G932">
        <v>2.6483366299999999E-3</v>
      </c>
      <c r="H932">
        <v>2.5936227809999898E-3</v>
      </c>
      <c r="I932">
        <v>2.7343769409999999E-3</v>
      </c>
      <c r="J932">
        <v>2.834783004E-3</v>
      </c>
      <c r="K932">
        <v>2.8729819311999901E-3</v>
      </c>
      <c r="L932">
        <v>2.8434131349999998E-3</v>
      </c>
      <c r="M932">
        <v>2.7819165672999901E-3</v>
      </c>
      <c r="N932">
        <v>2.7231219809999898E-3</v>
      </c>
      <c r="O932">
        <v>0</v>
      </c>
      <c r="P932">
        <v>0</v>
      </c>
      <c r="Q932">
        <v>0</v>
      </c>
      <c r="R932" t="s">
        <v>243</v>
      </c>
    </row>
    <row r="933" spans="1:18" x14ac:dyDescent="0.3">
      <c r="A933" t="s">
        <v>259</v>
      </c>
      <c r="B933" t="s">
        <v>26</v>
      </c>
      <c r="C933" t="s">
        <v>269</v>
      </c>
      <c r="D933">
        <v>2.1816796700000001E-3</v>
      </c>
      <c r="E933">
        <v>2.5487023399999999E-3</v>
      </c>
      <c r="F933">
        <v>3.25909164E-3</v>
      </c>
      <c r="G933">
        <v>2.7348570099999998E-3</v>
      </c>
      <c r="H933">
        <v>2.68400417499999E-3</v>
      </c>
      <c r="I933">
        <v>2.8243721760000001E-3</v>
      </c>
      <c r="J933">
        <v>2.9270016770000002E-3</v>
      </c>
      <c r="K933">
        <v>2.9650387584000001E-3</v>
      </c>
      <c r="L933">
        <v>2.9343077840000001E-3</v>
      </c>
      <c r="M933">
        <v>2.8699674687E-3</v>
      </c>
      <c r="N933">
        <v>2.8079743069999901E-3</v>
      </c>
      <c r="O933">
        <v>0</v>
      </c>
      <c r="P933">
        <v>0</v>
      </c>
      <c r="Q933">
        <v>0</v>
      </c>
      <c r="R933" t="s">
        <v>243</v>
      </c>
    </row>
    <row r="934" spans="1:18" x14ac:dyDescent="0.3">
      <c r="A934" t="s">
        <v>259</v>
      </c>
      <c r="B934" t="s">
        <v>26</v>
      </c>
      <c r="C934" t="s">
        <v>270</v>
      </c>
      <c r="D934">
        <v>2.24856697E-3</v>
      </c>
      <c r="E934">
        <v>2.6198416000000001E-3</v>
      </c>
      <c r="F934">
        <v>3.3502053500000001E-3</v>
      </c>
      <c r="G934">
        <v>2.8141248799999998E-3</v>
      </c>
      <c r="H934">
        <v>2.7659140189999999E-3</v>
      </c>
      <c r="I934">
        <v>2.9073437489999898E-3</v>
      </c>
      <c r="J934">
        <v>3.01115645699999E-3</v>
      </c>
      <c r="K934">
        <v>3.0498416641999999E-3</v>
      </c>
      <c r="L934">
        <v>3.016522266E-3</v>
      </c>
      <c r="M934">
        <v>2.9499576080000002E-3</v>
      </c>
      <c r="N934">
        <v>2.8856416389999901E-3</v>
      </c>
      <c r="O934">
        <v>0</v>
      </c>
      <c r="P934">
        <v>0</v>
      </c>
      <c r="Q934">
        <v>0</v>
      </c>
      <c r="R934" t="s">
        <v>243</v>
      </c>
    </row>
    <row r="935" spans="1:18" x14ac:dyDescent="0.3">
      <c r="A935" t="s">
        <v>259</v>
      </c>
      <c r="B935" t="s">
        <v>26</v>
      </c>
      <c r="C935" t="s">
        <v>271</v>
      </c>
      <c r="D935">
        <v>2.3147926599999999E-3</v>
      </c>
      <c r="E935">
        <v>2.69044123E-3</v>
      </c>
      <c r="F935">
        <v>3.4417751899999999E-3</v>
      </c>
      <c r="G935">
        <v>2.8906276800000001E-3</v>
      </c>
      <c r="H935">
        <v>2.8471664039999901E-3</v>
      </c>
      <c r="I935">
        <v>2.990579253E-3</v>
      </c>
      <c r="J935">
        <v>3.096148976E-3</v>
      </c>
      <c r="K935">
        <v>3.1347203699000001E-3</v>
      </c>
      <c r="L935">
        <v>3.0995930309999902E-3</v>
      </c>
      <c r="M935">
        <v>3.029562522E-3</v>
      </c>
      <c r="N935">
        <v>2.961352546E-3</v>
      </c>
      <c r="O935">
        <v>0</v>
      </c>
      <c r="P935">
        <v>0</v>
      </c>
      <c r="Q935">
        <v>0</v>
      </c>
      <c r="R935" t="s">
        <v>243</v>
      </c>
    </row>
    <row r="936" spans="1:18" x14ac:dyDescent="0.3">
      <c r="A936" t="s">
        <v>259</v>
      </c>
      <c r="B936" t="s">
        <v>26</v>
      </c>
      <c r="C936" t="s">
        <v>272</v>
      </c>
      <c r="D936">
        <v>2.3834655699999999E-3</v>
      </c>
      <c r="E936">
        <v>2.76988841E-3</v>
      </c>
      <c r="F936">
        <v>3.54229186E-3</v>
      </c>
      <c r="G936">
        <v>2.9823490699999902E-3</v>
      </c>
      <c r="H936">
        <v>2.9335032940000002E-3</v>
      </c>
      <c r="I936">
        <v>3.082179441E-3</v>
      </c>
      <c r="J936">
        <v>3.1909162959999899E-3</v>
      </c>
      <c r="K936">
        <v>3.2292114312999901E-3</v>
      </c>
      <c r="L936">
        <v>3.1909516119999902E-3</v>
      </c>
      <c r="M936">
        <v>3.11702821599999E-3</v>
      </c>
      <c r="N936">
        <v>3.0457923289999998E-3</v>
      </c>
      <c r="O936">
        <v>0</v>
      </c>
      <c r="P936">
        <v>0</v>
      </c>
      <c r="Q936">
        <v>0</v>
      </c>
      <c r="R936" t="s">
        <v>243</v>
      </c>
    </row>
    <row r="937" spans="1:18" x14ac:dyDescent="0.3">
      <c r="A937" t="s">
        <v>259</v>
      </c>
      <c r="B937" t="s">
        <v>26</v>
      </c>
      <c r="C937" t="s">
        <v>273</v>
      </c>
      <c r="D937">
        <v>2.47688777999999E-3</v>
      </c>
      <c r="E937">
        <v>2.8754501299999998E-3</v>
      </c>
      <c r="F937">
        <v>3.6757456599999898E-3</v>
      </c>
      <c r="G937">
        <v>3.0877808999999999E-3</v>
      </c>
      <c r="H937">
        <v>3.043464982E-3</v>
      </c>
      <c r="I937">
        <v>3.1976676589999999E-3</v>
      </c>
      <c r="J937">
        <v>3.3092502250000001E-3</v>
      </c>
      <c r="K937">
        <v>3.3487121857999902E-3</v>
      </c>
      <c r="L937">
        <v>3.3091833309999998E-3</v>
      </c>
      <c r="M937">
        <v>3.23261269999999E-3</v>
      </c>
      <c r="N937">
        <v>3.15799105E-3</v>
      </c>
      <c r="O937">
        <v>0</v>
      </c>
      <c r="P937">
        <v>0</v>
      </c>
      <c r="Q937">
        <v>0</v>
      </c>
      <c r="R937" t="s">
        <v>243</v>
      </c>
    </row>
    <row r="938" spans="1:18" x14ac:dyDescent="0.3">
      <c r="A938" t="s">
        <v>259</v>
      </c>
      <c r="B938" t="s">
        <v>26</v>
      </c>
      <c r="C938" t="s">
        <v>274</v>
      </c>
      <c r="D938" s="8">
        <v>1.4558756930000001E-5</v>
      </c>
      <c r="E938" s="8">
        <v>2.2079670239999998E-5</v>
      </c>
      <c r="F938" s="8">
        <v>2.4967764419999999E-5</v>
      </c>
      <c r="G938" s="8">
        <v>2.2144634509999999E-5</v>
      </c>
      <c r="H938" s="8">
        <v>3.8785968929999997E-5</v>
      </c>
      <c r="I938" s="8">
        <v>3.8515554619999903E-5</v>
      </c>
      <c r="J938" s="8">
        <v>3.7797385880000002E-5</v>
      </c>
      <c r="K938" s="8">
        <v>3.6974873132999999E-5</v>
      </c>
      <c r="L938" s="8">
        <v>3.6012021989999997E-5</v>
      </c>
      <c r="M938" s="8">
        <v>3.4593565699999897E-5</v>
      </c>
      <c r="N938" s="8">
        <v>3.3208292908999997E-5</v>
      </c>
      <c r="O938">
        <v>0</v>
      </c>
      <c r="P938">
        <v>0</v>
      </c>
      <c r="Q938">
        <v>0</v>
      </c>
      <c r="R938" t="s">
        <v>243</v>
      </c>
    </row>
    <row r="939" spans="1:18" x14ac:dyDescent="0.3">
      <c r="A939" t="s">
        <v>259</v>
      </c>
      <c r="B939" t="s">
        <v>26</v>
      </c>
      <c r="C939" t="s">
        <v>275</v>
      </c>
      <c r="D939" s="8">
        <v>2.7124502599999999E-5</v>
      </c>
      <c r="E939" s="8">
        <v>3.70348946E-5</v>
      </c>
      <c r="F939" s="8">
        <v>4.19182962E-5</v>
      </c>
      <c r="G939" s="8">
        <v>3.86047633E-5</v>
      </c>
      <c r="H939" s="8">
        <v>5.32301283199999E-5</v>
      </c>
      <c r="I939" s="8">
        <v>5.3467377209999999E-5</v>
      </c>
      <c r="J939" s="8">
        <v>5.1234178330000002E-5</v>
      </c>
      <c r="K939" s="8">
        <v>4.8976395689999999E-5</v>
      </c>
      <c r="L939" s="8">
        <v>4.66976550199999E-5</v>
      </c>
      <c r="M939" s="8">
        <v>4.4056044689999998E-5</v>
      </c>
      <c r="N939" s="8">
        <v>4.1633737184E-5</v>
      </c>
      <c r="O939">
        <v>0</v>
      </c>
      <c r="P939">
        <v>0</v>
      </c>
      <c r="Q939">
        <v>0</v>
      </c>
      <c r="R939" t="s">
        <v>243</v>
      </c>
    </row>
    <row r="940" spans="1:18" x14ac:dyDescent="0.3">
      <c r="A940" t="s">
        <v>259</v>
      </c>
      <c r="B940" t="s">
        <v>26</v>
      </c>
      <c r="C940" t="s">
        <v>276</v>
      </c>
      <c r="D940" s="8">
        <v>1.8133691560000001E-5</v>
      </c>
      <c r="E940" s="8">
        <v>2.645170981E-5</v>
      </c>
      <c r="F940" s="8">
        <v>2.981327423E-5</v>
      </c>
      <c r="G940" s="8">
        <v>2.7068998799999999E-5</v>
      </c>
      <c r="H940" s="8">
        <v>4.3257313680000001E-5</v>
      </c>
      <c r="I940" s="8">
        <v>4.3199470820000002E-5</v>
      </c>
      <c r="J940" s="8">
        <v>4.2016040069999997E-5</v>
      </c>
      <c r="K940" s="8">
        <v>4.0588743935E-5</v>
      </c>
      <c r="L940" s="8">
        <v>3.910398822E-5</v>
      </c>
      <c r="M940" s="8">
        <v>3.7246554969999998E-5</v>
      </c>
      <c r="N940" s="8">
        <v>3.5516360194000003E-5</v>
      </c>
      <c r="O940">
        <v>0</v>
      </c>
      <c r="P940">
        <v>0</v>
      </c>
      <c r="Q940">
        <v>0</v>
      </c>
      <c r="R940" t="s">
        <v>243</v>
      </c>
    </row>
    <row r="941" spans="1:18" x14ac:dyDescent="0.3">
      <c r="A941" t="s">
        <v>259</v>
      </c>
      <c r="B941" t="s">
        <v>26</v>
      </c>
      <c r="C941" t="s">
        <v>277</v>
      </c>
      <c r="D941" s="8">
        <v>2.0092087050000001E-5</v>
      </c>
      <c r="E941" s="8">
        <v>2.8212689649999899E-5</v>
      </c>
      <c r="F941" s="8">
        <v>3.1913785370000002E-5</v>
      </c>
      <c r="G941" s="8">
        <v>2.9199475579999999E-5</v>
      </c>
      <c r="H941" s="8">
        <v>4.4588330359999997E-5</v>
      </c>
      <c r="I941" s="8">
        <v>4.5164136299999997E-5</v>
      </c>
      <c r="J941" s="8">
        <v>4.3742957179999997E-5</v>
      </c>
      <c r="K941" s="8">
        <v>4.2093789706E-5</v>
      </c>
      <c r="L941" s="8">
        <v>4.0414042949999998E-5</v>
      </c>
      <c r="M941" s="8">
        <v>3.839411114E-5</v>
      </c>
      <c r="N941" s="8">
        <v>3.6535618534000001E-5</v>
      </c>
      <c r="O941">
        <v>0</v>
      </c>
      <c r="P941">
        <v>0</v>
      </c>
      <c r="Q941">
        <v>0</v>
      </c>
      <c r="R941" t="s">
        <v>243</v>
      </c>
    </row>
    <row r="942" spans="1:18" x14ac:dyDescent="0.3">
      <c r="A942" t="s">
        <v>259</v>
      </c>
      <c r="B942" t="s">
        <v>26</v>
      </c>
      <c r="C942" t="s">
        <v>278</v>
      </c>
      <c r="D942" s="8">
        <v>2.1173581559999998E-5</v>
      </c>
      <c r="E942" s="8">
        <v>2.9342161569999998E-5</v>
      </c>
      <c r="F942" s="8">
        <v>3.3242571979999901E-5</v>
      </c>
      <c r="G942" s="8">
        <v>3.0522695889999999E-5</v>
      </c>
      <c r="H942" s="8">
        <v>4.5784163689999998E-5</v>
      </c>
      <c r="I942" s="8">
        <v>4.6295016569999899E-5</v>
      </c>
      <c r="J942" s="8">
        <v>4.4751480450000001E-5</v>
      </c>
      <c r="K942" s="8">
        <v>4.3011584049999999E-5</v>
      </c>
      <c r="L942" s="8">
        <v>4.12565893099999E-5</v>
      </c>
      <c r="M942" s="8">
        <v>3.916342926E-5</v>
      </c>
      <c r="N942" s="8">
        <v>3.7236399398999998E-5</v>
      </c>
      <c r="O942">
        <v>0</v>
      </c>
      <c r="P942">
        <v>0</v>
      </c>
      <c r="Q942">
        <v>0</v>
      </c>
      <c r="R942" t="s">
        <v>243</v>
      </c>
    </row>
    <row r="943" spans="1:18" x14ac:dyDescent="0.3">
      <c r="A943" t="s">
        <v>259</v>
      </c>
      <c r="B943" t="s">
        <v>26</v>
      </c>
      <c r="C943" t="s">
        <v>279</v>
      </c>
      <c r="D943" s="8">
        <v>2.2028772600000001E-5</v>
      </c>
      <c r="E943" s="8">
        <v>3.0298076319999999E-5</v>
      </c>
      <c r="F943" s="8">
        <v>3.430188018E-5</v>
      </c>
      <c r="G943" s="8">
        <v>3.1527415099999998E-5</v>
      </c>
      <c r="H943" s="8">
        <v>4.6740126479999999E-5</v>
      </c>
      <c r="I943" s="8">
        <v>4.7219241679999997E-5</v>
      </c>
      <c r="J943" s="8">
        <v>4.5587892550000003E-5</v>
      </c>
      <c r="K943" s="8">
        <v>4.3775882357999898E-5</v>
      </c>
      <c r="L943" s="8">
        <v>4.1964735189999997E-5</v>
      </c>
      <c r="M943" s="8">
        <v>3.9807331519999997E-5</v>
      </c>
      <c r="N943" s="8">
        <v>3.7820296805999998E-5</v>
      </c>
      <c r="O943">
        <v>0</v>
      </c>
      <c r="P943">
        <v>0</v>
      </c>
      <c r="Q943">
        <v>0</v>
      </c>
      <c r="R943" t="s">
        <v>243</v>
      </c>
    </row>
    <row r="944" spans="1:18" x14ac:dyDescent="0.3">
      <c r="A944" t="s">
        <v>259</v>
      </c>
      <c r="B944" t="s">
        <v>26</v>
      </c>
      <c r="C944" t="s">
        <v>280</v>
      </c>
      <c r="D944" s="8">
        <v>2.2761607699999999E-5</v>
      </c>
      <c r="E944" s="8">
        <v>3.11512572E-5</v>
      </c>
      <c r="F944" s="8">
        <v>3.5265760599999997E-5</v>
      </c>
      <c r="G944" s="8">
        <v>3.2444906499999999E-5</v>
      </c>
      <c r="H944" s="8">
        <v>4.7614366699999998E-5</v>
      </c>
      <c r="I944" s="8">
        <v>4.805674614E-5</v>
      </c>
      <c r="J944" s="8">
        <v>4.6339429289999902E-5</v>
      </c>
      <c r="K944" s="8">
        <v>4.4473409269999997E-5</v>
      </c>
      <c r="L944" s="8">
        <v>4.259917029E-5</v>
      </c>
      <c r="M944" s="8">
        <v>4.038708562E-5</v>
      </c>
      <c r="N944" s="8">
        <v>3.8349747848E-5</v>
      </c>
      <c r="O944">
        <v>0</v>
      </c>
      <c r="P944">
        <v>0</v>
      </c>
      <c r="Q944">
        <v>0</v>
      </c>
      <c r="R944" t="s">
        <v>243</v>
      </c>
    </row>
    <row r="945" spans="1:18" x14ac:dyDescent="0.3">
      <c r="A945" t="s">
        <v>259</v>
      </c>
      <c r="B945" t="s">
        <v>26</v>
      </c>
      <c r="C945" t="s">
        <v>281</v>
      </c>
      <c r="D945" s="8">
        <v>2.3470131599999999E-5</v>
      </c>
      <c r="E945" s="8">
        <v>3.1994334799999999E-5</v>
      </c>
      <c r="F945" s="8">
        <v>3.62315415999999E-5</v>
      </c>
      <c r="G945" s="8">
        <v>3.3328587199999999E-5</v>
      </c>
      <c r="H945" s="8">
        <v>4.8487604370000001E-5</v>
      </c>
      <c r="I945" s="8">
        <v>4.8889948249999998E-5</v>
      </c>
      <c r="J945" s="8">
        <v>4.7092546440000002E-5</v>
      </c>
      <c r="K945" s="8">
        <v>4.5164855159999898E-5</v>
      </c>
      <c r="L945" s="8">
        <v>4.3234005329999998E-5</v>
      </c>
      <c r="M945" s="8">
        <v>4.095556839E-5</v>
      </c>
      <c r="N945" s="8">
        <v>3.8854646186999902E-5</v>
      </c>
      <c r="O945">
        <v>0</v>
      </c>
      <c r="P945">
        <v>0</v>
      </c>
      <c r="Q945">
        <v>0</v>
      </c>
      <c r="R945" t="s">
        <v>243</v>
      </c>
    </row>
    <row r="946" spans="1:18" x14ac:dyDescent="0.3">
      <c r="A946" t="s">
        <v>259</v>
      </c>
      <c r="B946" t="s">
        <v>26</v>
      </c>
      <c r="C946" t="s">
        <v>282</v>
      </c>
      <c r="D946" s="8">
        <v>2.41888603E-5</v>
      </c>
      <c r="E946" s="8">
        <v>3.29404464E-5</v>
      </c>
      <c r="F946" s="8">
        <v>3.72904497E-5</v>
      </c>
      <c r="G946" s="8">
        <v>3.4386723399999902E-5</v>
      </c>
      <c r="H946" s="8">
        <v>4.941226456E-5</v>
      </c>
      <c r="I946" s="8">
        <v>4.979717229E-5</v>
      </c>
      <c r="J946" s="8">
        <v>4.7922276869999901E-5</v>
      </c>
      <c r="K946" s="8">
        <v>4.5929063709999997E-5</v>
      </c>
      <c r="L946" s="8">
        <v>4.3924278979999998E-5</v>
      </c>
      <c r="M946" s="8">
        <v>4.1570937030000003E-5</v>
      </c>
      <c r="N946" s="8">
        <v>3.9409260241999901E-5</v>
      </c>
      <c r="O946">
        <v>0</v>
      </c>
      <c r="P946">
        <v>0</v>
      </c>
      <c r="Q946">
        <v>0</v>
      </c>
      <c r="R946" t="s">
        <v>243</v>
      </c>
    </row>
    <row r="947" spans="1:18" x14ac:dyDescent="0.3">
      <c r="A947" t="s">
        <v>259</v>
      </c>
      <c r="B947" t="s">
        <v>26</v>
      </c>
      <c r="C947" t="s">
        <v>283</v>
      </c>
      <c r="D947" s="8">
        <v>2.51490994E-5</v>
      </c>
      <c r="E947" s="8">
        <v>3.4196359899999901E-5</v>
      </c>
      <c r="F947" s="8">
        <v>3.8695858599999998E-5</v>
      </c>
      <c r="G947" s="8">
        <v>3.5602309499999999E-5</v>
      </c>
      <c r="H947" s="8">
        <v>5.0596388049999897E-5</v>
      </c>
      <c r="I947" s="8">
        <v>5.0943349999999899E-5</v>
      </c>
      <c r="J947" s="8">
        <v>4.8960965849999899E-5</v>
      </c>
      <c r="K947" s="8">
        <v>4.6893675309999998E-5</v>
      </c>
      <c r="L947" s="8">
        <v>4.4818412589999997E-5</v>
      </c>
      <c r="M947" s="8">
        <v>4.2388811580000003E-5</v>
      </c>
      <c r="N947" s="8">
        <v>4.0152415981999997E-5</v>
      </c>
      <c r="O947">
        <v>0</v>
      </c>
      <c r="P947">
        <v>0</v>
      </c>
      <c r="Q947">
        <v>0</v>
      </c>
      <c r="R947" t="s">
        <v>243</v>
      </c>
    </row>
    <row r="948" spans="1:18" x14ac:dyDescent="0.3">
      <c r="A948" t="s">
        <v>259</v>
      </c>
      <c r="B948" t="s">
        <v>26</v>
      </c>
      <c r="C948" t="s">
        <v>334</v>
      </c>
      <c r="D948" s="8">
        <v>2.0040300000000001E-4</v>
      </c>
      <c r="E948" s="8">
        <v>1.0635E-4</v>
      </c>
      <c r="F948" s="8">
        <v>7.43786E-5</v>
      </c>
      <c r="G948" s="8">
        <v>3.4515599999999999E-5</v>
      </c>
      <c r="H948" s="8">
        <v>3.6032699999999998E-5</v>
      </c>
      <c r="I948" s="8">
        <v>3.6014469999999997E-5</v>
      </c>
      <c r="J948" s="8">
        <v>3.6150569999999997E-5</v>
      </c>
      <c r="K948" s="8">
        <v>3.6282289999999901E-5</v>
      </c>
      <c r="L948" s="8">
        <v>3.6357199999999998E-5</v>
      </c>
      <c r="M948" s="8">
        <v>3.62561299999999E-5</v>
      </c>
      <c r="N948" s="8">
        <v>3.6173700000000002E-5</v>
      </c>
      <c r="O948">
        <v>0</v>
      </c>
      <c r="P948">
        <v>0</v>
      </c>
      <c r="Q948">
        <v>0</v>
      </c>
      <c r="R948" t="s">
        <v>243</v>
      </c>
    </row>
    <row r="949" spans="1:18" x14ac:dyDescent="0.3">
      <c r="A949" t="s">
        <v>259</v>
      </c>
      <c r="B949" t="s">
        <v>26</v>
      </c>
      <c r="C949" t="s">
        <v>335</v>
      </c>
      <c r="D949" s="8">
        <v>1.04711E-5</v>
      </c>
      <c r="E949" s="8">
        <v>5.0156400000000001E-6</v>
      </c>
      <c r="F949" s="8">
        <v>3.3125399999999999E-6</v>
      </c>
      <c r="G949" s="8">
        <v>1.4047700000000001E-6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243</v>
      </c>
    </row>
    <row r="950" spans="1:18" x14ac:dyDescent="0.3">
      <c r="A950" t="s">
        <v>259</v>
      </c>
      <c r="B950" t="s">
        <v>26</v>
      </c>
      <c r="C950" t="s">
        <v>336</v>
      </c>
      <c r="D950" s="8">
        <v>1.14922E-4</v>
      </c>
      <c r="E950" s="8">
        <v>5.6362E-5</v>
      </c>
      <c r="F950" s="8">
        <v>3.92289E-5</v>
      </c>
      <c r="G950" s="8">
        <v>1.7646899999999999E-5</v>
      </c>
      <c r="H950" s="8">
        <v>1.8230319999999999E-5</v>
      </c>
      <c r="I950" s="8">
        <v>1.8311430000000001E-5</v>
      </c>
      <c r="J950" s="8">
        <v>1.83768E-5</v>
      </c>
      <c r="K950" s="8">
        <v>1.843298E-5</v>
      </c>
      <c r="L950" s="8">
        <v>1.844911E-5</v>
      </c>
      <c r="M950" s="8">
        <v>1.8381750000000001E-5</v>
      </c>
      <c r="N950" s="8">
        <v>1.8322779999999999E-5</v>
      </c>
      <c r="O950">
        <v>0</v>
      </c>
      <c r="P950">
        <v>0</v>
      </c>
      <c r="Q950">
        <v>0</v>
      </c>
      <c r="R950" t="s">
        <v>243</v>
      </c>
    </row>
    <row r="951" spans="1:18" x14ac:dyDescent="0.3">
      <c r="A951" t="s">
        <v>259</v>
      </c>
      <c r="B951" t="s">
        <v>26</v>
      </c>
      <c r="C951" t="s">
        <v>337</v>
      </c>
      <c r="D951" s="8">
        <v>8.0023099999999996E-5</v>
      </c>
      <c r="E951" s="8">
        <v>4.0775300000000002E-5</v>
      </c>
      <c r="F951" s="8">
        <v>2.7586700000000001E-5</v>
      </c>
      <c r="G951" s="8">
        <v>1.21422E-5</v>
      </c>
      <c r="H951" s="8">
        <v>1.230204E-5</v>
      </c>
      <c r="I951" s="8">
        <v>1.263417E-5</v>
      </c>
      <c r="J951" s="8">
        <v>1.26574999999999E-5</v>
      </c>
      <c r="K951" s="8">
        <v>1.2675669999999999E-5</v>
      </c>
      <c r="L951" s="8">
        <v>1.266662E-5</v>
      </c>
      <c r="M951" s="8">
        <v>1.2600019999999999E-5</v>
      </c>
      <c r="N951" s="8">
        <v>1.25414E-5</v>
      </c>
      <c r="O951">
        <v>0</v>
      </c>
      <c r="P951">
        <v>0</v>
      </c>
      <c r="Q951">
        <v>0</v>
      </c>
      <c r="R951" t="s">
        <v>243</v>
      </c>
    </row>
    <row r="952" spans="1:18" x14ac:dyDescent="0.3">
      <c r="A952" t="s">
        <v>259</v>
      </c>
      <c r="B952" t="s">
        <v>26</v>
      </c>
      <c r="C952" t="s">
        <v>338</v>
      </c>
      <c r="D952" s="8">
        <v>6.3387900000000003E-5</v>
      </c>
      <c r="E952" s="8">
        <v>3.2308499999999997E-5</v>
      </c>
      <c r="F952" s="8">
        <v>2.1507700000000001E-5</v>
      </c>
      <c r="G952" s="8">
        <v>9.3198300000000005E-6</v>
      </c>
      <c r="H952" s="8">
        <v>9.43812E-6</v>
      </c>
      <c r="I952" s="8">
        <v>9.6904099999999901E-6</v>
      </c>
      <c r="J952" s="8">
        <v>9.7016500000000005E-6</v>
      </c>
      <c r="K952" s="8">
        <v>9.7122599999999906E-6</v>
      </c>
      <c r="L952" s="8">
        <v>9.7038099999999992E-6</v>
      </c>
      <c r="M952" s="8">
        <v>9.6518599999999903E-6</v>
      </c>
      <c r="N952" s="8">
        <v>9.6029900000000004E-6</v>
      </c>
      <c r="O952">
        <v>0</v>
      </c>
      <c r="P952">
        <v>0</v>
      </c>
      <c r="Q952">
        <v>0</v>
      </c>
      <c r="R952" t="s">
        <v>243</v>
      </c>
    </row>
    <row r="953" spans="1:18" x14ac:dyDescent="0.3">
      <c r="A953" t="s">
        <v>259</v>
      </c>
      <c r="B953" t="s">
        <v>26</v>
      </c>
      <c r="C953" t="s">
        <v>339</v>
      </c>
      <c r="D953" s="8">
        <v>5.1532400000000001E-5</v>
      </c>
      <c r="E953" s="8">
        <v>2.6181199999999999E-5</v>
      </c>
      <c r="F953" s="8">
        <v>1.7433000000000001E-5</v>
      </c>
      <c r="G953" s="8">
        <v>7.5188099999999998E-6</v>
      </c>
      <c r="H953" s="8">
        <v>7.62499E-6</v>
      </c>
      <c r="I953" s="8">
        <v>7.8298900000000003E-6</v>
      </c>
      <c r="J953" s="8">
        <v>7.8359700000000005E-6</v>
      </c>
      <c r="K953" s="8">
        <v>7.8402300000000003E-6</v>
      </c>
      <c r="L953" s="8">
        <v>7.8328199999999902E-6</v>
      </c>
      <c r="M953" s="8">
        <v>7.7885300000000005E-6</v>
      </c>
      <c r="N953" s="8">
        <v>7.7454000000000004E-6</v>
      </c>
      <c r="O953">
        <v>0</v>
      </c>
      <c r="P953">
        <v>0</v>
      </c>
      <c r="Q953">
        <v>0</v>
      </c>
      <c r="R953" t="s">
        <v>243</v>
      </c>
    </row>
    <row r="954" spans="1:18" x14ac:dyDescent="0.3">
      <c r="A954" t="s">
        <v>259</v>
      </c>
      <c r="B954" t="s">
        <v>26</v>
      </c>
      <c r="C954" t="s">
        <v>340</v>
      </c>
      <c r="D954" s="8">
        <v>4.2391100000000001E-5</v>
      </c>
      <c r="E954" s="8">
        <v>2.1534100000000001E-5</v>
      </c>
      <c r="F954" s="8">
        <v>1.43092E-5</v>
      </c>
      <c r="G954" s="8">
        <v>6.13406E-6</v>
      </c>
      <c r="H954" s="8">
        <v>6.2283899999999997E-6</v>
      </c>
      <c r="I954" s="8">
        <v>6.3937399999999997E-6</v>
      </c>
      <c r="J954" s="8">
        <v>6.3946800000000002E-6</v>
      </c>
      <c r="K954" s="8">
        <v>6.3968729999999898E-6</v>
      </c>
      <c r="L954" s="8">
        <v>6.3871099999999899E-6</v>
      </c>
      <c r="M954" s="8">
        <v>6.3501499999999997E-6</v>
      </c>
      <c r="N954" s="8">
        <v>6.3136799999999997E-6</v>
      </c>
      <c r="O954">
        <v>0</v>
      </c>
      <c r="P954">
        <v>0</v>
      </c>
      <c r="Q954">
        <v>0</v>
      </c>
      <c r="R954" t="s">
        <v>243</v>
      </c>
    </row>
    <row r="955" spans="1:18" x14ac:dyDescent="0.3">
      <c r="A955" t="s">
        <v>259</v>
      </c>
      <c r="B955" t="s">
        <v>26</v>
      </c>
      <c r="C955" t="s">
        <v>341</v>
      </c>
      <c r="D955" s="8">
        <v>3.4566200000000001E-5</v>
      </c>
      <c r="E955" s="8">
        <v>1.7660699999999998E-5</v>
      </c>
      <c r="F955" s="8">
        <v>1.16883E-5</v>
      </c>
      <c r="G955" s="8">
        <v>5.0168300000000004E-6</v>
      </c>
      <c r="H955" s="8">
        <v>5.1047800000000001E-6</v>
      </c>
      <c r="I955" s="8">
        <v>5.23792E-6</v>
      </c>
      <c r="J955" s="8">
        <v>5.2364789999999998E-6</v>
      </c>
      <c r="K955" s="8">
        <v>5.2358879999999998E-6</v>
      </c>
      <c r="L955" s="8">
        <v>5.2264100000000003E-6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243</v>
      </c>
    </row>
    <row r="956" spans="1:18" x14ac:dyDescent="0.3">
      <c r="A956" t="s">
        <v>259</v>
      </c>
      <c r="B956" t="s">
        <v>26</v>
      </c>
      <c r="C956" t="s">
        <v>342</v>
      </c>
      <c r="D956" s="8">
        <v>2.7741599999999999E-5</v>
      </c>
      <c r="E956" s="8">
        <v>1.4071599999999999E-5</v>
      </c>
      <c r="F956" s="8">
        <v>9.3252500000000002E-6</v>
      </c>
      <c r="G956" s="8">
        <v>3.9239099999999997E-6</v>
      </c>
      <c r="H956" s="8">
        <v>3.9868300000000001E-6</v>
      </c>
      <c r="I956" s="8">
        <v>4.0924300000000004E-6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243</v>
      </c>
    </row>
    <row r="957" spans="1:18" x14ac:dyDescent="0.3">
      <c r="A957" t="s">
        <v>259</v>
      </c>
      <c r="B957" t="s">
        <v>26</v>
      </c>
      <c r="C957" t="s">
        <v>343</v>
      </c>
      <c r="D957" s="8">
        <v>2.03792E-5</v>
      </c>
      <c r="E957" s="8">
        <v>1.03418E-5</v>
      </c>
      <c r="F957" s="8">
        <v>6.8685800000000001E-6</v>
      </c>
      <c r="G957" s="8">
        <v>2.9425799999999999E-6</v>
      </c>
      <c r="H957" s="8">
        <v>2.99622999999999E-6</v>
      </c>
      <c r="I957" s="8">
        <v>3.075482E-6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243</v>
      </c>
    </row>
    <row r="958" spans="1:18" x14ac:dyDescent="0.3">
      <c r="A958" t="s">
        <v>259</v>
      </c>
      <c r="B958" t="s">
        <v>26</v>
      </c>
      <c r="C958" t="s">
        <v>284</v>
      </c>
      <c r="D958">
        <v>5.2832057089999898E-3</v>
      </c>
      <c r="E958">
        <v>4.7304622200000004E-3</v>
      </c>
      <c r="F958">
        <v>5.2729801900000001E-3</v>
      </c>
      <c r="G958">
        <v>4.0335204299999997E-3</v>
      </c>
      <c r="H958">
        <v>3.9014369899999998E-3</v>
      </c>
      <c r="I958">
        <v>3.94170408509E-3</v>
      </c>
      <c r="J958">
        <v>3.9832069395999998E-3</v>
      </c>
      <c r="K958">
        <v>3.829406992943E-3</v>
      </c>
      <c r="L958">
        <v>3.7910550964820001E-3</v>
      </c>
      <c r="M958">
        <v>3.68422344229999E-3</v>
      </c>
      <c r="N958">
        <v>3.5837748637E-3</v>
      </c>
      <c r="O958">
        <v>0</v>
      </c>
      <c r="P958">
        <v>0</v>
      </c>
      <c r="Q958">
        <v>0</v>
      </c>
      <c r="R958" t="s">
        <v>243</v>
      </c>
    </row>
    <row r="959" spans="1:18" x14ac:dyDescent="0.3">
      <c r="A959" t="s">
        <v>259</v>
      </c>
      <c r="B959" t="s">
        <v>26</v>
      </c>
      <c r="C959" t="s">
        <v>285</v>
      </c>
      <c r="D959">
        <v>2.06435858099999E-2</v>
      </c>
      <c r="E959">
        <v>1.6911921930000001E-2</v>
      </c>
      <c r="F959">
        <v>1.9465449919999999E-2</v>
      </c>
      <c r="G959">
        <v>1.6603183800000001E-2</v>
      </c>
      <c r="H959">
        <v>1.457934424E-2</v>
      </c>
      <c r="I959">
        <v>1.416411353737E-2</v>
      </c>
      <c r="J959">
        <v>1.289857472746E-2</v>
      </c>
      <c r="K959">
        <v>1.14382908575799E-2</v>
      </c>
      <c r="L959">
        <v>1.06321763477999E-2</v>
      </c>
      <c r="M959">
        <v>9.7238687418999895E-3</v>
      </c>
      <c r="N959">
        <v>8.8637454011999996E-3</v>
      </c>
      <c r="O959">
        <v>0</v>
      </c>
      <c r="P959">
        <v>0</v>
      </c>
      <c r="Q959">
        <v>0</v>
      </c>
      <c r="R959" t="s">
        <v>243</v>
      </c>
    </row>
    <row r="960" spans="1:18" x14ac:dyDescent="0.3">
      <c r="A960" t="s">
        <v>259</v>
      </c>
      <c r="B960" t="s">
        <v>26</v>
      </c>
      <c r="C960" t="s">
        <v>286</v>
      </c>
      <c r="D960">
        <v>7.8599016799999998E-3</v>
      </c>
      <c r="E960">
        <v>7.29067356999999E-3</v>
      </c>
      <c r="F960">
        <v>8.19262116E-3</v>
      </c>
      <c r="G960">
        <v>6.5060998399999997E-3</v>
      </c>
      <c r="H960">
        <v>6.0400808599999902E-3</v>
      </c>
      <c r="I960">
        <v>6.0456245086099999E-3</v>
      </c>
      <c r="J960">
        <v>5.9691930178199896E-3</v>
      </c>
      <c r="K960">
        <v>5.6642121891100003E-3</v>
      </c>
      <c r="L960">
        <v>5.543670052492E-3</v>
      </c>
      <c r="M960">
        <v>5.3261609638999997E-3</v>
      </c>
      <c r="N960">
        <v>5.1118025452000001E-3</v>
      </c>
      <c r="O960">
        <v>0</v>
      </c>
      <c r="P960">
        <v>0</v>
      </c>
      <c r="Q960">
        <v>0</v>
      </c>
      <c r="R960" t="s">
        <v>243</v>
      </c>
    </row>
    <row r="961" spans="1:18" x14ac:dyDescent="0.3">
      <c r="A961" t="s">
        <v>259</v>
      </c>
      <c r="B961" t="s">
        <v>26</v>
      </c>
      <c r="C961" t="s">
        <v>287</v>
      </c>
      <c r="D961">
        <v>9.86085976E-3</v>
      </c>
      <c r="E961">
        <v>8.7983082400000003E-3</v>
      </c>
      <c r="F961">
        <v>1.0067259889999999E-2</v>
      </c>
      <c r="G961">
        <v>8.1676836100000004E-3</v>
      </c>
      <c r="H961">
        <v>7.12778711999999E-3</v>
      </c>
      <c r="I961">
        <v>7.5434048513299996E-3</v>
      </c>
      <c r="J961">
        <v>7.3142254094899998E-3</v>
      </c>
      <c r="K961">
        <v>6.8522592767699996E-3</v>
      </c>
      <c r="L961">
        <v>6.6201670913459904E-3</v>
      </c>
      <c r="M961">
        <v>6.2837013934000001E-3</v>
      </c>
      <c r="N961">
        <v>5.9596786175000003E-3</v>
      </c>
      <c r="O961">
        <v>0</v>
      </c>
      <c r="P961">
        <v>0</v>
      </c>
      <c r="Q961">
        <v>0</v>
      </c>
      <c r="R961" t="s">
        <v>243</v>
      </c>
    </row>
    <row r="962" spans="1:18" x14ac:dyDescent="0.3">
      <c r="A962" t="s">
        <v>259</v>
      </c>
      <c r="B962" t="s">
        <v>26</v>
      </c>
      <c r="C962" t="s">
        <v>288</v>
      </c>
      <c r="D962">
        <v>1.1246853019999999E-2</v>
      </c>
      <c r="E962">
        <v>9.9248885399999993E-3</v>
      </c>
      <c r="F962">
        <v>1.1450811430000001E-2</v>
      </c>
      <c r="G962">
        <v>9.4180858900000004E-3</v>
      </c>
      <c r="H962">
        <v>8.2083509799999992E-3</v>
      </c>
      <c r="I962">
        <v>8.5783656905000002E-3</v>
      </c>
      <c r="J962">
        <v>8.22926476379E-3</v>
      </c>
      <c r="K962">
        <v>7.6487427282500003E-3</v>
      </c>
      <c r="L962">
        <v>7.3489631332100003E-3</v>
      </c>
      <c r="M962">
        <v>6.93659455459999E-3</v>
      </c>
      <c r="N962">
        <v>6.5329277012999998E-3</v>
      </c>
      <c r="O962">
        <v>0</v>
      </c>
      <c r="P962">
        <v>0</v>
      </c>
      <c r="Q962">
        <v>0</v>
      </c>
      <c r="R962" t="s">
        <v>243</v>
      </c>
    </row>
    <row r="963" spans="1:18" x14ac:dyDescent="0.3">
      <c r="A963" t="s">
        <v>259</v>
      </c>
      <c r="B963" t="s">
        <v>26</v>
      </c>
      <c r="C963" t="s">
        <v>289</v>
      </c>
      <c r="D963">
        <v>1.251417526E-2</v>
      </c>
      <c r="E963">
        <v>1.094593225E-2</v>
      </c>
      <c r="F963">
        <v>1.2621337349999999E-2</v>
      </c>
      <c r="G963">
        <v>1.044833289E-2</v>
      </c>
      <c r="H963">
        <v>9.1438317099999996E-3</v>
      </c>
      <c r="I963">
        <v>9.4637314413799998E-3</v>
      </c>
      <c r="J963">
        <v>9.0057118835399907E-3</v>
      </c>
      <c r="K963">
        <v>8.3079237552900007E-3</v>
      </c>
      <c r="L963">
        <v>7.9424984768400007E-3</v>
      </c>
      <c r="M963">
        <v>7.45511690249999E-3</v>
      </c>
      <c r="N963">
        <v>6.9775807811999898E-3</v>
      </c>
      <c r="O963">
        <v>0</v>
      </c>
      <c r="P963">
        <v>0</v>
      </c>
      <c r="Q963">
        <v>0</v>
      </c>
      <c r="R963" t="s">
        <v>243</v>
      </c>
    </row>
    <row r="964" spans="1:18" x14ac:dyDescent="0.3">
      <c r="A964" t="s">
        <v>259</v>
      </c>
      <c r="B964" t="s">
        <v>26</v>
      </c>
      <c r="C964" t="s">
        <v>290</v>
      </c>
      <c r="D964">
        <v>1.3716458690000001E-2</v>
      </c>
      <c r="E964">
        <v>1.1875876049999999E-2</v>
      </c>
      <c r="F964">
        <v>1.36990606299999E-2</v>
      </c>
      <c r="G964">
        <v>1.141460616E-2</v>
      </c>
      <c r="H964">
        <v>1.0022997679999901E-2</v>
      </c>
      <c r="I964">
        <v>1.02651078800999E-2</v>
      </c>
      <c r="J964">
        <v>9.6885493094499998E-3</v>
      </c>
      <c r="K964">
        <v>8.8807848305499995E-3</v>
      </c>
      <c r="L964">
        <v>8.4414472373499898E-3</v>
      </c>
      <c r="M964">
        <v>7.8862002349E-3</v>
      </c>
      <c r="N964">
        <v>7.3436104860999897E-3</v>
      </c>
      <c r="O964">
        <v>0</v>
      </c>
      <c r="P964">
        <v>0</v>
      </c>
      <c r="Q964">
        <v>0</v>
      </c>
      <c r="R964" t="s">
        <v>243</v>
      </c>
    </row>
    <row r="965" spans="1:18" x14ac:dyDescent="0.3">
      <c r="A965" t="s">
        <v>259</v>
      </c>
      <c r="B965" t="s">
        <v>26</v>
      </c>
      <c r="C965" t="s">
        <v>291</v>
      </c>
      <c r="D965">
        <v>1.495354413E-2</v>
      </c>
      <c r="E965">
        <v>1.2781251840000001E-2</v>
      </c>
      <c r="F965">
        <v>1.4756360160000001E-2</v>
      </c>
      <c r="G965">
        <v>1.233694324E-2</v>
      </c>
      <c r="H965">
        <v>1.08866658199999E-2</v>
      </c>
      <c r="I965">
        <v>1.1030150023659899E-2</v>
      </c>
      <c r="J965">
        <v>1.03344465932599E-2</v>
      </c>
      <c r="K965">
        <v>9.4077083919299892E-3</v>
      </c>
      <c r="L965">
        <v>8.8982287806000007E-3</v>
      </c>
      <c r="M965">
        <v>8.2692132294999894E-3</v>
      </c>
      <c r="N965">
        <v>7.6572978773999899E-3</v>
      </c>
      <c r="O965">
        <v>0</v>
      </c>
      <c r="P965">
        <v>0</v>
      </c>
      <c r="Q965">
        <v>0</v>
      </c>
      <c r="R965" t="s">
        <v>243</v>
      </c>
    </row>
    <row r="966" spans="1:18" x14ac:dyDescent="0.3">
      <c r="A966" t="s">
        <v>259</v>
      </c>
      <c r="B966" t="s">
        <v>26</v>
      </c>
      <c r="C966" t="s">
        <v>292</v>
      </c>
      <c r="D966">
        <v>1.6233897729999999E-2</v>
      </c>
      <c r="E966">
        <v>1.37486313699999E-2</v>
      </c>
      <c r="F966">
        <v>1.5854824449999999E-2</v>
      </c>
      <c r="G966">
        <v>1.339347902E-2</v>
      </c>
      <c r="H966">
        <v>1.17784404699999E-2</v>
      </c>
      <c r="I966">
        <v>1.18166710421699E-2</v>
      </c>
      <c r="J966">
        <v>1.099048123673E-2</v>
      </c>
      <c r="K966">
        <v>9.9311021901799905E-3</v>
      </c>
      <c r="L966">
        <v>9.3408375572299994E-3</v>
      </c>
      <c r="M966">
        <v>8.6356618542999999E-3</v>
      </c>
      <c r="N966">
        <v>7.9585809597999997E-3</v>
      </c>
      <c r="O966">
        <v>0</v>
      </c>
      <c r="P966">
        <v>0</v>
      </c>
      <c r="Q966">
        <v>0</v>
      </c>
      <c r="R966" t="s">
        <v>243</v>
      </c>
    </row>
    <row r="967" spans="1:18" x14ac:dyDescent="0.3">
      <c r="A967" t="s">
        <v>259</v>
      </c>
      <c r="B967" t="s">
        <v>26</v>
      </c>
      <c r="C967" t="s">
        <v>293</v>
      </c>
      <c r="D967">
        <v>1.7880321210000001E-2</v>
      </c>
      <c r="E967">
        <v>1.4908046729999999E-2</v>
      </c>
      <c r="F967">
        <v>1.7168059239999998E-2</v>
      </c>
      <c r="G967">
        <v>1.4499347060000001E-2</v>
      </c>
      <c r="H967">
        <v>1.279785963E-2</v>
      </c>
      <c r="I967">
        <v>1.2683036393629899E-2</v>
      </c>
      <c r="J967">
        <v>1.1698431629440001E-2</v>
      </c>
      <c r="K967">
        <v>1.0495086273620001E-2</v>
      </c>
      <c r="L967">
        <v>9.8257854627899904E-3</v>
      </c>
      <c r="M967">
        <v>9.0456059089000004E-3</v>
      </c>
      <c r="N967">
        <v>8.2992095132999894E-3</v>
      </c>
      <c r="O967">
        <v>0</v>
      </c>
      <c r="P967">
        <v>0</v>
      </c>
      <c r="Q967">
        <v>0</v>
      </c>
      <c r="R967" t="s">
        <v>243</v>
      </c>
    </row>
    <row r="968" spans="1:18" x14ac:dyDescent="0.3">
      <c r="A968" t="s">
        <v>259</v>
      </c>
      <c r="B968" t="s">
        <v>26</v>
      </c>
      <c r="C968" t="s">
        <v>344</v>
      </c>
      <c r="D968" s="8">
        <v>8.3919199999999994E-5</v>
      </c>
      <c r="E968" s="8">
        <v>4.42943E-5</v>
      </c>
      <c r="F968" s="8">
        <v>3.09192E-5</v>
      </c>
      <c r="G968" s="8">
        <v>1.4275400000000001E-5</v>
      </c>
      <c r="H968" s="8">
        <v>1.49054E-5</v>
      </c>
      <c r="I968" s="8">
        <v>1.4889869999999899E-5</v>
      </c>
      <c r="J968" s="8">
        <v>1.4950389999999999E-5</v>
      </c>
      <c r="K968" s="8">
        <v>1.5007879999999999E-5</v>
      </c>
      <c r="L968" s="8">
        <v>1.5033980000000001E-5</v>
      </c>
      <c r="M968" s="8">
        <v>1.4994099999999999E-5</v>
      </c>
      <c r="N968" s="8">
        <v>1.4961159999999901E-5</v>
      </c>
      <c r="O968">
        <v>0</v>
      </c>
      <c r="P968">
        <v>0</v>
      </c>
      <c r="Q968">
        <v>0</v>
      </c>
      <c r="R968" t="s">
        <v>243</v>
      </c>
    </row>
    <row r="969" spans="1:18" x14ac:dyDescent="0.3">
      <c r="A969" t="s">
        <v>259</v>
      </c>
      <c r="B969" t="s">
        <v>26</v>
      </c>
      <c r="C969" t="s">
        <v>345</v>
      </c>
      <c r="D969" s="8">
        <v>7.8232100000000006E-6</v>
      </c>
      <c r="E969" s="8">
        <v>3.79934E-6</v>
      </c>
      <c r="F969" s="8">
        <v>2.53338E-6</v>
      </c>
      <c r="G969" s="8">
        <v>1.0876500000000001E-6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243</v>
      </c>
    </row>
    <row r="970" spans="1:18" x14ac:dyDescent="0.3">
      <c r="A970" t="s">
        <v>259</v>
      </c>
      <c r="B970" t="s">
        <v>26</v>
      </c>
      <c r="C970" t="s">
        <v>346</v>
      </c>
      <c r="D970" s="8">
        <v>5.3851899999999999E-5</v>
      </c>
      <c r="E970" s="8">
        <v>2.6689399999999999E-5</v>
      </c>
      <c r="F970" s="8">
        <v>1.8561499999999998E-5</v>
      </c>
      <c r="G970" s="8">
        <v>8.3613200000000004E-6</v>
      </c>
      <c r="H970" s="8">
        <v>8.6392199999999999E-6</v>
      </c>
      <c r="I970" s="8">
        <v>8.6729400000000007E-6</v>
      </c>
      <c r="J970" s="8">
        <v>8.7064599999999993E-6</v>
      </c>
      <c r="K970" s="8">
        <v>8.7347999999999998E-6</v>
      </c>
      <c r="L970" s="8">
        <v>8.7395699999999997E-6</v>
      </c>
      <c r="M970" s="8">
        <v>8.7088000000000004E-6</v>
      </c>
      <c r="N970" s="8">
        <v>8.6815199999999995E-6</v>
      </c>
      <c r="O970">
        <v>0</v>
      </c>
      <c r="P970">
        <v>0</v>
      </c>
      <c r="Q970">
        <v>0</v>
      </c>
      <c r="R970" t="s">
        <v>243</v>
      </c>
    </row>
    <row r="971" spans="1:18" x14ac:dyDescent="0.3">
      <c r="A971" t="s">
        <v>259</v>
      </c>
      <c r="B971" t="s">
        <v>26</v>
      </c>
      <c r="C971" t="s">
        <v>347</v>
      </c>
      <c r="D971" s="8">
        <v>4.0305400000000002E-5</v>
      </c>
      <c r="E971" s="8">
        <v>2.0593399999999998E-5</v>
      </c>
      <c r="F971" s="8">
        <v>1.4001E-5</v>
      </c>
      <c r="G971" s="8">
        <v>6.1983800000000001E-6</v>
      </c>
      <c r="H971" s="8">
        <v>6.2810300000000001E-6</v>
      </c>
      <c r="I971" s="8">
        <v>6.4470600000000002E-6</v>
      </c>
      <c r="J971" s="8">
        <v>6.4609500000000004E-6</v>
      </c>
      <c r="K971" s="8">
        <v>6.4713799999999999E-6</v>
      </c>
      <c r="L971" s="8">
        <v>6.4646699999999997E-6</v>
      </c>
      <c r="M971" s="8">
        <v>6.4315799999999998E-6</v>
      </c>
      <c r="N971" s="8">
        <v>6.4020799999999902E-6</v>
      </c>
      <c r="O971">
        <v>0</v>
      </c>
      <c r="P971">
        <v>0</v>
      </c>
      <c r="Q971">
        <v>0</v>
      </c>
      <c r="R971" t="s">
        <v>243</v>
      </c>
    </row>
    <row r="972" spans="1:18" x14ac:dyDescent="0.3">
      <c r="A972" t="s">
        <v>259</v>
      </c>
      <c r="B972" t="s">
        <v>26</v>
      </c>
      <c r="C972" t="s">
        <v>348</v>
      </c>
      <c r="D972" s="8">
        <v>3.3433199999999997E-5</v>
      </c>
      <c r="E972" s="8">
        <v>1.70866E-5</v>
      </c>
      <c r="F972" s="8">
        <v>1.1465600000000001E-5</v>
      </c>
      <c r="G972" s="8">
        <v>5.0139100000000002E-6</v>
      </c>
      <c r="H972" s="8">
        <v>5.0784299999999999E-6</v>
      </c>
      <c r="I972" s="8">
        <v>5.2113099999999901E-6</v>
      </c>
      <c r="J972" s="8">
        <v>5.2189449999999999E-6</v>
      </c>
      <c r="K972" s="8">
        <v>5.2255889999999902E-6</v>
      </c>
      <c r="L972" s="8">
        <v>5.2193600000000001E-6</v>
      </c>
      <c r="M972" s="8">
        <v>5.19214399999999E-6</v>
      </c>
      <c r="N972" s="8">
        <v>5.1661950000000003E-6</v>
      </c>
      <c r="O972">
        <v>0</v>
      </c>
      <c r="P972">
        <v>0</v>
      </c>
      <c r="Q972">
        <v>0</v>
      </c>
      <c r="R972" t="s">
        <v>243</v>
      </c>
    </row>
    <row r="973" spans="1:18" x14ac:dyDescent="0.3">
      <c r="A973" t="s">
        <v>259</v>
      </c>
      <c r="B973" t="s">
        <v>26</v>
      </c>
      <c r="C973" t="s">
        <v>349</v>
      </c>
      <c r="D973" s="8">
        <v>2.8309900000000001E-5</v>
      </c>
      <c r="E973" s="8">
        <v>1.44283E-5</v>
      </c>
      <c r="F973" s="8">
        <v>9.6853500000000004E-6</v>
      </c>
      <c r="G973" s="8">
        <v>4.2187699999999998E-6</v>
      </c>
      <c r="H973" s="8">
        <v>4.2790799999999997E-6</v>
      </c>
      <c r="I973" s="8">
        <v>4.3916700000000003E-6</v>
      </c>
      <c r="J973" s="8">
        <v>4.3964199999999997E-6</v>
      </c>
      <c r="K973" s="8">
        <v>4.3995960000000001E-6</v>
      </c>
      <c r="L973" s="8">
        <v>4.3940209999999997E-6</v>
      </c>
      <c r="M973" s="8">
        <v>4.3697849999999999E-6</v>
      </c>
      <c r="N973" s="8">
        <v>2.649738E-6</v>
      </c>
      <c r="O973">
        <v>0</v>
      </c>
      <c r="P973">
        <v>0</v>
      </c>
      <c r="Q973">
        <v>0</v>
      </c>
      <c r="R973" t="s">
        <v>243</v>
      </c>
    </row>
    <row r="974" spans="1:18" x14ac:dyDescent="0.3">
      <c r="A974" t="s">
        <v>259</v>
      </c>
      <c r="B974" t="s">
        <v>26</v>
      </c>
      <c r="C974" t="s">
        <v>350</v>
      </c>
      <c r="D974" s="8">
        <v>2.4195100000000002E-5</v>
      </c>
      <c r="E974" s="8">
        <v>1.2330100000000001E-5</v>
      </c>
      <c r="F974" s="8">
        <v>8.2620100000000005E-6</v>
      </c>
      <c r="G974" s="8">
        <v>3.5822499999999999E-6</v>
      </c>
      <c r="H974" s="8">
        <v>3.63795E-6</v>
      </c>
      <c r="I974" s="8">
        <v>3.73249799999999E-6</v>
      </c>
      <c r="J974" s="8">
        <v>3.7341739999999999E-6</v>
      </c>
      <c r="K974" s="8">
        <v>3.7361289999999999E-6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243</v>
      </c>
    </row>
    <row r="975" spans="1:18" x14ac:dyDescent="0.3">
      <c r="A975" t="s">
        <v>259</v>
      </c>
      <c r="B975" t="s">
        <v>26</v>
      </c>
      <c r="C975" t="s">
        <v>351</v>
      </c>
      <c r="D975" s="8">
        <v>2.05293E-5</v>
      </c>
      <c r="E975" s="8">
        <v>1.0509800000000001E-5</v>
      </c>
      <c r="F975" s="8">
        <v>7.0191799999999999E-6</v>
      </c>
      <c r="G975" s="8">
        <v>3.0466600000000002E-6</v>
      </c>
      <c r="H975" s="8">
        <v>3.1006099999999999E-6</v>
      </c>
      <c r="I975" s="8">
        <v>3.1797350000000001E-6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243</v>
      </c>
    </row>
    <row r="976" spans="1:18" x14ac:dyDescent="0.3">
      <c r="A976" t="s">
        <v>259</v>
      </c>
      <c r="B976" t="s">
        <v>26</v>
      </c>
      <c r="C976" t="s">
        <v>352</v>
      </c>
      <c r="D976" s="8">
        <v>1.7195300000000001E-5</v>
      </c>
      <c r="E976" s="8">
        <v>8.7501900000000007E-6</v>
      </c>
      <c r="F976" s="8">
        <v>5.8510399999999998E-6</v>
      </c>
      <c r="G976" s="8">
        <v>2.49872E-6</v>
      </c>
      <c r="H976" s="8">
        <v>4.1656600000000003E-7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243</v>
      </c>
    </row>
    <row r="977" spans="1:18" x14ac:dyDescent="0.3">
      <c r="A977" t="s">
        <v>259</v>
      </c>
      <c r="B977" t="s">
        <v>26</v>
      </c>
      <c r="C977" t="s">
        <v>353</v>
      </c>
      <c r="D977" s="8">
        <v>1.3406E-5</v>
      </c>
      <c r="E977" s="8">
        <v>6.8233499999999996E-6</v>
      </c>
      <c r="F977" s="8">
        <v>4.5708700000000002E-6</v>
      </c>
      <c r="G977" s="8">
        <v>1.9796099999999999E-6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243</v>
      </c>
    </row>
    <row r="978" spans="1:18" x14ac:dyDescent="0.3">
      <c r="A978" t="s">
        <v>259</v>
      </c>
      <c r="B978" t="s">
        <v>26</v>
      </c>
      <c r="C978" t="s">
        <v>294</v>
      </c>
      <c r="D978">
        <v>2.4800224999999999E-3</v>
      </c>
      <c r="E978">
        <v>2.2791383000000001E-3</v>
      </c>
      <c r="F978">
        <v>2.5666763E-3</v>
      </c>
      <c r="G978">
        <v>2.0760452E-3</v>
      </c>
      <c r="H978">
        <v>2.16488101E-3</v>
      </c>
      <c r="I978">
        <v>2.2052398300000001E-3</v>
      </c>
      <c r="J978">
        <v>2.3206106699999998E-3</v>
      </c>
      <c r="K978">
        <v>2.36524970999999E-3</v>
      </c>
      <c r="L978">
        <v>2.3700642399999898E-3</v>
      </c>
      <c r="M978">
        <v>2.3519701200000001E-3</v>
      </c>
      <c r="N978">
        <v>2.3290873899999899E-3</v>
      </c>
      <c r="O978">
        <v>0</v>
      </c>
      <c r="P978">
        <v>0</v>
      </c>
      <c r="Q978">
        <v>0</v>
      </c>
      <c r="R978" t="s">
        <v>243</v>
      </c>
    </row>
    <row r="979" spans="1:18" x14ac:dyDescent="0.3">
      <c r="A979" t="s">
        <v>259</v>
      </c>
      <c r="B979" t="s">
        <v>26</v>
      </c>
      <c r="C979" t="s">
        <v>295</v>
      </c>
      <c r="D979">
        <v>4.2989235000000002E-3</v>
      </c>
      <c r="E979">
        <v>3.7780564999999999E-3</v>
      </c>
      <c r="F979">
        <v>4.3222918000000001E-3</v>
      </c>
      <c r="G979">
        <v>3.6267977E-3</v>
      </c>
      <c r="H979">
        <v>3.6942261200000001E-3</v>
      </c>
      <c r="I979">
        <v>3.8293318199999998E-3</v>
      </c>
      <c r="J979">
        <v>3.91527624999999E-3</v>
      </c>
      <c r="K979">
        <v>3.9183075E-3</v>
      </c>
      <c r="L979">
        <v>3.8644903800000002E-3</v>
      </c>
      <c r="M979">
        <v>3.7792152999999999E-3</v>
      </c>
      <c r="N979">
        <v>3.6889546699999999E-3</v>
      </c>
      <c r="O979">
        <v>0</v>
      </c>
      <c r="P979">
        <v>0</v>
      </c>
      <c r="Q979">
        <v>0</v>
      </c>
      <c r="R979" t="s">
        <v>243</v>
      </c>
    </row>
    <row r="980" spans="1:18" x14ac:dyDescent="0.3">
      <c r="A980" t="s">
        <v>259</v>
      </c>
      <c r="B980" t="s">
        <v>26</v>
      </c>
      <c r="C980" t="s">
        <v>296</v>
      </c>
      <c r="D980">
        <v>2.9847203999999999E-3</v>
      </c>
      <c r="E980">
        <v>2.7089748000000001E-3</v>
      </c>
      <c r="F980">
        <v>3.0710818000000001E-3</v>
      </c>
      <c r="G980">
        <v>2.5412167E-3</v>
      </c>
      <c r="H980">
        <v>2.6236002500000001E-3</v>
      </c>
      <c r="I980">
        <v>2.6736446399999998E-3</v>
      </c>
      <c r="J980">
        <v>2.77040481E-3</v>
      </c>
      <c r="K980">
        <v>2.7967855099999901E-3</v>
      </c>
      <c r="L980">
        <v>2.7780513300000001E-3</v>
      </c>
      <c r="M980">
        <v>2.7352085900000001E-3</v>
      </c>
      <c r="N980">
        <v>2.6880056399999999E-3</v>
      </c>
      <c r="O980">
        <v>0</v>
      </c>
      <c r="P980">
        <v>0</v>
      </c>
      <c r="Q980">
        <v>0</v>
      </c>
      <c r="R980" t="s">
        <v>243</v>
      </c>
    </row>
    <row r="981" spans="1:18" x14ac:dyDescent="0.3">
      <c r="A981" t="s">
        <v>259</v>
      </c>
      <c r="B981" t="s">
        <v>26</v>
      </c>
      <c r="C981" t="s">
        <v>297</v>
      </c>
      <c r="D981">
        <v>3.2498587999999998E-3</v>
      </c>
      <c r="E981">
        <v>2.8828969999999902E-3</v>
      </c>
      <c r="F981">
        <v>3.2894626000000001E-3</v>
      </c>
      <c r="G981">
        <v>2.7423923999999999E-3</v>
      </c>
      <c r="H981">
        <v>2.7724457700000001E-3</v>
      </c>
      <c r="I981">
        <v>2.8956890700000001E-3</v>
      </c>
      <c r="J981">
        <v>2.9785526800000001E-3</v>
      </c>
      <c r="K981">
        <v>2.9932325199999998E-3</v>
      </c>
      <c r="L981">
        <v>2.96314986E-3</v>
      </c>
      <c r="M981">
        <v>2.90764965E-3</v>
      </c>
      <c r="N981">
        <v>2.84970471E-3</v>
      </c>
      <c r="O981">
        <v>0</v>
      </c>
      <c r="P981">
        <v>0</v>
      </c>
      <c r="Q981">
        <v>0</v>
      </c>
      <c r="R981" t="s">
        <v>243</v>
      </c>
    </row>
    <row r="982" spans="1:18" x14ac:dyDescent="0.3">
      <c r="A982" t="s">
        <v>259</v>
      </c>
      <c r="B982" t="s">
        <v>26</v>
      </c>
      <c r="C982" t="s">
        <v>298</v>
      </c>
      <c r="D982">
        <v>3.3969521E-3</v>
      </c>
      <c r="E982">
        <v>2.9956117999999999E-3</v>
      </c>
      <c r="F982">
        <v>3.4271536999999999E-3</v>
      </c>
      <c r="G982">
        <v>2.8671454999999999E-3</v>
      </c>
      <c r="H982">
        <v>2.90640541E-3</v>
      </c>
      <c r="I982">
        <v>3.02407886E-3</v>
      </c>
      <c r="J982">
        <v>3.10329345E-3</v>
      </c>
      <c r="K982">
        <v>3.1152791299999998E-3</v>
      </c>
      <c r="L982">
        <v>3.0819303300000001E-3</v>
      </c>
      <c r="M982">
        <v>3.0228497299999999E-3</v>
      </c>
      <c r="N982">
        <v>2.9605127499999998E-3</v>
      </c>
      <c r="O982">
        <v>0</v>
      </c>
      <c r="P982">
        <v>0</v>
      </c>
      <c r="Q982">
        <v>0</v>
      </c>
      <c r="R982" t="s">
        <v>243</v>
      </c>
    </row>
    <row r="983" spans="1:18" x14ac:dyDescent="0.3">
      <c r="A983" t="s">
        <v>259</v>
      </c>
      <c r="B983" t="s">
        <v>26</v>
      </c>
      <c r="C983" t="s">
        <v>299</v>
      </c>
      <c r="D983">
        <v>3.5160872999999999E-3</v>
      </c>
      <c r="E983">
        <v>3.0918788E-3</v>
      </c>
      <c r="F983">
        <v>3.5367070999999901E-3</v>
      </c>
      <c r="G983">
        <v>2.9617414000000001E-3</v>
      </c>
      <c r="H983">
        <v>3.0112714500000002E-3</v>
      </c>
      <c r="I983">
        <v>3.1284280099999899E-3</v>
      </c>
      <c r="J983">
        <v>3.2068888599999898E-3</v>
      </c>
      <c r="K983">
        <v>3.2166698599999902E-3</v>
      </c>
      <c r="L983">
        <v>3.1814000399999999E-3</v>
      </c>
      <c r="M983">
        <v>3.1191398999999998E-3</v>
      </c>
      <c r="N983">
        <v>3.05312734E-3</v>
      </c>
      <c r="O983">
        <v>0</v>
      </c>
      <c r="P983">
        <v>0</v>
      </c>
      <c r="Q983">
        <v>0</v>
      </c>
      <c r="R983" t="s">
        <v>243</v>
      </c>
    </row>
    <row r="984" spans="1:18" x14ac:dyDescent="0.3">
      <c r="A984" t="s">
        <v>259</v>
      </c>
      <c r="B984" t="s">
        <v>26</v>
      </c>
      <c r="C984" t="s">
        <v>300</v>
      </c>
      <c r="D984">
        <v>3.6214001999999999E-3</v>
      </c>
      <c r="E984">
        <v>3.1782912999999999E-3</v>
      </c>
      <c r="F984">
        <v>3.6362444E-3</v>
      </c>
      <c r="G984">
        <v>3.0480233000000001E-3</v>
      </c>
      <c r="H984">
        <v>3.1050495000000001E-3</v>
      </c>
      <c r="I984">
        <v>3.22224009E-3</v>
      </c>
      <c r="J984">
        <v>3.30000922E-3</v>
      </c>
      <c r="K984">
        <v>3.3091488399999902E-3</v>
      </c>
      <c r="L984">
        <v>3.2707792699999999E-3</v>
      </c>
      <c r="M984">
        <v>3.2062453399999899E-3</v>
      </c>
      <c r="N984">
        <v>3.13766097E-3</v>
      </c>
      <c r="O984">
        <v>0</v>
      </c>
      <c r="P984">
        <v>0</v>
      </c>
      <c r="Q984">
        <v>0</v>
      </c>
      <c r="R984" t="s">
        <v>243</v>
      </c>
    </row>
    <row r="985" spans="1:18" x14ac:dyDescent="0.3">
      <c r="A985" t="s">
        <v>259</v>
      </c>
      <c r="B985" t="s">
        <v>26</v>
      </c>
      <c r="C985" t="s">
        <v>301</v>
      </c>
      <c r="D985">
        <v>3.7265633000000001E-3</v>
      </c>
      <c r="E985">
        <v>3.263995E-3</v>
      </c>
      <c r="F985">
        <v>3.7359058000000001E-3</v>
      </c>
      <c r="G985">
        <v>3.1310664999999998E-3</v>
      </c>
      <c r="H985">
        <v>3.1974334900000002E-3</v>
      </c>
      <c r="I985">
        <v>3.3153965499999999E-3</v>
      </c>
      <c r="J985">
        <v>3.3935722899999998E-3</v>
      </c>
      <c r="K985">
        <v>3.4013878799999901E-3</v>
      </c>
      <c r="L985">
        <v>3.3608994799999999E-3</v>
      </c>
      <c r="M985">
        <v>3.2928159700000002E-3</v>
      </c>
      <c r="N985">
        <v>3.2200314999999901E-3</v>
      </c>
      <c r="O985">
        <v>0</v>
      </c>
      <c r="P985">
        <v>0</v>
      </c>
      <c r="Q985">
        <v>0</v>
      </c>
      <c r="R985" t="s">
        <v>243</v>
      </c>
    </row>
    <row r="986" spans="1:18" x14ac:dyDescent="0.3">
      <c r="A986" t="s">
        <v>259</v>
      </c>
      <c r="B986" t="s">
        <v>26</v>
      </c>
      <c r="C986" t="s">
        <v>302</v>
      </c>
      <c r="D986">
        <v>3.8363375000000002E-3</v>
      </c>
      <c r="E986">
        <v>3.3604005999999902E-3</v>
      </c>
      <c r="F986">
        <v>3.8451165999999902E-3</v>
      </c>
      <c r="G986">
        <v>3.2304922999999998E-3</v>
      </c>
      <c r="H986">
        <v>3.2944136599999999E-3</v>
      </c>
      <c r="I986">
        <v>3.41689002E-3</v>
      </c>
      <c r="J986">
        <v>3.4973878999999901E-3</v>
      </c>
      <c r="K986">
        <v>3.5039343399999902E-3</v>
      </c>
      <c r="L986">
        <v>3.46001431E-3</v>
      </c>
      <c r="M986">
        <v>3.3879358899999998E-3</v>
      </c>
      <c r="N986">
        <v>3.3118542900000001E-3</v>
      </c>
      <c r="O986">
        <v>0</v>
      </c>
      <c r="P986">
        <v>0</v>
      </c>
      <c r="Q986">
        <v>0</v>
      </c>
      <c r="R986" t="s">
        <v>243</v>
      </c>
    </row>
    <row r="987" spans="1:18" x14ac:dyDescent="0.3">
      <c r="A987" t="s">
        <v>259</v>
      </c>
      <c r="B987" t="s">
        <v>26</v>
      </c>
      <c r="C987" t="s">
        <v>303</v>
      </c>
      <c r="D987">
        <v>3.9863577000000001E-3</v>
      </c>
      <c r="E987">
        <v>3.4884732999999998E-3</v>
      </c>
      <c r="F987">
        <v>3.9900014999999997E-3</v>
      </c>
      <c r="G987">
        <v>3.3447236999999898E-3</v>
      </c>
      <c r="H987">
        <v>3.4184215899999999E-3</v>
      </c>
      <c r="I987">
        <v>3.5452594299999998E-3</v>
      </c>
      <c r="J987">
        <v>3.6272656099999899E-3</v>
      </c>
      <c r="K987">
        <v>3.63363653E-3</v>
      </c>
      <c r="L987">
        <v>3.5881919299999899E-3</v>
      </c>
      <c r="M987">
        <v>3.5135379499999998E-3</v>
      </c>
      <c r="N987">
        <v>3.4338745099999901E-3</v>
      </c>
      <c r="O987">
        <v>0</v>
      </c>
      <c r="P987">
        <v>0</v>
      </c>
      <c r="Q987">
        <v>0</v>
      </c>
      <c r="R987" t="s">
        <v>243</v>
      </c>
    </row>
    <row r="988" spans="1:18" x14ac:dyDescent="0.3">
      <c r="A988" t="s">
        <v>259</v>
      </c>
      <c r="B988" t="s">
        <v>26</v>
      </c>
      <c r="C988" t="s">
        <v>304</v>
      </c>
      <c r="D988">
        <v>1.2297899999999999E-3</v>
      </c>
      <c r="E988">
        <v>1.8488700000000001E-3</v>
      </c>
      <c r="F988">
        <v>2.0918099999999999E-3</v>
      </c>
      <c r="G988">
        <v>1.8454000000000001E-3</v>
      </c>
      <c r="H988">
        <v>2.0368399999999998E-3</v>
      </c>
      <c r="I988">
        <v>2.0219320000000002E-3</v>
      </c>
      <c r="J988">
        <v>2.0340409999999999E-3</v>
      </c>
      <c r="K988">
        <v>2.07215E-3</v>
      </c>
      <c r="L988">
        <v>2.0952050000000002E-3</v>
      </c>
      <c r="M988">
        <v>2.102862E-3</v>
      </c>
      <c r="N988">
        <v>2.1072249999999999E-3</v>
      </c>
      <c r="O988">
        <v>0</v>
      </c>
      <c r="P988">
        <v>0</v>
      </c>
      <c r="Q988">
        <v>0</v>
      </c>
      <c r="R988" t="s">
        <v>243</v>
      </c>
    </row>
    <row r="989" spans="1:18" x14ac:dyDescent="0.3">
      <c r="A989" t="s">
        <v>259</v>
      </c>
      <c r="B989" t="s">
        <v>26</v>
      </c>
      <c r="C989" t="s">
        <v>305</v>
      </c>
      <c r="D989">
        <v>2.2354800000000002E-3</v>
      </c>
      <c r="E989">
        <v>3.0614599999999998E-3</v>
      </c>
      <c r="F989">
        <v>3.4656499999999998E-3</v>
      </c>
      <c r="G989">
        <v>3.19367E-3</v>
      </c>
      <c r="H989">
        <v>3.2414499999999999E-3</v>
      </c>
      <c r="I989">
        <v>3.3236339999999998E-3</v>
      </c>
      <c r="J989">
        <v>3.3200130000000001E-3</v>
      </c>
      <c r="K989">
        <v>3.3151689999999902E-3</v>
      </c>
      <c r="L989">
        <v>3.301839E-3</v>
      </c>
      <c r="M989">
        <v>3.2753280000000001E-3</v>
      </c>
      <c r="N989">
        <v>3.248515E-3</v>
      </c>
      <c r="O989">
        <v>0</v>
      </c>
      <c r="P989">
        <v>0</v>
      </c>
      <c r="Q989">
        <v>0</v>
      </c>
      <c r="R989" t="s">
        <v>243</v>
      </c>
    </row>
    <row r="990" spans="1:18" x14ac:dyDescent="0.3">
      <c r="A990" t="s">
        <v>259</v>
      </c>
      <c r="B990" t="s">
        <v>26</v>
      </c>
      <c r="C990" t="s">
        <v>306</v>
      </c>
      <c r="D990">
        <v>1.51497E-3</v>
      </c>
      <c r="E990">
        <v>2.1959100000000001E-3</v>
      </c>
      <c r="F990">
        <v>2.4749300000000002E-3</v>
      </c>
      <c r="G990">
        <v>2.2448300000000002E-3</v>
      </c>
      <c r="H990">
        <v>2.3522E-3</v>
      </c>
      <c r="I990">
        <v>2.358916E-3</v>
      </c>
      <c r="J990">
        <v>2.369571E-3</v>
      </c>
      <c r="K990">
        <v>2.3842519999999999E-3</v>
      </c>
      <c r="L990">
        <v>2.3888909999999902E-3</v>
      </c>
      <c r="M990">
        <v>2.3822499999999998E-3</v>
      </c>
      <c r="N990">
        <v>2.3756459999999999E-3</v>
      </c>
      <c r="O990">
        <v>0</v>
      </c>
      <c r="P990">
        <v>0</v>
      </c>
      <c r="Q990">
        <v>0</v>
      </c>
      <c r="R990" t="s">
        <v>243</v>
      </c>
    </row>
    <row r="991" spans="1:18" x14ac:dyDescent="0.3">
      <c r="A991" t="s">
        <v>259</v>
      </c>
      <c r="B991" t="s">
        <v>26</v>
      </c>
      <c r="C991" t="s">
        <v>307</v>
      </c>
      <c r="D991">
        <v>1.6687E-3</v>
      </c>
      <c r="E991">
        <v>2.3364200000000001E-3</v>
      </c>
      <c r="F991">
        <v>2.64256E-3</v>
      </c>
      <c r="G991">
        <v>2.41786E-3</v>
      </c>
      <c r="H991">
        <v>2.45948E-3</v>
      </c>
      <c r="I991">
        <v>2.5260309999999898E-3</v>
      </c>
      <c r="J991">
        <v>2.5317899999999999E-3</v>
      </c>
      <c r="K991">
        <v>2.5374849999999999E-3</v>
      </c>
      <c r="L991">
        <v>2.5354729999999999E-3</v>
      </c>
      <c r="M991">
        <v>2.522776E-3</v>
      </c>
      <c r="N991">
        <v>2.5113069999999999E-3</v>
      </c>
      <c r="O991">
        <v>0</v>
      </c>
      <c r="P991">
        <v>0</v>
      </c>
      <c r="Q991">
        <v>0</v>
      </c>
      <c r="R991" t="s">
        <v>243</v>
      </c>
    </row>
    <row r="992" spans="1:18" x14ac:dyDescent="0.3">
      <c r="A992" t="s">
        <v>259</v>
      </c>
      <c r="B992" t="s">
        <v>26</v>
      </c>
      <c r="C992" t="s">
        <v>308</v>
      </c>
      <c r="D992">
        <v>1.7534199999999999E-3</v>
      </c>
      <c r="E992">
        <v>2.4275799999999999E-3</v>
      </c>
      <c r="F992">
        <v>2.7500900000000002E-3</v>
      </c>
      <c r="G992">
        <v>2.5260399999999998E-3</v>
      </c>
      <c r="H992">
        <v>2.5621400000000001E-3</v>
      </c>
      <c r="I992">
        <v>2.629644E-3</v>
      </c>
      <c r="J992">
        <v>2.6335479999999999E-3</v>
      </c>
      <c r="K992">
        <v>2.6373519999999999E-3</v>
      </c>
      <c r="L992">
        <v>2.6343429999999999E-3</v>
      </c>
      <c r="M992">
        <v>2.6206599999999999E-3</v>
      </c>
      <c r="N992">
        <v>2.6075830000000001E-3</v>
      </c>
      <c r="O992">
        <v>0</v>
      </c>
      <c r="P992">
        <v>0</v>
      </c>
      <c r="Q992">
        <v>0</v>
      </c>
      <c r="R992" t="s">
        <v>243</v>
      </c>
    </row>
    <row r="993" spans="1:18" x14ac:dyDescent="0.3">
      <c r="A993" t="s">
        <v>259</v>
      </c>
      <c r="B993" t="s">
        <v>26</v>
      </c>
      <c r="C993" t="s">
        <v>309</v>
      </c>
      <c r="D993">
        <v>1.8207799999999999E-3</v>
      </c>
      <c r="E993">
        <v>2.50549E-3</v>
      </c>
      <c r="F993">
        <v>2.8366799999999998E-3</v>
      </c>
      <c r="G993">
        <v>2.6086099999999999E-3</v>
      </c>
      <c r="H993">
        <v>2.6473E-3</v>
      </c>
      <c r="I993">
        <v>2.7170459999999999E-3</v>
      </c>
      <c r="J993">
        <v>2.7199379999999999E-3</v>
      </c>
      <c r="K993">
        <v>2.7220159999999998E-3</v>
      </c>
      <c r="L993">
        <v>2.7185969999999901E-3</v>
      </c>
      <c r="M993">
        <v>2.7036130000000001E-3</v>
      </c>
      <c r="N993">
        <v>2.688822E-3</v>
      </c>
      <c r="O993">
        <v>0</v>
      </c>
      <c r="P993">
        <v>0</v>
      </c>
      <c r="Q993">
        <v>0</v>
      </c>
      <c r="R993" t="s">
        <v>243</v>
      </c>
    </row>
    <row r="994" spans="1:18" x14ac:dyDescent="0.3">
      <c r="A994" t="s">
        <v>259</v>
      </c>
      <c r="B994" t="s">
        <v>26</v>
      </c>
      <c r="C994" t="s">
        <v>310</v>
      </c>
      <c r="D994">
        <v>1.87901E-3</v>
      </c>
      <c r="E994">
        <v>2.5754699999999998E-3</v>
      </c>
      <c r="F994">
        <v>2.9159199999999998E-3</v>
      </c>
      <c r="G994">
        <v>2.6842400000000001E-3</v>
      </c>
      <c r="H994">
        <v>2.7264300000000002E-3</v>
      </c>
      <c r="I994">
        <v>2.7972449999999999E-3</v>
      </c>
      <c r="J994">
        <v>2.7984329999999999E-3</v>
      </c>
      <c r="K994">
        <v>2.7999209999999999E-3</v>
      </c>
      <c r="L994">
        <v>2.7947530000000001E-3</v>
      </c>
      <c r="M994">
        <v>2.77897E-3</v>
      </c>
      <c r="N994">
        <v>2.7631929999999902E-3</v>
      </c>
      <c r="O994">
        <v>0</v>
      </c>
      <c r="P994">
        <v>0</v>
      </c>
      <c r="Q994">
        <v>0</v>
      </c>
      <c r="R994" t="s">
        <v>243</v>
      </c>
    </row>
    <row r="995" spans="1:18" x14ac:dyDescent="0.3">
      <c r="A995" t="s">
        <v>259</v>
      </c>
      <c r="B995" t="s">
        <v>26</v>
      </c>
      <c r="C995" t="s">
        <v>311</v>
      </c>
      <c r="D995">
        <v>1.93589E-3</v>
      </c>
      <c r="E995">
        <v>2.6449099999999999E-3</v>
      </c>
      <c r="F995">
        <v>2.9956000000000002E-3</v>
      </c>
      <c r="G995">
        <v>2.7572199999999999E-3</v>
      </c>
      <c r="H995">
        <v>2.8061099999999901E-3</v>
      </c>
      <c r="I995">
        <v>2.8776639999999998E-3</v>
      </c>
      <c r="J995">
        <v>2.8776510000000002E-3</v>
      </c>
      <c r="K995">
        <v>2.8778480000000001E-3</v>
      </c>
      <c r="L995">
        <v>2.8717130000000001E-3</v>
      </c>
      <c r="M995">
        <v>2.8539489999999902E-3</v>
      </c>
      <c r="N995">
        <v>2.835672E-3</v>
      </c>
      <c r="O995">
        <v>0</v>
      </c>
      <c r="P995">
        <v>0</v>
      </c>
      <c r="Q995">
        <v>0</v>
      </c>
      <c r="R995" t="s">
        <v>243</v>
      </c>
    </row>
    <row r="996" spans="1:18" x14ac:dyDescent="0.3">
      <c r="A996" t="s">
        <v>259</v>
      </c>
      <c r="B996" t="s">
        <v>26</v>
      </c>
      <c r="C996" t="s">
        <v>312</v>
      </c>
      <c r="D996">
        <v>1.9941899999999999E-3</v>
      </c>
      <c r="E996">
        <v>2.72302E-3</v>
      </c>
      <c r="F996">
        <v>3.0830699999999998E-3</v>
      </c>
      <c r="G996">
        <v>2.8447099999999999E-3</v>
      </c>
      <c r="H996">
        <v>2.89076E-3</v>
      </c>
      <c r="I996">
        <v>2.9656209999999999E-3</v>
      </c>
      <c r="J996">
        <v>2.9656299999999999E-3</v>
      </c>
      <c r="K996">
        <v>2.9645829999999998E-3</v>
      </c>
      <c r="L996">
        <v>2.9563369999999999E-3</v>
      </c>
      <c r="M996">
        <v>2.93633E-3</v>
      </c>
      <c r="N996">
        <v>2.9165189999999998E-3</v>
      </c>
      <c r="O996">
        <v>0</v>
      </c>
      <c r="P996">
        <v>0</v>
      </c>
      <c r="Q996">
        <v>0</v>
      </c>
      <c r="R996" t="s">
        <v>243</v>
      </c>
    </row>
    <row r="997" spans="1:18" x14ac:dyDescent="0.3">
      <c r="A997" t="s">
        <v>259</v>
      </c>
      <c r="B997" t="s">
        <v>26</v>
      </c>
      <c r="C997" t="s">
        <v>313</v>
      </c>
      <c r="D997">
        <v>2.07281E-3</v>
      </c>
      <c r="E997">
        <v>2.8268E-3</v>
      </c>
      <c r="F997">
        <v>3.19922E-3</v>
      </c>
      <c r="G997">
        <v>2.9452800000000002E-3</v>
      </c>
      <c r="H997">
        <v>2.9994100000000001E-3</v>
      </c>
      <c r="I997">
        <v>3.076975E-3</v>
      </c>
      <c r="J997">
        <v>3.0757889999999898E-3</v>
      </c>
      <c r="K997">
        <v>3.0743110000000001E-3</v>
      </c>
      <c r="L997">
        <v>3.0658780000000002E-3</v>
      </c>
      <c r="M997">
        <v>3.0452000000000001E-3</v>
      </c>
      <c r="N997">
        <v>3.0239500000000001E-3</v>
      </c>
      <c r="O997">
        <v>0</v>
      </c>
      <c r="P997">
        <v>0</v>
      </c>
      <c r="Q997">
        <v>0</v>
      </c>
      <c r="R997" t="s">
        <v>243</v>
      </c>
    </row>
    <row r="998" spans="1:18" x14ac:dyDescent="0.3">
      <c r="A998" t="s">
        <v>259</v>
      </c>
      <c r="B998" t="s">
        <v>26</v>
      </c>
      <c r="C998" t="s">
        <v>314</v>
      </c>
      <c r="D998">
        <v>1.3207430000000001E-3</v>
      </c>
      <c r="E998" s="8">
        <v>8.2428999999999998E-4</v>
      </c>
      <c r="F998" s="8">
        <v>8.71714E-4</v>
      </c>
      <c r="G998" s="8">
        <v>6.6371699999999997E-4</v>
      </c>
      <c r="H998" s="8">
        <v>6.2403099999999896E-4</v>
      </c>
      <c r="I998" s="8">
        <v>7.2850360000000002E-4</v>
      </c>
      <c r="J998" s="8">
        <v>7.8165279999999895E-4</v>
      </c>
      <c r="K998" s="8">
        <v>7.4351579999999999E-4</v>
      </c>
      <c r="L998" s="8">
        <v>7.0852090000000001E-4</v>
      </c>
      <c r="M998" s="8">
        <v>6.7375159999999998E-4</v>
      </c>
      <c r="N998" s="8">
        <v>6.4454750000000004E-4</v>
      </c>
      <c r="O998">
        <v>0</v>
      </c>
      <c r="P998">
        <v>0</v>
      </c>
      <c r="Q998">
        <v>0</v>
      </c>
      <c r="R998" t="s">
        <v>243</v>
      </c>
    </row>
    <row r="999" spans="1:18" x14ac:dyDescent="0.3">
      <c r="A999" t="s">
        <v>259</v>
      </c>
      <c r="B999" t="s">
        <v>26</v>
      </c>
      <c r="C999" t="s">
        <v>315</v>
      </c>
      <c r="D999">
        <v>2.1623229999999998E-3</v>
      </c>
      <c r="E999">
        <v>1.35695E-3</v>
      </c>
      <c r="F999">
        <v>1.4688539999999999E-3</v>
      </c>
      <c r="G999">
        <v>1.182003E-3</v>
      </c>
      <c r="H999">
        <v>1.027221E-3</v>
      </c>
      <c r="I999">
        <v>1.2236809999999999E-3</v>
      </c>
      <c r="J999">
        <v>1.291555E-3</v>
      </c>
      <c r="K999">
        <v>1.2054170000000001E-3</v>
      </c>
      <c r="L999">
        <v>1.1307699999999999E-3</v>
      </c>
      <c r="M999">
        <v>1.0611505E-3</v>
      </c>
      <c r="N999">
        <v>1.0024346E-3</v>
      </c>
      <c r="O999">
        <v>0</v>
      </c>
      <c r="P999">
        <v>0</v>
      </c>
      <c r="Q999">
        <v>0</v>
      </c>
      <c r="R999" t="s">
        <v>243</v>
      </c>
    </row>
    <row r="1000" spans="1:18" x14ac:dyDescent="0.3">
      <c r="A1000" t="s">
        <v>259</v>
      </c>
      <c r="B1000" t="s">
        <v>26</v>
      </c>
      <c r="C1000" t="s">
        <v>316</v>
      </c>
      <c r="D1000">
        <v>1.5384629999999999E-3</v>
      </c>
      <c r="E1000" s="8">
        <v>9.7506999999999997E-4</v>
      </c>
      <c r="F1000">
        <v>1.043446E-3</v>
      </c>
      <c r="G1000" s="8">
        <v>8.2246999999999995E-4</v>
      </c>
      <c r="H1000" s="8">
        <v>7.3870999999999995E-4</v>
      </c>
      <c r="I1000" s="8">
        <v>8.6359499999999999E-4</v>
      </c>
      <c r="J1000" s="8">
        <v>9.1915200000000001E-4</v>
      </c>
      <c r="K1000" s="8">
        <v>8.6483509999999895E-4</v>
      </c>
      <c r="L1000" s="8">
        <v>8.1654969999999901E-4</v>
      </c>
      <c r="M1000" s="8">
        <v>7.7077099999999996E-4</v>
      </c>
      <c r="N1000" s="8">
        <v>7.3249640000000004E-4</v>
      </c>
      <c r="O1000">
        <v>0</v>
      </c>
      <c r="P1000">
        <v>0</v>
      </c>
      <c r="Q1000">
        <v>0</v>
      </c>
      <c r="R1000" t="s">
        <v>243</v>
      </c>
    </row>
    <row r="1001" spans="1:18" x14ac:dyDescent="0.3">
      <c r="A1001" t="s">
        <v>259</v>
      </c>
      <c r="B1001" t="s">
        <v>26</v>
      </c>
      <c r="C1001" t="s">
        <v>317</v>
      </c>
      <c r="D1001">
        <v>1.6525089999999999E-3</v>
      </c>
      <c r="E1001">
        <v>1.036351E-3</v>
      </c>
      <c r="F1001">
        <v>1.1177750000000001E-3</v>
      </c>
      <c r="G1001" s="8">
        <v>8.9120099999999999E-4</v>
      </c>
      <c r="H1001" s="8">
        <v>7.7612999999999998E-4</v>
      </c>
      <c r="I1001" s="8">
        <v>9.28599E-4</v>
      </c>
      <c r="J1001" s="8">
        <v>9.8419499999999999E-4</v>
      </c>
      <c r="K1001" s="8">
        <v>9.2214149999999997E-4</v>
      </c>
      <c r="L1001" s="8">
        <v>8.6801279999999998E-4</v>
      </c>
      <c r="M1001" s="8">
        <v>8.1716039999999996E-4</v>
      </c>
      <c r="N1001" s="8">
        <v>7.7486579999999996E-4</v>
      </c>
      <c r="O1001">
        <v>0</v>
      </c>
      <c r="P1001">
        <v>0</v>
      </c>
      <c r="Q1001">
        <v>0</v>
      </c>
      <c r="R1001" t="s">
        <v>243</v>
      </c>
    </row>
    <row r="1002" spans="1:18" x14ac:dyDescent="0.3">
      <c r="A1002" t="s">
        <v>259</v>
      </c>
      <c r="B1002" t="s">
        <v>26</v>
      </c>
      <c r="C1002" t="s">
        <v>318</v>
      </c>
      <c r="D1002">
        <v>1.7181919999999999E-3</v>
      </c>
      <c r="E1002">
        <v>1.0763459999999999E-3</v>
      </c>
      <c r="F1002">
        <v>1.1646149999999999E-3</v>
      </c>
      <c r="G1002" s="8">
        <v>9.3323600000000005E-4</v>
      </c>
      <c r="H1002" s="8">
        <v>8.1064599999999896E-4</v>
      </c>
      <c r="I1002" s="8">
        <v>9.67683E-4</v>
      </c>
      <c r="J1002">
        <v>1.0242820000000001E-3</v>
      </c>
      <c r="K1002" s="8">
        <v>9.5882529999999995E-4</v>
      </c>
      <c r="L1002" s="8">
        <v>9.0211329999999995E-4</v>
      </c>
      <c r="M1002" s="8">
        <v>8.4902069999999896E-4</v>
      </c>
      <c r="N1002" s="8">
        <v>8.0464700000000002E-4</v>
      </c>
      <c r="O1002">
        <v>0</v>
      </c>
      <c r="P1002">
        <v>0</v>
      </c>
      <c r="Q1002">
        <v>0</v>
      </c>
      <c r="R1002" t="s">
        <v>243</v>
      </c>
    </row>
    <row r="1003" spans="1:18" x14ac:dyDescent="0.3">
      <c r="A1003" t="s">
        <v>259</v>
      </c>
      <c r="B1003" t="s">
        <v>26</v>
      </c>
      <c r="C1003" t="s">
        <v>319</v>
      </c>
      <c r="D1003">
        <v>1.7734280000000001E-3</v>
      </c>
      <c r="E1003">
        <v>1.11068E-3</v>
      </c>
      <c r="F1003">
        <v>1.2018679999999901E-3</v>
      </c>
      <c r="G1003" s="8">
        <v>9.6470400000000004E-4</v>
      </c>
      <c r="H1003" s="8">
        <v>8.3844300000000002E-4</v>
      </c>
      <c r="I1003">
        <v>1.000199E-3</v>
      </c>
      <c r="J1003">
        <v>1.058055E-3</v>
      </c>
      <c r="K1003" s="8">
        <v>9.8971600000000008E-4</v>
      </c>
      <c r="L1003" s="8">
        <v>9.3102630000000005E-4</v>
      </c>
      <c r="M1003" s="8">
        <v>8.7592409999999996E-4</v>
      </c>
      <c r="N1003" s="8">
        <v>8.2972829999999995E-4</v>
      </c>
      <c r="O1003">
        <v>0</v>
      </c>
      <c r="P1003">
        <v>0</v>
      </c>
      <c r="Q1003">
        <v>0</v>
      </c>
      <c r="R1003" t="s">
        <v>243</v>
      </c>
    </row>
    <row r="1004" spans="1:18" x14ac:dyDescent="0.3">
      <c r="A1004" t="s">
        <v>259</v>
      </c>
      <c r="B1004" t="s">
        <v>26</v>
      </c>
      <c r="C1004" t="s">
        <v>320</v>
      </c>
      <c r="D1004">
        <v>1.8238270000000001E-3</v>
      </c>
      <c r="E1004">
        <v>1.141605E-3</v>
      </c>
      <c r="F1004">
        <v>1.2357049999999999E-3</v>
      </c>
      <c r="G1004" s="8">
        <v>9.9314599999999901E-4</v>
      </c>
      <c r="H1004" s="8">
        <v>8.6385099999999903E-4</v>
      </c>
      <c r="I1004">
        <v>1.029842E-3</v>
      </c>
      <c r="J1004">
        <v>1.0886369999999999E-3</v>
      </c>
      <c r="K1004">
        <v>1.0180709999999999E-3</v>
      </c>
      <c r="L1004" s="8">
        <v>9.5711829999999996E-4</v>
      </c>
      <c r="M1004" s="8">
        <v>9.0034480000000003E-4</v>
      </c>
      <c r="N1004" s="8">
        <v>8.5267869999999996E-4</v>
      </c>
      <c r="O1004">
        <v>0</v>
      </c>
      <c r="P1004">
        <v>0</v>
      </c>
      <c r="Q1004">
        <v>0</v>
      </c>
      <c r="R1004" t="s">
        <v>243</v>
      </c>
    </row>
    <row r="1005" spans="1:18" x14ac:dyDescent="0.3">
      <c r="A1005" t="s">
        <v>259</v>
      </c>
      <c r="B1005" t="s">
        <v>26</v>
      </c>
      <c r="C1005" t="s">
        <v>321</v>
      </c>
      <c r="D1005">
        <v>1.875348E-3</v>
      </c>
      <c r="E1005">
        <v>1.1723409999999999E-3</v>
      </c>
      <c r="F1005">
        <v>1.2695779999999999E-3</v>
      </c>
      <c r="G1005">
        <v>1.0203569999999999E-3</v>
      </c>
      <c r="H1005" s="8">
        <v>8.8923300000000002E-4</v>
      </c>
      <c r="I1005">
        <v>1.0594860000000001E-3</v>
      </c>
      <c r="J1005">
        <v>1.119461E-3</v>
      </c>
      <c r="K1005">
        <v>1.046412E-3</v>
      </c>
      <c r="L1005" s="8">
        <v>9.8347410000000006E-4</v>
      </c>
      <c r="M1005" s="8">
        <v>9.2463280000000005E-4</v>
      </c>
      <c r="N1005" s="8">
        <v>8.7504360000000003E-4</v>
      </c>
      <c r="O1005">
        <v>0</v>
      </c>
      <c r="P1005">
        <v>0</v>
      </c>
      <c r="Q1005">
        <v>0</v>
      </c>
      <c r="R1005" t="s">
        <v>243</v>
      </c>
    </row>
    <row r="1006" spans="1:18" x14ac:dyDescent="0.3">
      <c r="A1006" t="s">
        <v>259</v>
      </c>
      <c r="B1006" t="s">
        <v>26</v>
      </c>
      <c r="C1006" t="s">
        <v>322</v>
      </c>
      <c r="D1006">
        <v>1.929933E-3</v>
      </c>
      <c r="E1006">
        <v>1.2069489999999999E-3</v>
      </c>
      <c r="F1006">
        <v>1.3066929999999901E-3</v>
      </c>
      <c r="G1006">
        <v>1.0528249999999901E-3</v>
      </c>
      <c r="H1006" s="8">
        <v>9.1608599999999998E-4</v>
      </c>
      <c r="I1006">
        <v>1.0918799999999999E-3</v>
      </c>
      <c r="J1006">
        <v>1.153692E-3</v>
      </c>
      <c r="K1006">
        <v>1.07795E-3</v>
      </c>
      <c r="L1006">
        <v>1.0124521999999999E-3</v>
      </c>
      <c r="M1006" s="8">
        <v>9.513236E-4</v>
      </c>
      <c r="N1006" s="8">
        <v>8.9999049999999999E-4</v>
      </c>
      <c r="O1006">
        <v>0</v>
      </c>
      <c r="P1006">
        <v>0</v>
      </c>
      <c r="Q1006">
        <v>0</v>
      </c>
      <c r="R1006" t="s">
        <v>243</v>
      </c>
    </row>
    <row r="1007" spans="1:18" x14ac:dyDescent="0.3">
      <c r="A1007" t="s">
        <v>259</v>
      </c>
      <c r="B1007" t="s">
        <v>26</v>
      </c>
      <c r="C1007" t="s">
        <v>323</v>
      </c>
      <c r="D1007">
        <v>2.005148E-3</v>
      </c>
      <c r="E1007">
        <v>1.2529419999999999E-3</v>
      </c>
      <c r="F1007">
        <v>1.355932E-3</v>
      </c>
      <c r="G1007">
        <v>1.090068E-3</v>
      </c>
      <c r="H1007" s="8">
        <v>9.5053300000000004E-4</v>
      </c>
      <c r="I1007">
        <v>1.132887E-3</v>
      </c>
      <c r="J1007">
        <v>1.1965369999999999E-3</v>
      </c>
      <c r="K1007">
        <v>1.1178469999999999E-3</v>
      </c>
      <c r="L1007">
        <v>1.0499677E-3</v>
      </c>
      <c r="M1007" s="8">
        <v>9.8659539999999997E-4</v>
      </c>
      <c r="N1007" s="8">
        <v>9.3314240000000001E-4</v>
      </c>
      <c r="O1007">
        <v>0</v>
      </c>
      <c r="P1007">
        <v>0</v>
      </c>
      <c r="Q1007">
        <v>0</v>
      </c>
      <c r="R1007" t="s">
        <v>243</v>
      </c>
    </row>
    <row r="1008" spans="1:18" x14ac:dyDescent="0.3">
      <c r="A1008" t="s">
        <v>259</v>
      </c>
      <c r="B1008" t="s">
        <v>28</v>
      </c>
      <c r="C1008" t="s">
        <v>261</v>
      </c>
      <c r="D1008">
        <v>7.7906670000000003E-3</v>
      </c>
      <c r="E1008">
        <v>1.2645999999999999E-2</v>
      </c>
      <c r="F1008">
        <v>1.47729E-2</v>
      </c>
      <c r="G1008">
        <v>1.41478E-2</v>
      </c>
      <c r="H1008">
        <v>1.5649309E-2</v>
      </c>
      <c r="I1008">
        <v>1.6902544999999901E-2</v>
      </c>
      <c r="J1008">
        <v>1.6629801999999999E-2</v>
      </c>
      <c r="K1008">
        <v>1.7696358299999999E-2</v>
      </c>
      <c r="L1008">
        <v>1.8522549999999999E-2</v>
      </c>
      <c r="M1008">
        <v>1.9013535000000002E-2</v>
      </c>
      <c r="N1008">
        <v>1.9412964800000002E-2</v>
      </c>
      <c r="O1008">
        <v>0</v>
      </c>
      <c r="P1008">
        <v>0</v>
      </c>
      <c r="Q1008">
        <v>0</v>
      </c>
      <c r="R1008" t="s">
        <v>243</v>
      </c>
    </row>
    <row r="1009" spans="1:18" x14ac:dyDescent="0.3">
      <c r="A1009" t="s">
        <v>259</v>
      </c>
      <c r="B1009" t="s">
        <v>28</v>
      </c>
      <c r="C1009" t="s">
        <v>262</v>
      </c>
      <c r="D1009">
        <v>6.537820557E-2</v>
      </c>
      <c r="E1009">
        <v>9.6290525000000002E-2</v>
      </c>
      <c r="F1009">
        <v>9.2439387999999997E-2</v>
      </c>
      <c r="G1009">
        <v>8.1821499999999894E-2</v>
      </c>
      <c r="H1009">
        <v>7.0830281100000003E-2</v>
      </c>
      <c r="I1009">
        <v>7.3091400249999994E-2</v>
      </c>
      <c r="J1009">
        <v>7.32426067529999E-2</v>
      </c>
      <c r="K1009">
        <v>7.1852097815000002E-2</v>
      </c>
      <c r="L1009">
        <v>6.5392325380999997E-2</v>
      </c>
      <c r="M1009">
        <v>6.5880874012999996E-2</v>
      </c>
      <c r="N1009">
        <v>6.5600375939999997E-2</v>
      </c>
      <c r="O1009">
        <v>0</v>
      </c>
      <c r="P1009">
        <v>0</v>
      </c>
      <c r="Q1009">
        <v>0</v>
      </c>
      <c r="R1009" t="s">
        <v>243</v>
      </c>
    </row>
    <row r="1010" spans="1:18" x14ac:dyDescent="0.3">
      <c r="A1010" t="s">
        <v>259</v>
      </c>
      <c r="B1010" t="s">
        <v>28</v>
      </c>
      <c r="C1010" t="s">
        <v>263</v>
      </c>
      <c r="D1010">
        <v>0.59580820000000001</v>
      </c>
      <c r="E1010">
        <v>0.85588489999999995</v>
      </c>
      <c r="F1010">
        <v>0.91294329999999901</v>
      </c>
      <c r="G1010">
        <v>0.83032130000000004</v>
      </c>
      <c r="H1010">
        <v>0.75570576</v>
      </c>
      <c r="I1010">
        <v>0.81295401349999996</v>
      </c>
      <c r="J1010">
        <v>0.84578116299999995</v>
      </c>
      <c r="K1010">
        <v>0.84192910199999904</v>
      </c>
      <c r="L1010">
        <v>0.83854993</v>
      </c>
      <c r="M1010">
        <v>0.83069992500000001</v>
      </c>
      <c r="N1010">
        <v>0.81942075299999995</v>
      </c>
      <c r="O1010">
        <v>0</v>
      </c>
      <c r="P1010">
        <v>0</v>
      </c>
      <c r="Q1010">
        <v>0</v>
      </c>
      <c r="R1010" t="s">
        <v>243</v>
      </c>
    </row>
    <row r="1011" spans="1:18" x14ac:dyDescent="0.3">
      <c r="A1011" t="s">
        <v>259</v>
      </c>
      <c r="B1011" t="s">
        <v>28</v>
      </c>
      <c r="C1011" t="s">
        <v>264</v>
      </c>
      <c r="D1011">
        <v>1.187068E-2</v>
      </c>
      <c r="E1011">
        <v>1.1386729999999999E-2</v>
      </c>
      <c r="F1011">
        <v>1.0974869999999999E-2</v>
      </c>
      <c r="G1011">
        <v>9.0221469999999995E-3</v>
      </c>
      <c r="H1011">
        <v>8.9962710000000001E-3</v>
      </c>
      <c r="I1011">
        <v>9.7888390000000006E-3</v>
      </c>
      <c r="J1011">
        <v>1.14290539999999E-2</v>
      </c>
      <c r="K1011">
        <v>1.2175025000000001E-2</v>
      </c>
      <c r="L1011">
        <v>1.2509915E-2</v>
      </c>
      <c r="M1011">
        <v>1.2484560999999899E-2</v>
      </c>
      <c r="N1011">
        <v>1.2491812999999999E-2</v>
      </c>
      <c r="O1011">
        <v>0</v>
      </c>
      <c r="P1011">
        <v>0</v>
      </c>
      <c r="Q1011">
        <v>0</v>
      </c>
      <c r="R1011" t="s">
        <v>243</v>
      </c>
    </row>
    <row r="1012" spans="1:18" x14ac:dyDescent="0.3">
      <c r="A1012" t="s">
        <v>259</v>
      </c>
      <c r="B1012" t="s">
        <v>28</v>
      </c>
      <c r="C1012" t="s">
        <v>265</v>
      </c>
      <c r="D1012">
        <v>3.7957589999999999E-2</v>
      </c>
      <c r="E1012">
        <v>3.5056989999999899E-2</v>
      </c>
      <c r="F1012">
        <v>3.7296320000000001E-2</v>
      </c>
      <c r="G1012">
        <v>3.2850119999999997E-2</v>
      </c>
      <c r="H1012">
        <v>3.1444250999999999E-2</v>
      </c>
      <c r="I1012">
        <v>3.3762177999999997E-2</v>
      </c>
      <c r="J1012">
        <v>3.4991776000000002E-2</v>
      </c>
      <c r="K1012">
        <v>3.6016213999999998E-2</v>
      </c>
      <c r="L1012">
        <v>3.5962465999999998E-2</v>
      </c>
      <c r="M1012">
        <v>3.5032397999999902E-2</v>
      </c>
      <c r="N1012">
        <v>3.4056705999999999E-2</v>
      </c>
      <c r="O1012">
        <v>0</v>
      </c>
      <c r="P1012">
        <v>0</v>
      </c>
      <c r="Q1012">
        <v>0</v>
      </c>
      <c r="R1012" t="s">
        <v>243</v>
      </c>
    </row>
    <row r="1013" spans="1:18" x14ac:dyDescent="0.3">
      <c r="A1013" t="s">
        <v>259</v>
      </c>
      <c r="B1013" t="s">
        <v>28</v>
      </c>
      <c r="C1013" t="s">
        <v>266</v>
      </c>
      <c r="D1013">
        <v>1.710826E-2</v>
      </c>
      <c r="E1013">
        <v>1.7033449999999999E-2</v>
      </c>
      <c r="F1013">
        <v>1.67812899999999E-2</v>
      </c>
      <c r="G1013">
        <v>1.422942E-2</v>
      </c>
      <c r="H1013">
        <v>1.3714682999999899E-2</v>
      </c>
      <c r="I1013">
        <v>1.4869033999999901E-2</v>
      </c>
      <c r="J1013">
        <v>1.6938581000000001E-2</v>
      </c>
      <c r="K1013">
        <v>1.7976012E-2</v>
      </c>
      <c r="L1013">
        <v>1.8388227E-2</v>
      </c>
      <c r="M1013">
        <v>1.82929669999999E-2</v>
      </c>
      <c r="N1013">
        <v>1.8223659E-2</v>
      </c>
      <c r="O1013">
        <v>0</v>
      </c>
      <c r="P1013">
        <v>0</v>
      </c>
      <c r="Q1013">
        <v>0</v>
      </c>
      <c r="R1013" t="s">
        <v>243</v>
      </c>
    </row>
    <row r="1014" spans="1:18" x14ac:dyDescent="0.3">
      <c r="A1014" t="s">
        <v>259</v>
      </c>
      <c r="B1014" t="s">
        <v>28</v>
      </c>
      <c r="C1014" t="s">
        <v>267</v>
      </c>
      <c r="D1014">
        <v>2.0935789999999999E-2</v>
      </c>
      <c r="E1014">
        <v>2.0189479999999999E-2</v>
      </c>
      <c r="F1014">
        <v>2.04086699999999E-2</v>
      </c>
      <c r="G1014">
        <v>1.7593080000000001E-2</v>
      </c>
      <c r="H1014">
        <v>1.6136568E-2</v>
      </c>
      <c r="I1014">
        <v>1.8465599999999902E-2</v>
      </c>
      <c r="J1014">
        <v>2.0577399E-2</v>
      </c>
      <c r="K1014">
        <v>2.1647785999999999E-2</v>
      </c>
      <c r="L1014">
        <v>2.2004475999999999E-2</v>
      </c>
      <c r="M1014">
        <v>2.1757730999999999E-2</v>
      </c>
      <c r="N1014">
        <v>2.1535266000000001E-2</v>
      </c>
      <c r="O1014">
        <v>0</v>
      </c>
      <c r="P1014">
        <v>0</v>
      </c>
      <c r="Q1014">
        <v>0</v>
      </c>
      <c r="R1014" t="s">
        <v>243</v>
      </c>
    </row>
    <row r="1015" spans="1:18" x14ac:dyDescent="0.3">
      <c r="A1015" t="s">
        <v>259</v>
      </c>
      <c r="B1015" t="s">
        <v>28</v>
      </c>
      <c r="C1015" t="s">
        <v>268</v>
      </c>
      <c r="D1015">
        <v>2.346082E-2</v>
      </c>
      <c r="E1015">
        <v>2.246132E-2</v>
      </c>
      <c r="F1015">
        <v>2.3030809999999999E-2</v>
      </c>
      <c r="G1015">
        <v>2.0047289999999999E-2</v>
      </c>
      <c r="H1015">
        <v>1.8464842999999901E-2</v>
      </c>
      <c r="I1015">
        <v>2.09082879999999E-2</v>
      </c>
      <c r="J1015">
        <v>2.3007278999999999E-2</v>
      </c>
      <c r="K1015">
        <v>2.4127625E-2</v>
      </c>
      <c r="L1015">
        <v>2.4472202999999901E-2</v>
      </c>
      <c r="M1015">
        <v>2.4157423000000001E-2</v>
      </c>
      <c r="N1015">
        <v>2.3838462000000001E-2</v>
      </c>
      <c r="O1015">
        <v>0</v>
      </c>
      <c r="P1015">
        <v>0</v>
      </c>
      <c r="Q1015">
        <v>0</v>
      </c>
      <c r="R1015" t="s">
        <v>243</v>
      </c>
    </row>
    <row r="1016" spans="1:18" x14ac:dyDescent="0.3">
      <c r="A1016" t="s">
        <v>259</v>
      </c>
      <c r="B1016" t="s">
        <v>28</v>
      </c>
      <c r="C1016" t="s">
        <v>269</v>
      </c>
      <c r="D1016">
        <v>2.5677100000000001E-2</v>
      </c>
      <c r="E1016">
        <v>2.4453869999999999E-2</v>
      </c>
      <c r="F1016">
        <v>2.5210070000000001E-2</v>
      </c>
      <c r="G1016">
        <v>2.2016669999999999E-2</v>
      </c>
      <c r="H1016">
        <v>2.0430586000000001E-2</v>
      </c>
      <c r="I1016">
        <v>2.2991251000000001E-2</v>
      </c>
      <c r="J1016">
        <v>2.5042914999999999E-2</v>
      </c>
      <c r="K1016">
        <v>2.6168808999999901E-2</v>
      </c>
      <c r="L1016">
        <v>2.6489303999999901E-2</v>
      </c>
      <c r="M1016">
        <v>2.6091015999999901E-2</v>
      </c>
      <c r="N1016">
        <v>2.5669993999999901E-2</v>
      </c>
      <c r="O1016">
        <v>0</v>
      </c>
      <c r="P1016">
        <v>0</v>
      </c>
      <c r="Q1016">
        <v>0</v>
      </c>
      <c r="R1016" t="s">
        <v>243</v>
      </c>
    </row>
    <row r="1017" spans="1:18" x14ac:dyDescent="0.3">
      <c r="A1017" t="s">
        <v>259</v>
      </c>
      <c r="B1017" t="s">
        <v>28</v>
      </c>
      <c r="C1017" t="s">
        <v>270</v>
      </c>
      <c r="D1017">
        <v>2.7696390000000001E-2</v>
      </c>
      <c r="E1017">
        <v>2.6212249999999999E-2</v>
      </c>
      <c r="F1017">
        <v>2.7183260000000001E-2</v>
      </c>
      <c r="G1017">
        <v>2.3818410000000002E-2</v>
      </c>
      <c r="H1017">
        <v>2.2251557999999901E-2</v>
      </c>
      <c r="I1017">
        <v>2.48581789999999E-2</v>
      </c>
      <c r="J1017">
        <v>2.6805219999999901E-2</v>
      </c>
      <c r="K1017">
        <v>2.7938332E-2</v>
      </c>
      <c r="L1017">
        <v>2.8193058999999899E-2</v>
      </c>
      <c r="M1017">
        <v>2.7719988000000001E-2</v>
      </c>
      <c r="N1017">
        <v>2.7212698E-2</v>
      </c>
      <c r="O1017">
        <v>0</v>
      </c>
      <c r="P1017">
        <v>0</v>
      </c>
      <c r="Q1017">
        <v>0</v>
      </c>
      <c r="R1017" t="s">
        <v>243</v>
      </c>
    </row>
    <row r="1018" spans="1:18" x14ac:dyDescent="0.3">
      <c r="A1018" t="s">
        <v>259</v>
      </c>
      <c r="B1018" t="s">
        <v>28</v>
      </c>
      <c r="C1018" t="s">
        <v>271</v>
      </c>
      <c r="D1018">
        <v>2.968875E-2</v>
      </c>
      <c r="E1018">
        <v>2.787218E-2</v>
      </c>
      <c r="F1018">
        <v>2.908672E-2</v>
      </c>
      <c r="G1018">
        <v>2.5495919999999998E-2</v>
      </c>
      <c r="H1018">
        <v>2.399768E-2</v>
      </c>
      <c r="I1018">
        <v>2.6631294E-2</v>
      </c>
      <c r="J1018">
        <v>2.8455208999999999E-2</v>
      </c>
      <c r="K1018">
        <v>2.9566275E-2</v>
      </c>
      <c r="L1018">
        <v>2.9765311999999999E-2</v>
      </c>
      <c r="M1018">
        <v>2.9192512999999899E-2</v>
      </c>
      <c r="N1018">
        <v>2.8572112E-2</v>
      </c>
      <c r="O1018">
        <v>0</v>
      </c>
      <c r="P1018">
        <v>0</v>
      </c>
      <c r="Q1018">
        <v>0</v>
      </c>
      <c r="R1018" t="s">
        <v>243</v>
      </c>
    </row>
    <row r="1019" spans="1:18" x14ac:dyDescent="0.3">
      <c r="A1019" t="s">
        <v>259</v>
      </c>
      <c r="B1019" t="s">
        <v>28</v>
      </c>
      <c r="C1019" t="s">
        <v>272</v>
      </c>
      <c r="D1019">
        <v>3.16607E-2</v>
      </c>
      <c r="E1019">
        <v>2.9591429999999998E-2</v>
      </c>
      <c r="F1019">
        <v>3.1030369999999901E-2</v>
      </c>
      <c r="G1019">
        <v>2.7366540000000002E-2</v>
      </c>
      <c r="H1019">
        <v>2.5838147999999998E-2</v>
      </c>
      <c r="I1019">
        <v>2.8423543999999999E-2</v>
      </c>
      <c r="J1019">
        <v>3.0108341E-2</v>
      </c>
      <c r="K1019">
        <v>3.11870239999999E-2</v>
      </c>
      <c r="L1019">
        <v>3.1304211999999998E-2</v>
      </c>
      <c r="M1019">
        <v>3.0627081999999899E-2</v>
      </c>
      <c r="N1019">
        <v>2.9912292E-2</v>
      </c>
      <c r="O1019">
        <v>0</v>
      </c>
      <c r="P1019">
        <v>0</v>
      </c>
      <c r="Q1019">
        <v>0</v>
      </c>
      <c r="R1019" t="s">
        <v>243</v>
      </c>
    </row>
    <row r="1020" spans="1:18" x14ac:dyDescent="0.3">
      <c r="A1020" t="s">
        <v>259</v>
      </c>
      <c r="B1020" t="s">
        <v>28</v>
      </c>
      <c r="C1020" t="s">
        <v>273</v>
      </c>
      <c r="D1020">
        <v>3.4072039999999998E-2</v>
      </c>
      <c r="E1020">
        <v>3.1590500000000001E-2</v>
      </c>
      <c r="F1020">
        <v>3.3313629999999997E-2</v>
      </c>
      <c r="G1020">
        <v>2.9270810000000001E-2</v>
      </c>
      <c r="H1020">
        <v>2.7834879999999999E-2</v>
      </c>
      <c r="I1020">
        <v>3.0400783000000001E-2</v>
      </c>
      <c r="J1020">
        <v>3.1890100999999997E-2</v>
      </c>
      <c r="K1020">
        <v>3.2947412000000002E-2</v>
      </c>
      <c r="L1020">
        <v>3.3010175000000003E-2</v>
      </c>
      <c r="M1020">
        <v>3.2249656000000002E-2</v>
      </c>
      <c r="N1020">
        <v>3.1436606999999998E-2</v>
      </c>
      <c r="O1020">
        <v>0</v>
      </c>
      <c r="P1020">
        <v>0</v>
      </c>
      <c r="Q1020">
        <v>0</v>
      </c>
      <c r="R1020" t="s">
        <v>243</v>
      </c>
    </row>
    <row r="1021" spans="1:18" x14ac:dyDescent="0.3">
      <c r="A1021" t="s">
        <v>259</v>
      </c>
      <c r="B1021" t="s">
        <v>28</v>
      </c>
      <c r="C1021" t="s">
        <v>274</v>
      </c>
      <c r="D1021" s="8">
        <v>1.0612501472999999E-4</v>
      </c>
      <c r="E1021" s="8">
        <v>1.6416934633E-4</v>
      </c>
      <c r="F1021" s="8">
        <v>1.88417277349999E-4</v>
      </c>
      <c r="G1021" s="8">
        <v>1.7732413351999901E-4</v>
      </c>
      <c r="H1021" s="8">
        <v>2.8251604573999899E-4</v>
      </c>
      <c r="I1021" s="8">
        <v>2.8251557191999899E-4</v>
      </c>
      <c r="J1021" s="8">
        <v>2.8592268574499999E-4</v>
      </c>
      <c r="K1021" s="8">
        <v>2.9823327785599902E-4</v>
      </c>
      <c r="L1021" s="8">
        <v>3.0928642341199999E-4</v>
      </c>
      <c r="M1021" s="8">
        <v>3.1471318188499903E-4</v>
      </c>
      <c r="N1021" s="8">
        <v>3.1955011782E-4</v>
      </c>
      <c r="O1021">
        <v>0</v>
      </c>
      <c r="P1021">
        <v>0</v>
      </c>
      <c r="Q1021">
        <v>0</v>
      </c>
      <c r="R1021" t="s">
        <v>243</v>
      </c>
    </row>
    <row r="1022" spans="1:18" x14ac:dyDescent="0.3">
      <c r="A1022" t="s">
        <v>259</v>
      </c>
      <c r="B1022" t="s">
        <v>28</v>
      </c>
      <c r="C1022" t="s">
        <v>275</v>
      </c>
      <c r="D1022" s="8">
        <v>4.2319900959999899E-4</v>
      </c>
      <c r="E1022" s="8">
        <v>5.6063184250000001E-4</v>
      </c>
      <c r="F1022" s="8">
        <v>6.4963674769999999E-4</v>
      </c>
      <c r="G1022" s="8">
        <v>6.2961067659999897E-4</v>
      </c>
      <c r="H1022" s="8">
        <v>7.4925921738999896E-4</v>
      </c>
      <c r="I1022" s="8">
        <v>7.7462230087000001E-4</v>
      </c>
      <c r="J1022" s="8">
        <v>7.4397888266999998E-4</v>
      </c>
      <c r="K1022" s="8">
        <v>7.2457348061999904E-4</v>
      </c>
      <c r="L1022" s="8">
        <v>7.0268375377000004E-4</v>
      </c>
      <c r="M1022" s="8">
        <v>6.7259224013000005E-4</v>
      </c>
      <c r="N1022" s="8">
        <v>6.4352811014999902E-4</v>
      </c>
      <c r="O1022">
        <v>0</v>
      </c>
      <c r="P1022">
        <v>0</v>
      </c>
      <c r="Q1022">
        <v>0</v>
      </c>
      <c r="R1022" t="s">
        <v>243</v>
      </c>
    </row>
    <row r="1023" spans="1:18" x14ac:dyDescent="0.3">
      <c r="A1023" t="s">
        <v>259</v>
      </c>
      <c r="B1023" t="s">
        <v>28</v>
      </c>
      <c r="C1023" t="s">
        <v>276</v>
      </c>
      <c r="D1023" s="8">
        <v>1.5819598457999999E-4</v>
      </c>
      <c r="E1023" s="8">
        <v>2.5069563708000003E-4</v>
      </c>
      <c r="F1023" s="8">
        <v>2.8888955823E-4</v>
      </c>
      <c r="G1023" s="8">
        <v>2.7833348812000001E-4</v>
      </c>
      <c r="H1023" s="8">
        <v>4.0412934720000001E-4</v>
      </c>
      <c r="I1023" s="8">
        <v>4.0760381773999999E-4</v>
      </c>
      <c r="J1023" s="8">
        <v>4.0785557006000001E-4</v>
      </c>
      <c r="K1023" s="8">
        <v>4.2038645754E-4</v>
      </c>
      <c r="L1023" s="8">
        <v>4.2957901957E-4</v>
      </c>
      <c r="M1023" s="8">
        <v>4.30988633582E-4</v>
      </c>
      <c r="N1023" s="8">
        <v>4.3104677609300001E-4</v>
      </c>
      <c r="O1023">
        <v>0</v>
      </c>
      <c r="P1023">
        <v>0</v>
      </c>
      <c r="Q1023">
        <v>0</v>
      </c>
      <c r="R1023" t="s">
        <v>243</v>
      </c>
    </row>
    <row r="1024" spans="1:18" x14ac:dyDescent="0.3">
      <c r="A1024" t="s">
        <v>259</v>
      </c>
      <c r="B1024" t="s">
        <v>28</v>
      </c>
      <c r="C1024" t="s">
        <v>277</v>
      </c>
      <c r="D1024" s="8">
        <v>1.9887552346000001E-4</v>
      </c>
      <c r="E1024" s="8">
        <v>3.0092196679E-4</v>
      </c>
      <c r="F1024" s="8">
        <v>3.5198199050999999E-4</v>
      </c>
      <c r="G1024" s="8">
        <v>3.4299199533000002E-4</v>
      </c>
      <c r="H1024" s="8">
        <v>4.6000350027000002E-4</v>
      </c>
      <c r="I1024" s="8">
        <v>4.8858119424999996E-4</v>
      </c>
      <c r="J1024" s="8">
        <v>4.8409437742999998E-4</v>
      </c>
      <c r="K1024" s="8">
        <v>4.9276355822199999E-4</v>
      </c>
      <c r="L1024" s="8">
        <v>4.9686395465999998E-4</v>
      </c>
      <c r="M1024" s="8">
        <v>4.9243779641999904E-4</v>
      </c>
      <c r="N1024" s="8">
        <v>4.8666630835899997E-4</v>
      </c>
      <c r="O1024">
        <v>0</v>
      </c>
      <c r="P1024">
        <v>0</v>
      </c>
      <c r="Q1024">
        <v>0</v>
      </c>
      <c r="R1024" t="s">
        <v>243</v>
      </c>
    </row>
    <row r="1025" spans="1:18" x14ac:dyDescent="0.3">
      <c r="A1025" t="s">
        <v>259</v>
      </c>
      <c r="B1025" t="s">
        <v>28</v>
      </c>
      <c r="C1025" t="s">
        <v>278</v>
      </c>
      <c r="D1025" s="8">
        <v>2.2719359475E-4</v>
      </c>
      <c r="E1025" s="8">
        <v>3.3806595018000003E-4</v>
      </c>
      <c r="F1025" s="8">
        <v>3.9776602987999998E-4</v>
      </c>
      <c r="G1025" s="8">
        <v>3.8983808735E-4</v>
      </c>
      <c r="H1025" s="8">
        <v>5.1243150974999996E-4</v>
      </c>
      <c r="I1025" s="8">
        <v>5.4131111426999998E-4</v>
      </c>
      <c r="J1025" s="8">
        <v>5.3320919613999995E-4</v>
      </c>
      <c r="K1025" s="8">
        <v>5.3872239350700004E-4</v>
      </c>
      <c r="L1025" s="8">
        <v>5.3955068970999904E-4</v>
      </c>
      <c r="M1025" s="8">
        <v>5.3130491581999896E-4</v>
      </c>
      <c r="N1025" s="8">
        <v>5.21390039957E-4</v>
      </c>
      <c r="O1025">
        <v>0</v>
      </c>
      <c r="P1025">
        <v>0</v>
      </c>
      <c r="Q1025">
        <v>0</v>
      </c>
      <c r="R1025" t="s">
        <v>243</v>
      </c>
    </row>
    <row r="1026" spans="1:18" x14ac:dyDescent="0.3">
      <c r="A1026" t="s">
        <v>259</v>
      </c>
      <c r="B1026" t="s">
        <v>28</v>
      </c>
      <c r="C1026" t="s">
        <v>279</v>
      </c>
      <c r="D1026" s="8">
        <v>2.5320057859E-4</v>
      </c>
      <c r="E1026" s="8">
        <v>3.7142283328999999E-4</v>
      </c>
      <c r="F1026" s="8">
        <v>4.3594489658999898E-4</v>
      </c>
      <c r="G1026" s="8">
        <v>4.2720895848000001E-4</v>
      </c>
      <c r="H1026" s="8">
        <v>5.5437131671999995E-4</v>
      </c>
      <c r="I1026" s="8">
        <v>5.8422786008999997E-4</v>
      </c>
      <c r="J1026" s="8">
        <v>5.7305837894000003E-4</v>
      </c>
      <c r="K1026" s="8">
        <v>5.7485789401000005E-4</v>
      </c>
      <c r="L1026" s="8">
        <v>5.7238410221000001E-4</v>
      </c>
      <c r="M1026" s="8">
        <v>5.6032632940999905E-4</v>
      </c>
      <c r="N1026" s="8">
        <v>5.4664148174999997E-4</v>
      </c>
      <c r="O1026">
        <v>0</v>
      </c>
      <c r="P1026">
        <v>0</v>
      </c>
      <c r="Q1026">
        <v>0</v>
      </c>
      <c r="R1026" t="s">
        <v>243</v>
      </c>
    </row>
    <row r="1027" spans="1:18" x14ac:dyDescent="0.3">
      <c r="A1027" t="s">
        <v>259</v>
      </c>
      <c r="B1027" t="s">
        <v>28</v>
      </c>
      <c r="C1027" t="s">
        <v>280</v>
      </c>
      <c r="D1027" s="8">
        <v>2.779825161E-4</v>
      </c>
      <c r="E1027" s="8">
        <v>4.015316304E-4</v>
      </c>
      <c r="F1027" s="8">
        <v>4.706196838E-4</v>
      </c>
      <c r="G1027" s="8">
        <v>4.6121275109999997E-4</v>
      </c>
      <c r="H1027" s="8">
        <v>5.9110603020000004E-4</v>
      </c>
      <c r="I1027" s="8">
        <v>6.2097050601000005E-4</v>
      </c>
      <c r="J1027" s="8">
        <v>6.0644686743999902E-4</v>
      </c>
      <c r="K1027" s="8">
        <v>6.0480680935999997E-4</v>
      </c>
      <c r="L1027" s="8">
        <v>5.9856943295999996E-4</v>
      </c>
      <c r="M1027" s="8">
        <v>5.8313627603000001E-4</v>
      </c>
      <c r="N1027" s="8">
        <v>5.6631837007000004E-4</v>
      </c>
      <c r="O1027">
        <v>0</v>
      </c>
      <c r="P1027">
        <v>0</v>
      </c>
      <c r="Q1027">
        <v>0</v>
      </c>
      <c r="R1027" t="s">
        <v>243</v>
      </c>
    </row>
    <row r="1028" spans="1:18" x14ac:dyDescent="0.3">
      <c r="A1028" t="s">
        <v>259</v>
      </c>
      <c r="B1028" t="s">
        <v>28</v>
      </c>
      <c r="C1028" t="s">
        <v>281</v>
      </c>
      <c r="D1028" s="8">
        <v>3.036034853E-4</v>
      </c>
      <c r="E1028" s="8">
        <v>4.3058239949999899E-4</v>
      </c>
      <c r="F1028" s="8">
        <v>5.0417144539999996E-4</v>
      </c>
      <c r="G1028" s="8">
        <v>4.9270548520000004E-4</v>
      </c>
      <c r="H1028" s="8">
        <v>6.2436067982999895E-4</v>
      </c>
      <c r="I1028" s="8">
        <v>6.5427209377999995E-4</v>
      </c>
      <c r="J1028" s="8">
        <v>6.3662230895000001E-4</v>
      </c>
      <c r="K1028" s="8">
        <v>6.3110157504000001E-4</v>
      </c>
      <c r="L1028" s="8">
        <v>6.2140172183999896E-4</v>
      </c>
      <c r="M1028" s="8">
        <v>6.0243048477000001E-4</v>
      </c>
      <c r="N1028" s="8">
        <v>5.8242952488999895E-4</v>
      </c>
      <c r="O1028">
        <v>0</v>
      </c>
      <c r="P1028">
        <v>0</v>
      </c>
      <c r="Q1028">
        <v>0</v>
      </c>
      <c r="R1028" t="s">
        <v>243</v>
      </c>
    </row>
    <row r="1029" spans="1:18" x14ac:dyDescent="0.3">
      <c r="A1029" t="s">
        <v>259</v>
      </c>
      <c r="B1029" t="s">
        <v>28</v>
      </c>
      <c r="C1029" t="s">
        <v>282</v>
      </c>
      <c r="D1029" s="8">
        <v>3.302624939E-4</v>
      </c>
      <c r="E1029" s="8">
        <v>4.6133121359999998E-4</v>
      </c>
      <c r="F1029" s="8">
        <v>5.3853922560000004E-4</v>
      </c>
      <c r="G1029" s="8">
        <v>5.2763229940000001E-4</v>
      </c>
      <c r="H1029" s="8">
        <v>6.5735734369999903E-4</v>
      </c>
      <c r="I1029" s="8">
        <v>6.8622267465999996E-4</v>
      </c>
      <c r="J1029" s="8">
        <v>6.6554973295000004E-4</v>
      </c>
      <c r="K1029" s="8">
        <v>6.5600442298999998E-4</v>
      </c>
      <c r="L1029" s="8">
        <v>6.42525990859999E-4</v>
      </c>
      <c r="M1029" s="8">
        <v>6.2012767573E-4</v>
      </c>
      <c r="N1029" s="8">
        <v>5.9744266892999896E-4</v>
      </c>
      <c r="O1029">
        <v>0</v>
      </c>
      <c r="P1029">
        <v>0</v>
      </c>
      <c r="Q1029">
        <v>0</v>
      </c>
      <c r="R1029" t="s">
        <v>243</v>
      </c>
    </row>
    <row r="1030" spans="1:18" x14ac:dyDescent="0.3">
      <c r="A1030" t="s">
        <v>259</v>
      </c>
      <c r="B1030" t="s">
        <v>28</v>
      </c>
      <c r="C1030" t="s">
        <v>283</v>
      </c>
      <c r="D1030" s="8">
        <v>3.647717993E-4</v>
      </c>
      <c r="E1030" s="8">
        <v>4.9781217939999999E-4</v>
      </c>
      <c r="F1030" s="8">
        <v>5.7903114490000002E-4</v>
      </c>
      <c r="G1030" s="8">
        <v>5.6301512419999896E-4</v>
      </c>
      <c r="H1030" s="8">
        <v>6.9087701758999999E-4</v>
      </c>
      <c r="I1030" s="8">
        <v>7.1978127974E-4</v>
      </c>
      <c r="J1030" s="8">
        <v>6.9539916982999997E-4</v>
      </c>
      <c r="K1030" s="8">
        <v>6.8179858279000002E-4</v>
      </c>
      <c r="L1030" s="8">
        <v>6.6495727491999897E-4</v>
      </c>
      <c r="M1030" s="8">
        <v>6.3955188499999996E-4</v>
      </c>
      <c r="N1030" s="8">
        <v>6.1430483054999996E-4</v>
      </c>
      <c r="O1030">
        <v>0</v>
      </c>
      <c r="P1030">
        <v>0</v>
      </c>
      <c r="Q1030">
        <v>0</v>
      </c>
      <c r="R1030" t="s">
        <v>243</v>
      </c>
    </row>
    <row r="1031" spans="1:18" x14ac:dyDescent="0.3">
      <c r="A1031" t="s">
        <v>259</v>
      </c>
      <c r="B1031" t="s">
        <v>28</v>
      </c>
      <c r="C1031" t="s">
        <v>334</v>
      </c>
      <c r="D1031">
        <v>1.1835099999999999E-2</v>
      </c>
      <c r="E1031">
        <v>2.7142999999999998E-3</v>
      </c>
      <c r="F1031">
        <v>2.8906800000000001E-3</v>
      </c>
      <c r="G1031" s="8">
        <v>4.84461E-4</v>
      </c>
      <c r="H1031" s="8">
        <v>4.9772499999999997E-4</v>
      </c>
      <c r="I1031" s="8">
        <v>5.2019099999999895E-4</v>
      </c>
      <c r="J1031" s="8">
        <v>5.2828939999999996E-4</v>
      </c>
      <c r="K1031" s="8">
        <v>5.3711269999999998E-4</v>
      </c>
      <c r="L1031" s="8">
        <v>5.4536799999999996E-4</v>
      </c>
      <c r="M1031" s="8">
        <v>5.49681E-4</v>
      </c>
      <c r="N1031" s="8">
        <v>5.5309949999999999E-4</v>
      </c>
      <c r="O1031">
        <v>0</v>
      </c>
      <c r="P1031">
        <v>0</v>
      </c>
      <c r="Q1031">
        <v>0</v>
      </c>
      <c r="R1031" t="s">
        <v>243</v>
      </c>
    </row>
    <row r="1032" spans="1:18" x14ac:dyDescent="0.3">
      <c r="A1032" t="s">
        <v>259</v>
      </c>
      <c r="B1032" t="s">
        <v>28</v>
      </c>
      <c r="C1032" t="s">
        <v>335</v>
      </c>
      <c r="D1032" s="8">
        <v>6.1578299999999996E-4</v>
      </c>
      <c r="E1032" s="8">
        <v>1.2771399999999999E-4</v>
      </c>
      <c r="F1032" s="8">
        <v>1.2848100000000001E-4</v>
      </c>
      <c r="G1032" s="8">
        <v>1.9653900000000002E-5</v>
      </c>
      <c r="H1032" s="8">
        <v>1.98212799999999E-5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243</v>
      </c>
    </row>
    <row r="1033" spans="1:18" x14ac:dyDescent="0.3">
      <c r="A1033" t="s">
        <v>259</v>
      </c>
      <c r="B1033" t="s">
        <v>28</v>
      </c>
      <c r="C1033" t="s">
        <v>336</v>
      </c>
      <c r="D1033">
        <v>6.7773699999999996E-3</v>
      </c>
      <c r="E1033">
        <v>1.4365599999999999E-3</v>
      </c>
      <c r="F1033">
        <v>1.5225499999999999E-3</v>
      </c>
      <c r="G1033" s="8">
        <v>2.4730100000000001E-4</v>
      </c>
      <c r="H1033" s="8">
        <v>2.5195699999999997E-4</v>
      </c>
      <c r="I1033" s="8">
        <v>2.6463590000000003E-4</v>
      </c>
      <c r="J1033" s="8">
        <v>2.6865640000000001E-4</v>
      </c>
      <c r="K1033" s="8">
        <v>2.7305139999999999E-4</v>
      </c>
      <c r="L1033" s="8">
        <v>2.769631E-4</v>
      </c>
      <c r="M1033" s="8">
        <v>2.7895369999999999E-4</v>
      </c>
      <c r="N1033" s="8">
        <v>2.8045529999999998E-4</v>
      </c>
      <c r="O1033">
        <v>0</v>
      </c>
      <c r="P1033">
        <v>0</v>
      </c>
      <c r="Q1033">
        <v>0</v>
      </c>
      <c r="R1033" t="s">
        <v>243</v>
      </c>
    </row>
    <row r="1034" spans="1:18" x14ac:dyDescent="0.3">
      <c r="A1034" t="s">
        <v>259</v>
      </c>
      <c r="B1034" t="s">
        <v>28</v>
      </c>
      <c r="C1034" t="s">
        <v>337</v>
      </c>
      <c r="D1034">
        <v>4.7158900000000004E-3</v>
      </c>
      <c r="E1034">
        <v>1.0388400000000001E-3</v>
      </c>
      <c r="F1034">
        <v>1.0702000000000001E-3</v>
      </c>
      <c r="G1034" s="8">
        <v>1.70056E-4</v>
      </c>
      <c r="H1034" s="8">
        <v>1.7150450000000001E-4</v>
      </c>
      <c r="I1034" s="8">
        <v>1.8259210000000001E-4</v>
      </c>
      <c r="J1034" s="8">
        <v>1.8511689999999999E-4</v>
      </c>
      <c r="K1034" s="8">
        <v>1.878525E-4</v>
      </c>
      <c r="L1034" s="8">
        <v>1.902621E-4</v>
      </c>
      <c r="M1034" s="8">
        <v>1.913308E-4</v>
      </c>
      <c r="N1034" s="8">
        <v>1.920864E-4</v>
      </c>
      <c r="O1034">
        <v>0</v>
      </c>
      <c r="P1034">
        <v>0</v>
      </c>
      <c r="Q1034">
        <v>0</v>
      </c>
      <c r="R1034" t="s">
        <v>243</v>
      </c>
    </row>
    <row r="1035" spans="1:18" x14ac:dyDescent="0.3">
      <c r="A1035" t="s">
        <v>259</v>
      </c>
      <c r="B1035" t="s">
        <v>28</v>
      </c>
      <c r="C1035" t="s">
        <v>338</v>
      </c>
      <c r="D1035">
        <v>3.7341200000000001E-3</v>
      </c>
      <c r="E1035" s="8">
        <v>8.2293000000000004E-4</v>
      </c>
      <c r="F1035" s="8">
        <v>8.3418299999999995E-4</v>
      </c>
      <c r="G1035" s="8">
        <v>1.3048899999999999E-4</v>
      </c>
      <c r="H1035" s="8">
        <v>1.316007E-4</v>
      </c>
      <c r="I1035" s="8">
        <v>1.4008949999999999E-4</v>
      </c>
      <c r="J1035" s="8">
        <v>1.419351E-4</v>
      </c>
      <c r="K1035" s="8">
        <v>1.4399470000000001E-4</v>
      </c>
      <c r="L1035" s="8">
        <v>1.45826E-4</v>
      </c>
      <c r="M1035" s="8">
        <v>1.4663830000000001E-4</v>
      </c>
      <c r="N1035" s="8">
        <v>1.4716039999999999E-4</v>
      </c>
      <c r="O1035">
        <v>0</v>
      </c>
      <c r="P1035">
        <v>0</v>
      </c>
      <c r="Q1035">
        <v>0</v>
      </c>
      <c r="R1035" t="s">
        <v>243</v>
      </c>
    </row>
    <row r="1036" spans="1:18" x14ac:dyDescent="0.3">
      <c r="A1036" t="s">
        <v>259</v>
      </c>
      <c r="B1036" t="s">
        <v>28</v>
      </c>
      <c r="C1036" t="s">
        <v>339</v>
      </c>
      <c r="D1036">
        <v>3.03485E-3</v>
      </c>
      <c r="E1036" s="8">
        <v>6.6675600000000001E-4</v>
      </c>
      <c r="F1036" s="8">
        <v>6.7608499999999999E-4</v>
      </c>
      <c r="G1036" s="8">
        <v>1.0525499999999999E-4</v>
      </c>
      <c r="H1036" s="8">
        <v>1.0615139999999999E-4</v>
      </c>
      <c r="I1036" s="8">
        <v>1.132261E-4</v>
      </c>
      <c r="J1036" s="8">
        <v>1.14678199999999E-4</v>
      </c>
      <c r="K1036" s="8">
        <v>1.162863E-4</v>
      </c>
      <c r="L1036" s="8">
        <v>1.177603E-4</v>
      </c>
      <c r="M1036" s="8">
        <v>1.1838490000000001E-4</v>
      </c>
      <c r="N1036" s="8">
        <v>1.18752399999999E-4</v>
      </c>
      <c r="O1036">
        <v>0</v>
      </c>
      <c r="P1036">
        <v>0</v>
      </c>
      <c r="Q1036">
        <v>0</v>
      </c>
      <c r="R1036" t="s">
        <v>243</v>
      </c>
    </row>
    <row r="1037" spans="1:18" x14ac:dyDescent="0.3">
      <c r="A1037" t="s">
        <v>259</v>
      </c>
      <c r="B1037" t="s">
        <v>28</v>
      </c>
      <c r="C1037" t="s">
        <v>340</v>
      </c>
      <c r="D1037">
        <v>2.4957899999999999E-3</v>
      </c>
      <c r="E1037" s="8">
        <v>5.4835699999999997E-4</v>
      </c>
      <c r="F1037" s="8">
        <v>5.5487799999999997E-4</v>
      </c>
      <c r="G1037" s="8">
        <v>8.5849700000000006E-5</v>
      </c>
      <c r="H1037" s="8">
        <v>8.6581099999999997E-5</v>
      </c>
      <c r="I1037" s="8">
        <v>9.2474999999999998E-5</v>
      </c>
      <c r="J1037" s="8">
        <v>9.3604700000000002E-5</v>
      </c>
      <c r="K1037" s="8">
        <v>9.4904599999999999E-5</v>
      </c>
      <c r="L1037" s="8">
        <v>9.6053900000000005E-5</v>
      </c>
      <c r="M1037" s="8">
        <v>9.6553799999999997E-5</v>
      </c>
      <c r="N1037" s="8">
        <v>9.6835499999999903E-5</v>
      </c>
      <c r="O1037">
        <v>0</v>
      </c>
      <c r="P1037">
        <v>0</v>
      </c>
      <c r="Q1037">
        <v>0</v>
      </c>
      <c r="R1037" t="s">
        <v>243</v>
      </c>
    </row>
    <row r="1038" spans="1:18" x14ac:dyDescent="0.3">
      <c r="A1038" t="s">
        <v>259</v>
      </c>
      <c r="B1038" t="s">
        <v>28</v>
      </c>
      <c r="C1038" t="s">
        <v>341</v>
      </c>
      <c r="D1038">
        <v>2.0346100000000001E-3</v>
      </c>
      <c r="E1038" s="8">
        <v>4.4968999999999999E-4</v>
      </c>
      <c r="F1038" s="8">
        <v>4.5320700000000001E-4</v>
      </c>
      <c r="G1038" s="8">
        <v>7.0207000000000001E-5</v>
      </c>
      <c r="H1038" s="8">
        <v>7.0805099999999896E-5</v>
      </c>
      <c r="I1038" s="8">
        <v>7.5781499999999898E-5</v>
      </c>
      <c r="J1038" s="8">
        <v>7.6677300000000005E-5</v>
      </c>
      <c r="K1038" s="8">
        <v>7.7711499999999996E-5</v>
      </c>
      <c r="L1038" s="8">
        <v>7.8631699999999995E-5</v>
      </c>
      <c r="M1038" s="8">
        <v>7.9000299999999895E-5</v>
      </c>
      <c r="N1038">
        <v>0</v>
      </c>
      <c r="O1038">
        <v>0</v>
      </c>
      <c r="P1038">
        <v>0</v>
      </c>
      <c r="Q1038">
        <v>0</v>
      </c>
      <c r="R1038" t="s">
        <v>243</v>
      </c>
    </row>
    <row r="1039" spans="1:18" x14ac:dyDescent="0.3">
      <c r="A1039" t="s">
        <v>259</v>
      </c>
      <c r="B1039" t="s">
        <v>28</v>
      </c>
      <c r="C1039" t="s">
        <v>342</v>
      </c>
      <c r="D1039">
        <v>1.63255E-3</v>
      </c>
      <c r="E1039" s="8">
        <v>3.5827500000000002E-4</v>
      </c>
      <c r="F1039" s="8">
        <v>3.6155600000000002E-4</v>
      </c>
      <c r="G1039" s="8">
        <v>5.4910500000000002E-5</v>
      </c>
      <c r="H1039" s="8">
        <v>5.5378199999999998E-5</v>
      </c>
      <c r="I1039" s="8">
        <v>5.9233300000000001E-5</v>
      </c>
      <c r="J1039" s="8">
        <v>5.9935600000000003E-5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243</v>
      </c>
    </row>
    <row r="1040" spans="1:18" x14ac:dyDescent="0.3">
      <c r="A1040" t="s">
        <v>259</v>
      </c>
      <c r="B1040" t="s">
        <v>28</v>
      </c>
      <c r="C1040" t="s">
        <v>343</v>
      </c>
      <c r="D1040">
        <v>1.1989399999999999E-3</v>
      </c>
      <c r="E1040" s="8">
        <v>2.6330599999999999E-4</v>
      </c>
      <c r="F1040" s="8">
        <v>2.6631099999999998E-4</v>
      </c>
      <c r="G1040" s="8">
        <v>4.1164600000000002E-5</v>
      </c>
      <c r="H1040" s="8">
        <v>4.1515299999999999E-5</v>
      </c>
      <c r="I1040" s="8">
        <v>4.4523300000000001E-5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243</v>
      </c>
    </row>
    <row r="1041" spans="1:18" x14ac:dyDescent="0.3">
      <c r="A1041" t="s">
        <v>259</v>
      </c>
      <c r="B1041" t="s">
        <v>28</v>
      </c>
      <c r="C1041" t="s">
        <v>284</v>
      </c>
      <c r="D1041">
        <v>7.36987276E-2</v>
      </c>
      <c r="E1041">
        <v>8.4351746300000002E-2</v>
      </c>
      <c r="F1041">
        <v>8.0317379300000005E-2</v>
      </c>
      <c r="G1041">
        <v>6.5914367500000001E-2</v>
      </c>
      <c r="H1041">
        <v>5.82522849E-2</v>
      </c>
      <c r="I1041">
        <v>5.5810957653999897E-2</v>
      </c>
      <c r="J1041">
        <v>5.1264914240999999E-2</v>
      </c>
      <c r="K1041">
        <v>4.5830083027E-2</v>
      </c>
      <c r="L1041">
        <v>4.4149891491999903E-2</v>
      </c>
      <c r="M1041">
        <v>4.1899604149999901E-2</v>
      </c>
      <c r="N1041">
        <v>3.9549123300000003E-2</v>
      </c>
      <c r="O1041">
        <v>0</v>
      </c>
      <c r="P1041">
        <v>0</v>
      </c>
      <c r="Q1041">
        <v>0</v>
      </c>
      <c r="R1041" t="s">
        <v>243</v>
      </c>
    </row>
    <row r="1042" spans="1:18" x14ac:dyDescent="0.3">
      <c r="A1042" t="s">
        <v>259</v>
      </c>
      <c r="B1042" t="s">
        <v>28</v>
      </c>
      <c r="C1042" t="s">
        <v>285</v>
      </c>
      <c r="D1042">
        <v>0.119606758099999</v>
      </c>
      <c r="E1042">
        <v>0.13579273519999999</v>
      </c>
      <c r="F1042">
        <v>0.13454524440000001</v>
      </c>
      <c r="G1042">
        <v>0.11369240899999999</v>
      </c>
      <c r="H1042">
        <v>9.9068148800000005E-2</v>
      </c>
      <c r="I1042">
        <v>9.7264391269999903E-2</v>
      </c>
      <c r="J1042">
        <v>8.6827206949999999E-2</v>
      </c>
      <c r="K1042">
        <v>7.5186151984999894E-2</v>
      </c>
      <c r="L1042">
        <v>7.0291885620999903E-2</v>
      </c>
      <c r="M1042">
        <v>6.49011371599999E-2</v>
      </c>
      <c r="N1042">
        <v>5.9593855299999998E-2</v>
      </c>
      <c r="O1042">
        <v>0</v>
      </c>
      <c r="P1042">
        <v>0</v>
      </c>
      <c r="Q1042">
        <v>0</v>
      </c>
      <c r="R1042" t="s">
        <v>243</v>
      </c>
    </row>
    <row r="1043" spans="1:18" x14ac:dyDescent="0.3">
      <c r="A1043" t="s">
        <v>259</v>
      </c>
      <c r="B1043" t="s">
        <v>28</v>
      </c>
      <c r="C1043" t="s">
        <v>286</v>
      </c>
      <c r="D1043">
        <v>8.5484480599999996E-2</v>
      </c>
      <c r="E1043">
        <v>9.82234515999999E-2</v>
      </c>
      <c r="F1043">
        <v>9.5773542899999994E-2</v>
      </c>
      <c r="G1043">
        <v>8.0051786599999897E-2</v>
      </c>
      <c r="H1043">
        <v>7.0089294600000004E-2</v>
      </c>
      <c r="I1043">
        <v>6.791179856E-2</v>
      </c>
      <c r="J1043">
        <v>6.1614824391000002E-2</v>
      </c>
      <c r="K1043">
        <v>5.4300260329999898E-2</v>
      </c>
      <c r="L1043">
        <v>5.1608237368E-2</v>
      </c>
      <c r="M1043">
        <v>4.8402303469999998E-2</v>
      </c>
      <c r="N1043">
        <v>4.5180792599999901E-2</v>
      </c>
      <c r="O1043">
        <v>0</v>
      </c>
      <c r="P1043">
        <v>0</v>
      </c>
      <c r="Q1043">
        <v>0</v>
      </c>
      <c r="R1043" t="s">
        <v>243</v>
      </c>
    </row>
    <row r="1044" spans="1:18" x14ac:dyDescent="0.3">
      <c r="A1044" t="s">
        <v>259</v>
      </c>
      <c r="B1044" t="s">
        <v>28</v>
      </c>
      <c r="C1044" t="s">
        <v>287</v>
      </c>
      <c r="D1044">
        <v>9.1662922800000005E-2</v>
      </c>
      <c r="E1044">
        <v>0.1039927774</v>
      </c>
      <c r="F1044">
        <v>0.1024752656</v>
      </c>
      <c r="G1044">
        <v>8.6171425999999995E-2</v>
      </c>
      <c r="H1044">
        <v>7.4709223599999999E-2</v>
      </c>
      <c r="I1044">
        <v>7.3531663449999896E-2</v>
      </c>
      <c r="J1044">
        <v>6.6333678298000007E-2</v>
      </c>
      <c r="K1044">
        <v>5.8114722275999897E-2</v>
      </c>
      <c r="L1044">
        <v>5.4919532652999897E-2</v>
      </c>
      <c r="M1044">
        <v>5.125084035E-2</v>
      </c>
      <c r="N1044">
        <v>4.7631766899999997E-2</v>
      </c>
      <c r="O1044">
        <v>0</v>
      </c>
      <c r="P1044">
        <v>0</v>
      </c>
      <c r="Q1044">
        <v>0</v>
      </c>
      <c r="R1044" t="s">
        <v>243</v>
      </c>
    </row>
    <row r="1045" spans="1:18" x14ac:dyDescent="0.3">
      <c r="A1045" t="s">
        <v>259</v>
      </c>
      <c r="B1045" t="s">
        <v>28</v>
      </c>
      <c r="C1045" t="s">
        <v>288</v>
      </c>
      <c r="D1045">
        <v>9.5236713099999995E-2</v>
      </c>
      <c r="E1045">
        <v>0.1078489301</v>
      </c>
      <c r="F1045">
        <v>0.10671722729999999</v>
      </c>
      <c r="G1045">
        <v>8.9998465E-2</v>
      </c>
      <c r="H1045">
        <v>7.8185347399999994E-2</v>
      </c>
      <c r="I1045">
        <v>7.6833006750000002E-2</v>
      </c>
      <c r="J1045">
        <v>6.9133748795999997E-2</v>
      </c>
      <c r="K1045">
        <v>6.0422235775999998E-2</v>
      </c>
      <c r="L1045">
        <v>5.7003465555999999E-2</v>
      </c>
      <c r="M1045">
        <v>5.3119937659999901E-2</v>
      </c>
      <c r="N1045">
        <v>4.9282940899999898E-2</v>
      </c>
      <c r="O1045">
        <v>0</v>
      </c>
      <c r="P1045">
        <v>0</v>
      </c>
      <c r="Q1045">
        <v>0</v>
      </c>
      <c r="R1045" t="s">
        <v>243</v>
      </c>
    </row>
    <row r="1046" spans="1:18" x14ac:dyDescent="0.3">
      <c r="A1046" t="s">
        <v>259</v>
      </c>
      <c r="B1046" t="s">
        <v>28</v>
      </c>
      <c r="C1046" t="s">
        <v>289</v>
      </c>
      <c r="D1046">
        <v>9.8252296000000003E-2</v>
      </c>
      <c r="E1046">
        <v>0.11121173500000001</v>
      </c>
      <c r="F1046">
        <v>0.11010274740000001</v>
      </c>
      <c r="G1046">
        <v>9.2921153000000006E-2</v>
      </c>
      <c r="H1046">
        <v>8.0810035799999999E-2</v>
      </c>
      <c r="I1046">
        <v>7.9479924159999896E-2</v>
      </c>
      <c r="J1046">
        <v>7.1422078375000003E-2</v>
      </c>
      <c r="K1046">
        <v>6.2325297929999898E-2</v>
      </c>
      <c r="L1046">
        <v>5.8735133684999899E-2</v>
      </c>
      <c r="M1046">
        <v>5.4668037099999997E-2</v>
      </c>
      <c r="N1046">
        <v>5.0648980799999903E-2</v>
      </c>
      <c r="O1046">
        <v>0</v>
      </c>
      <c r="P1046">
        <v>0</v>
      </c>
      <c r="Q1046">
        <v>0</v>
      </c>
      <c r="R1046" t="s">
        <v>243</v>
      </c>
    </row>
    <row r="1047" spans="1:18" x14ac:dyDescent="0.3">
      <c r="A1047" t="s">
        <v>259</v>
      </c>
      <c r="B1047" t="s">
        <v>28</v>
      </c>
      <c r="C1047" t="s">
        <v>290</v>
      </c>
      <c r="D1047">
        <v>0.10101095829999999</v>
      </c>
      <c r="E1047">
        <v>0.114270463799999</v>
      </c>
      <c r="F1047">
        <v>0.1131863362</v>
      </c>
      <c r="G1047">
        <v>9.5600104000000005E-2</v>
      </c>
      <c r="H1047">
        <v>8.3189858399999997E-2</v>
      </c>
      <c r="I1047">
        <v>8.1861385549999999E-2</v>
      </c>
      <c r="J1047">
        <v>7.3469457264000004E-2</v>
      </c>
      <c r="K1047">
        <v>6.4051309072999899E-2</v>
      </c>
      <c r="L1047">
        <v>6.0280772181000003E-2</v>
      </c>
      <c r="M1047">
        <v>5.60586993399999E-2</v>
      </c>
      <c r="N1047">
        <v>5.1885941099999999E-2</v>
      </c>
      <c r="O1047">
        <v>0</v>
      </c>
      <c r="P1047">
        <v>0</v>
      </c>
      <c r="Q1047">
        <v>0</v>
      </c>
      <c r="R1047" t="s">
        <v>243</v>
      </c>
    </row>
    <row r="1048" spans="1:18" x14ac:dyDescent="0.3">
      <c r="A1048" t="s">
        <v>259</v>
      </c>
      <c r="B1048" t="s">
        <v>28</v>
      </c>
      <c r="C1048" t="s">
        <v>291</v>
      </c>
      <c r="D1048">
        <v>0.10383566249999999</v>
      </c>
      <c r="E1048">
        <v>0.1173269723</v>
      </c>
      <c r="F1048">
        <v>0.1162790647</v>
      </c>
      <c r="G1048">
        <v>9.8186604999999996E-2</v>
      </c>
      <c r="H1048">
        <v>8.5470832100000005E-2</v>
      </c>
      <c r="I1048">
        <v>8.4208140819999902E-2</v>
      </c>
      <c r="J1048">
        <v>7.5507863719999901E-2</v>
      </c>
      <c r="K1048">
        <v>6.5760354009000002E-2</v>
      </c>
      <c r="L1048">
        <v>6.1825699602000003E-2</v>
      </c>
      <c r="M1048">
        <v>5.7422590230000001E-2</v>
      </c>
      <c r="N1048">
        <v>5.3067247399999899E-2</v>
      </c>
      <c r="O1048">
        <v>0</v>
      </c>
      <c r="P1048">
        <v>0</v>
      </c>
      <c r="Q1048">
        <v>0</v>
      </c>
      <c r="R1048" t="s">
        <v>243</v>
      </c>
    </row>
    <row r="1049" spans="1:18" x14ac:dyDescent="0.3">
      <c r="A1049" t="s">
        <v>259</v>
      </c>
      <c r="B1049" t="s">
        <v>28</v>
      </c>
      <c r="C1049" t="s">
        <v>292</v>
      </c>
      <c r="D1049">
        <v>0.106832369</v>
      </c>
      <c r="E1049">
        <v>0.120779006699999</v>
      </c>
      <c r="F1049">
        <v>0.1196729943</v>
      </c>
      <c r="G1049">
        <v>0.101290030999999</v>
      </c>
      <c r="H1049">
        <v>8.8199547399999995E-2</v>
      </c>
      <c r="I1049">
        <v>8.6797417840000002E-2</v>
      </c>
      <c r="J1049">
        <v>7.7772631639999895E-2</v>
      </c>
      <c r="K1049">
        <v>6.7645096968999993E-2</v>
      </c>
      <c r="L1049">
        <v>6.3509523698999898E-2</v>
      </c>
      <c r="M1049">
        <v>5.8903469350000001E-2</v>
      </c>
      <c r="N1049">
        <v>5.4365714499999898E-2</v>
      </c>
      <c r="O1049">
        <v>0</v>
      </c>
      <c r="P1049">
        <v>0</v>
      </c>
      <c r="Q1049">
        <v>0</v>
      </c>
      <c r="R1049" t="s">
        <v>243</v>
      </c>
    </row>
    <row r="1050" spans="1:18" x14ac:dyDescent="0.3">
      <c r="A1050" t="s">
        <v>259</v>
      </c>
      <c r="B1050" t="s">
        <v>28</v>
      </c>
      <c r="C1050" t="s">
        <v>293</v>
      </c>
      <c r="D1050">
        <v>0.11096425629999999</v>
      </c>
      <c r="E1050">
        <v>0.12537569269999899</v>
      </c>
      <c r="F1050">
        <v>0.1241818069</v>
      </c>
      <c r="G1050">
        <v>0.104860468</v>
      </c>
      <c r="H1050">
        <v>9.1330463400000006E-2</v>
      </c>
      <c r="I1050">
        <v>9.0022766180000005E-2</v>
      </c>
      <c r="J1050">
        <v>8.0584882629999993E-2</v>
      </c>
      <c r="K1050">
        <v>7.0032098941999896E-2</v>
      </c>
      <c r="L1050">
        <v>6.5690101050999997E-2</v>
      </c>
      <c r="M1050">
        <v>6.0869057219999897E-2</v>
      </c>
      <c r="N1050">
        <v>5.6108375500000002E-2</v>
      </c>
      <c r="O1050">
        <v>0</v>
      </c>
      <c r="P1050">
        <v>0</v>
      </c>
      <c r="Q1050">
        <v>0</v>
      </c>
      <c r="R1050" t="s">
        <v>243</v>
      </c>
    </row>
    <row r="1051" spans="1:18" x14ac:dyDescent="0.3">
      <c r="A1051" t="s">
        <v>259</v>
      </c>
      <c r="B1051" t="s">
        <v>28</v>
      </c>
      <c r="C1051" t="s">
        <v>344</v>
      </c>
      <c r="D1051" s="8">
        <v>7.9895699999999999E-4</v>
      </c>
      <c r="E1051" s="8">
        <v>1.82256E-4</v>
      </c>
      <c r="F1051" s="8">
        <v>1.9363200000000001E-4</v>
      </c>
      <c r="G1051" s="8">
        <v>3.2293799999999999E-5</v>
      </c>
      <c r="H1051" s="8">
        <v>3.3183599999999999E-5</v>
      </c>
      <c r="I1051" s="8">
        <v>3.466295E-5</v>
      </c>
      <c r="J1051" s="8">
        <v>3.5212839999999999E-5</v>
      </c>
      <c r="K1051" s="8">
        <v>3.580694E-5</v>
      </c>
      <c r="L1051" s="8">
        <v>3.6346369999999999E-5</v>
      </c>
      <c r="M1051" s="8">
        <v>3.6638560000000002E-5</v>
      </c>
      <c r="N1051" s="8">
        <v>3.6868629999999997E-5</v>
      </c>
      <c r="O1051">
        <v>0</v>
      </c>
      <c r="P1051">
        <v>0</v>
      </c>
      <c r="Q1051">
        <v>0</v>
      </c>
      <c r="R1051" t="s">
        <v>243</v>
      </c>
    </row>
    <row r="1052" spans="1:18" x14ac:dyDescent="0.3">
      <c r="A1052" t="s">
        <v>259</v>
      </c>
      <c r="B1052" t="s">
        <v>28</v>
      </c>
      <c r="C1052" t="s">
        <v>345</v>
      </c>
      <c r="D1052" s="8">
        <v>7.4164099999999997E-5</v>
      </c>
      <c r="E1052" s="8">
        <v>1.5594400000000001E-5</v>
      </c>
      <c r="F1052" s="8">
        <v>1.58289E-5</v>
      </c>
      <c r="G1052" s="8">
        <v>2.4534000000000001E-6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243</v>
      </c>
    </row>
    <row r="1053" spans="1:18" x14ac:dyDescent="0.3">
      <c r="A1053" t="s">
        <v>259</v>
      </c>
      <c r="B1053" t="s">
        <v>28</v>
      </c>
      <c r="C1053" t="s">
        <v>346</v>
      </c>
      <c r="D1053" s="8">
        <v>5.1197899999999997E-4</v>
      </c>
      <c r="E1053" s="8">
        <v>1.09669E-4</v>
      </c>
      <c r="F1053" s="8">
        <v>1.16087E-4</v>
      </c>
      <c r="G1053" s="8">
        <v>1.8885600000000001E-5</v>
      </c>
      <c r="H1053" s="8">
        <v>1.924442E-5</v>
      </c>
      <c r="I1053" s="8">
        <v>2.0202029999999999E-5</v>
      </c>
      <c r="J1053" s="8">
        <v>2.0515049999999999E-5</v>
      </c>
      <c r="K1053" s="8">
        <v>2.085409E-5</v>
      </c>
      <c r="L1053" s="8">
        <v>2.1146509999999999E-5</v>
      </c>
      <c r="M1053" s="8">
        <v>2.13012899999999E-5</v>
      </c>
      <c r="N1053" s="8">
        <v>2.1417109999999999E-5</v>
      </c>
      <c r="O1053">
        <v>0</v>
      </c>
      <c r="P1053">
        <v>0</v>
      </c>
      <c r="Q1053">
        <v>0</v>
      </c>
      <c r="R1053" t="s">
        <v>243</v>
      </c>
    </row>
    <row r="1054" spans="1:18" x14ac:dyDescent="0.3">
      <c r="A1054" t="s">
        <v>259</v>
      </c>
      <c r="B1054" t="s">
        <v>28</v>
      </c>
      <c r="C1054" t="s">
        <v>347</v>
      </c>
      <c r="D1054" s="8">
        <v>3.82922E-4</v>
      </c>
      <c r="E1054" s="8">
        <v>8.4588700000000005E-5</v>
      </c>
      <c r="F1054" s="8">
        <v>8.7527099999999998E-5</v>
      </c>
      <c r="G1054" s="8">
        <v>1.39932E-5</v>
      </c>
      <c r="H1054" s="8">
        <v>1.411486E-5</v>
      </c>
      <c r="I1054" s="8">
        <v>1.50192999999999E-5</v>
      </c>
      <c r="J1054" s="8">
        <v>1.52316E-5</v>
      </c>
      <c r="K1054" s="8">
        <v>1.545906E-5</v>
      </c>
      <c r="L1054" s="8">
        <v>1.5652689999999999E-5</v>
      </c>
      <c r="M1054" s="8">
        <v>1.574279E-5</v>
      </c>
      <c r="N1054" s="8">
        <v>1.580575E-5</v>
      </c>
      <c r="O1054">
        <v>0</v>
      </c>
      <c r="P1054">
        <v>0</v>
      </c>
      <c r="Q1054">
        <v>0</v>
      </c>
      <c r="R1054" t="s">
        <v>243</v>
      </c>
    </row>
    <row r="1055" spans="1:18" x14ac:dyDescent="0.3">
      <c r="A1055" t="s">
        <v>259</v>
      </c>
      <c r="B1055" t="s">
        <v>28</v>
      </c>
      <c r="C1055" t="s">
        <v>348</v>
      </c>
      <c r="D1055" s="8">
        <v>3.1751300000000001E-4</v>
      </c>
      <c r="E1055" s="8">
        <v>7.0160400000000007E-5</v>
      </c>
      <c r="F1055" s="8">
        <v>7.1662900000000001E-5</v>
      </c>
      <c r="G1055" s="8">
        <v>1.13132E-5</v>
      </c>
      <c r="H1055" s="8">
        <v>1.1411570000000001E-5</v>
      </c>
      <c r="I1055" s="8">
        <v>1.2141140000000001E-5</v>
      </c>
      <c r="J1055" s="8">
        <v>1.230483E-5</v>
      </c>
      <c r="K1055" s="8">
        <v>1.2485300000000001E-5</v>
      </c>
      <c r="L1055" s="8">
        <v>1.2640310000000001E-5</v>
      </c>
      <c r="M1055" s="8">
        <v>1.271247E-5</v>
      </c>
      <c r="N1055" s="8">
        <v>1.27584E-5</v>
      </c>
      <c r="O1055">
        <v>0</v>
      </c>
      <c r="P1055">
        <v>0</v>
      </c>
      <c r="Q1055">
        <v>0</v>
      </c>
      <c r="R1055" t="s">
        <v>243</v>
      </c>
    </row>
    <row r="1056" spans="1:18" x14ac:dyDescent="0.3">
      <c r="A1056" t="s">
        <v>259</v>
      </c>
      <c r="B1056" t="s">
        <v>28</v>
      </c>
      <c r="C1056" t="s">
        <v>349</v>
      </c>
      <c r="D1056" s="8">
        <v>2.6878500000000001E-4</v>
      </c>
      <c r="E1056" s="8">
        <v>5.9243000000000002E-5</v>
      </c>
      <c r="F1056" s="8">
        <v>6.0525100000000001E-5</v>
      </c>
      <c r="G1056" s="8">
        <v>9.5190100000000005E-6</v>
      </c>
      <c r="H1056" s="8">
        <v>9.6017699999999997E-6</v>
      </c>
      <c r="I1056" s="8">
        <v>1.023619E-5</v>
      </c>
      <c r="J1056" s="8">
        <v>1.0370630000000001E-5</v>
      </c>
      <c r="K1056" s="8">
        <v>1.051764E-5</v>
      </c>
      <c r="L1056" s="8">
        <v>1.06478E-5</v>
      </c>
      <c r="M1056" s="8">
        <v>1.070573E-5</v>
      </c>
      <c r="N1056" s="8">
        <v>1.073953E-5</v>
      </c>
      <c r="O1056">
        <v>0</v>
      </c>
      <c r="P1056">
        <v>0</v>
      </c>
      <c r="Q1056">
        <v>0</v>
      </c>
      <c r="R1056" t="s">
        <v>243</v>
      </c>
    </row>
    <row r="1057" spans="1:18" x14ac:dyDescent="0.3">
      <c r="A1057" t="s">
        <v>259</v>
      </c>
      <c r="B1057" t="s">
        <v>28</v>
      </c>
      <c r="C1057" t="s">
        <v>350</v>
      </c>
      <c r="D1057" s="8">
        <v>2.2965799999999999E-4</v>
      </c>
      <c r="E1057" s="8">
        <v>5.0618200000000003E-5</v>
      </c>
      <c r="F1057" s="8">
        <v>5.1628200000000001E-5</v>
      </c>
      <c r="G1057" s="8">
        <v>8.0791099999999993E-6</v>
      </c>
      <c r="H1057" s="8">
        <v>8.1493500000000002E-6</v>
      </c>
      <c r="I1057" s="8">
        <v>8.6994300000000005E-6</v>
      </c>
      <c r="J1057" s="8">
        <v>8.8083800000000005E-6</v>
      </c>
      <c r="K1057" s="8">
        <v>8.9320500000000003E-6</v>
      </c>
      <c r="L1057" s="8">
        <v>9.0375400000000005E-6</v>
      </c>
      <c r="M1057" s="8">
        <v>9.0858000000000003E-6</v>
      </c>
      <c r="N1057">
        <v>0</v>
      </c>
      <c r="O1057">
        <v>0</v>
      </c>
      <c r="P1057">
        <v>0</v>
      </c>
      <c r="Q1057">
        <v>0</v>
      </c>
      <c r="R1057" t="s">
        <v>243</v>
      </c>
    </row>
    <row r="1058" spans="1:18" x14ac:dyDescent="0.3">
      <c r="A1058" t="s">
        <v>259</v>
      </c>
      <c r="B1058" t="s">
        <v>28</v>
      </c>
      <c r="C1058" t="s">
        <v>351</v>
      </c>
      <c r="D1058" s="8">
        <v>1.94816E-4</v>
      </c>
      <c r="E1058" s="8">
        <v>4.3142800000000003E-5</v>
      </c>
      <c r="F1058" s="8">
        <v>4.3859999999999997E-5</v>
      </c>
      <c r="G1058" s="8">
        <v>6.8699199999999998E-6</v>
      </c>
      <c r="H1058" s="8">
        <v>6.9296499999999998E-6</v>
      </c>
      <c r="I1058" s="8">
        <v>7.41271E-6</v>
      </c>
      <c r="J1058" s="8">
        <v>7.5026099999999998E-6</v>
      </c>
      <c r="K1058" s="8">
        <v>7.6049300000000002E-6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243</v>
      </c>
    </row>
    <row r="1059" spans="1:18" x14ac:dyDescent="0.3">
      <c r="A1059" t="s">
        <v>259</v>
      </c>
      <c r="B1059" t="s">
        <v>28</v>
      </c>
      <c r="C1059" t="s">
        <v>352</v>
      </c>
      <c r="D1059" s="8">
        <v>1.63132E-4</v>
      </c>
      <c r="E1059" s="8">
        <v>3.5918199999999998E-5</v>
      </c>
      <c r="F1059" s="8">
        <v>3.6554499999999997E-5</v>
      </c>
      <c r="G1059" s="8">
        <v>5.6339499999999997E-6</v>
      </c>
      <c r="H1059" s="8">
        <v>5.6829299999999998E-6</v>
      </c>
      <c r="I1059" s="8">
        <v>6.0752799999999902E-6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243</v>
      </c>
    </row>
    <row r="1060" spans="1:18" x14ac:dyDescent="0.3">
      <c r="A1060" t="s">
        <v>259</v>
      </c>
      <c r="B1060" t="s">
        <v>28</v>
      </c>
      <c r="C1060" t="s">
        <v>353</v>
      </c>
      <c r="D1060" s="8">
        <v>1.27148E-4</v>
      </c>
      <c r="E1060" s="8">
        <v>2.8010200000000002E-5</v>
      </c>
      <c r="F1060" s="8">
        <v>2.8555999999999999E-5</v>
      </c>
      <c r="G1060" s="8">
        <v>4.4638999999999997E-6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243</v>
      </c>
    </row>
    <row r="1061" spans="1:18" x14ac:dyDescent="0.3">
      <c r="A1061" t="s">
        <v>259</v>
      </c>
      <c r="B1061" t="s">
        <v>28</v>
      </c>
      <c r="C1061" t="s">
        <v>294</v>
      </c>
      <c r="D1061">
        <v>4.3700366000000001E-3</v>
      </c>
      <c r="E1061">
        <v>5.7673815E-3</v>
      </c>
      <c r="F1061">
        <v>6.0312730999999998E-3</v>
      </c>
      <c r="G1061">
        <v>5.3988933999999898E-3</v>
      </c>
      <c r="H1061">
        <v>5.5693355300000004E-3</v>
      </c>
      <c r="I1061">
        <v>5.5412846599999996E-3</v>
      </c>
      <c r="J1061">
        <v>5.9454324799999899E-3</v>
      </c>
      <c r="K1061">
        <v>6.3265288199999999E-3</v>
      </c>
      <c r="L1061">
        <v>6.7323449899999903E-3</v>
      </c>
      <c r="M1061">
        <v>7.0943178699999897E-3</v>
      </c>
      <c r="N1061">
        <v>7.4672285299999999E-3</v>
      </c>
      <c r="O1061">
        <v>0</v>
      </c>
      <c r="P1061">
        <v>0</v>
      </c>
      <c r="Q1061">
        <v>0</v>
      </c>
      <c r="R1061" t="s">
        <v>243</v>
      </c>
    </row>
    <row r="1062" spans="1:18" x14ac:dyDescent="0.3">
      <c r="A1062" t="s">
        <v>259</v>
      </c>
      <c r="B1062" t="s">
        <v>28</v>
      </c>
      <c r="C1062" t="s">
        <v>295</v>
      </c>
      <c r="D1062">
        <v>2.4845433999999899E-2</v>
      </c>
      <c r="E1062">
        <v>3.06978329999999E-2</v>
      </c>
      <c r="F1062">
        <v>3.3907925999999998E-2</v>
      </c>
      <c r="G1062">
        <v>3.0950090999999999E-2</v>
      </c>
      <c r="H1062">
        <v>2.9891993700000001E-2</v>
      </c>
      <c r="I1062">
        <v>3.1518997100000001E-2</v>
      </c>
      <c r="J1062">
        <v>3.1636761159999999E-2</v>
      </c>
      <c r="K1062">
        <v>3.2067425099999998E-2</v>
      </c>
      <c r="L1062">
        <v>3.25274656E-2</v>
      </c>
      <c r="M1062">
        <v>3.2634692599999897E-2</v>
      </c>
      <c r="N1062">
        <v>3.2631772099999998E-2</v>
      </c>
      <c r="O1062">
        <v>0</v>
      </c>
      <c r="P1062">
        <v>0</v>
      </c>
      <c r="Q1062">
        <v>0</v>
      </c>
      <c r="R1062" t="s">
        <v>243</v>
      </c>
    </row>
    <row r="1063" spans="1:18" x14ac:dyDescent="0.3">
      <c r="A1063" t="s">
        <v>259</v>
      </c>
      <c r="B1063" t="s">
        <v>28</v>
      </c>
      <c r="C1063" t="s">
        <v>296</v>
      </c>
      <c r="D1063">
        <v>6.7887729000000001E-3</v>
      </c>
      <c r="E1063">
        <v>9.4101024999999998E-3</v>
      </c>
      <c r="F1063">
        <v>9.9332731999999899E-3</v>
      </c>
      <c r="G1063">
        <v>9.1106499999999997E-3</v>
      </c>
      <c r="H1063">
        <v>8.9994310099999995E-3</v>
      </c>
      <c r="I1063">
        <v>8.9644213999999899E-3</v>
      </c>
      <c r="J1063">
        <v>9.4848910899999993E-3</v>
      </c>
      <c r="K1063">
        <v>1.009446584E-2</v>
      </c>
      <c r="L1063">
        <v>1.071828383E-2</v>
      </c>
      <c r="M1063">
        <v>1.1272147099999999E-2</v>
      </c>
      <c r="N1063">
        <v>1.1831552659999999E-2</v>
      </c>
      <c r="O1063">
        <v>0</v>
      </c>
      <c r="P1063">
        <v>0</v>
      </c>
      <c r="Q1063">
        <v>0</v>
      </c>
      <c r="R1063" t="s">
        <v>243</v>
      </c>
    </row>
    <row r="1064" spans="1:18" x14ac:dyDescent="0.3">
      <c r="A1064" t="s">
        <v>259</v>
      </c>
      <c r="B1064" t="s">
        <v>28</v>
      </c>
      <c r="C1064" t="s">
        <v>297</v>
      </c>
      <c r="D1064">
        <v>8.8333071999999995E-3</v>
      </c>
      <c r="E1064">
        <v>1.17874381E-2</v>
      </c>
      <c r="F1064">
        <v>1.2725609999999899E-2</v>
      </c>
      <c r="G1064">
        <v>1.18266537E-2</v>
      </c>
      <c r="H1064">
        <v>1.09097712E-2</v>
      </c>
      <c r="I1064">
        <v>1.17176748099999E-2</v>
      </c>
      <c r="J1064">
        <v>1.225024322E-2</v>
      </c>
      <c r="K1064">
        <v>1.2942946979999899E-2</v>
      </c>
      <c r="L1064">
        <v>1.364704223E-2</v>
      </c>
      <c r="M1064">
        <v>1.42406031899999E-2</v>
      </c>
      <c r="N1064">
        <v>1.483602E-2</v>
      </c>
      <c r="O1064">
        <v>0</v>
      </c>
      <c r="P1064">
        <v>0</v>
      </c>
      <c r="Q1064">
        <v>0</v>
      </c>
      <c r="R1064" t="s">
        <v>243</v>
      </c>
    </row>
    <row r="1065" spans="1:18" x14ac:dyDescent="0.3">
      <c r="A1065" t="s">
        <v>259</v>
      </c>
      <c r="B1065" t="s">
        <v>28</v>
      </c>
      <c r="C1065" t="s">
        <v>298</v>
      </c>
      <c r="D1065">
        <v>1.03525709E-2</v>
      </c>
      <c r="E1065">
        <v>1.37056294999999E-2</v>
      </c>
      <c r="F1065">
        <v>1.49699851999999E-2</v>
      </c>
      <c r="G1065">
        <v>1.40160966E-2</v>
      </c>
      <c r="H1065">
        <v>1.2941509E-2</v>
      </c>
      <c r="I1065">
        <v>1.384258191E-2</v>
      </c>
      <c r="J1065">
        <v>1.43809585999999E-2</v>
      </c>
      <c r="K1065">
        <v>1.5152787589999999E-2</v>
      </c>
      <c r="L1065">
        <v>1.59455687199999E-2</v>
      </c>
      <c r="M1065">
        <v>1.6603381699999899E-2</v>
      </c>
      <c r="N1065">
        <v>1.723420048E-2</v>
      </c>
      <c r="O1065">
        <v>0</v>
      </c>
      <c r="P1065">
        <v>0</v>
      </c>
      <c r="Q1065">
        <v>0</v>
      </c>
      <c r="R1065" t="s">
        <v>243</v>
      </c>
    </row>
    <row r="1066" spans="1:18" x14ac:dyDescent="0.3">
      <c r="A1066" t="s">
        <v>259</v>
      </c>
      <c r="B1066" t="s">
        <v>28</v>
      </c>
      <c r="C1066" t="s">
        <v>299</v>
      </c>
      <c r="D1066">
        <v>1.18295398E-2</v>
      </c>
      <c r="E1066">
        <v>1.5571232399999999E-2</v>
      </c>
      <c r="F1066">
        <v>1.7018422099999899E-2</v>
      </c>
      <c r="G1066">
        <v>1.59330814E-2</v>
      </c>
      <c r="H1066">
        <v>1.48150366E-2</v>
      </c>
      <c r="I1066">
        <v>1.584933941E-2</v>
      </c>
      <c r="J1066">
        <v>1.6397122479999901E-2</v>
      </c>
      <c r="K1066">
        <v>1.7209598499999899E-2</v>
      </c>
      <c r="L1066">
        <v>1.8071356979999901E-2</v>
      </c>
      <c r="M1066">
        <v>1.8753724199999999E-2</v>
      </c>
      <c r="N1066">
        <v>1.9384576800000001E-2</v>
      </c>
      <c r="O1066">
        <v>0</v>
      </c>
      <c r="P1066">
        <v>0</v>
      </c>
      <c r="Q1066">
        <v>0</v>
      </c>
      <c r="R1066" t="s">
        <v>243</v>
      </c>
    </row>
    <row r="1067" spans="1:18" x14ac:dyDescent="0.3">
      <c r="A1067" t="s">
        <v>259</v>
      </c>
      <c r="B1067" t="s">
        <v>28</v>
      </c>
      <c r="C1067" t="s">
        <v>300</v>
      </c>
      <c r="D1067">
        <v>1.33218632999999E-2</v>
      </c>
      <c r="E1067">
        <v>1.7396677100000001E-2</v>
      </c>
      <c r="F1067">
        <v>1.9051563699999999E-2</v>
      </c>
      <c r="G1067">
        <v>1.7841455999999999E-2</v>
      </c>
      <c r="H1067">
        <v>1.67029816E-2</v>
      </c>
      <c r="I1067">
        <v>1.7841484979999898E-2</v>
      </c>
      <c r="J1067">
        <v>1.836576136E-2</v>
      </c>
      <c r="K1067">
        <v>1.9219068579999998E-2</v>
      </c>
      <c r="L1067">
        <v>2.0091516449999899E-2</v>
      </c>
      <c r="M1067">
        <v>2.0786892299999998E-2</v>
      </c>
      <c r="N1067">
        <v>2.1411862899999998E-2</v>
      </c>
      <c r="O1067">
        <v>0</v>
      </c>
      <c r="P1067">
        <v>0</v>
      </c>
      <c r="Q1067">
        <v>0</v>
      </c>
      <c r="R1067" t="s">
        <v>243</v>
      </c>
    </row>
    <row r="1068" spans="1:18" x14ac:dyDescent="0.3">
      <c r="A1068" t="s">
        <v>259</v>
      </c>
      <c r="B1068" t="s">
        <v>28</v>
      </c>
      <c r="C1068" t="s">
        <v>301</v>
      </c>
      <c r="D1068">
        <v>1.4967533E-2</v>
      </c>
      <c r="E1068">
        <v>1.93137213E-2</v>
      </c>
      <c r="F1068">
        <v>2.1212793300000001E-2</v>
      </c>
      <c r="G1068">
        <v>1.97815808E-2</v>
      </c>
      <c r="H1068">
        <v>1.8694300300000001E-2</v>
      </c>
      <c r="I1068">
        <v>1.9948415699999899E-2</v>
      </c>
      <c r="J1068">
        <v>2.04498436099999E-2</v>
      </c>
      <c r="K1068">
        <v>2.1305393169999999E-2</v>
      </c>
      <c r="L1068">
        <v>2.2187671969999899E-2</v>
      </c>
      <c r="M1068">
        <v>2.2841793799999999E-2</v>
      </c>
      <c r="N1068">
        <v>2.3397222499999999E-2</v>
      </c>
      <c r="O1068">
        <v>0</v>
      </c>
      <c r="P1068">
        <v>0</v>
      </c>
      <c r="Q1068">
        <v>0</v>
      </c>
      <c r="R1068" t="s">
        <v>243</v>
      </c>
    </row>
    <row r="1069" spans="1:18" x14ac:dyDescent="0.3">
      <c r="A1069" t="s">
        <v>259</v>
      </c>
      <c r="B1069" t="s">
        <v>28</v>
      </c>
      <c r="C1069" t="s">
        <v>302</v>
      </c>
      <c r="D1069">
        <v>1.68134629999999E-2</v>
      </c>
      <c r="E1069">
        <v>2.1548685799999901E-2</v>
      </c>
      <c r="F1069">
        <v>2.3673634999999998E-2</v>
      </c>
      <c r="G1069">
        <v>2.2176236199999901E-2</v>
      </c>
      <c r="H1069">
        <v>2.09778194E-2</v>
      </c>
      <c r="I1069">
        <v>2.2345216099999999E-2</v>
      </c>
      <c r="J1069">
        <v>2.2832021170000001E-2</v>
      </c>
      <c r="K1069">
        <v>2.36627952099999E-2</v>
      </c>
      <c r="L1069">
        <v>2.4499199799999899E-2</v>
      </c>
      <c r="M1069">
        <v>2.50770196E-2</v>
      </c>
      <c r="N1069">
        <v>2.5561375199999899E-2</v>
      </c>
      <c r="O1069">
        <v>0</v>
      </c>
      <c r="P1069">
        <v>0</v>
      </c>
      <c r="Q1069">
        <v>0</v>
      </c>
      <c r="R1069" t="s">
        <v>243</v>
      </c>
    </row>
    <row r="1070" spans="1:18" x14ac:dyDescent="0.3">
      <c r="A1070" t="s">
        <v>259</v>
      </c>
      <c r="B1070" t="s">
        <v>28</v>
      </c>
      <c r="C1070" t="s">
        <v>303</v>
      </c>
      <c r="D1070">
        <v>1.9458223999999899E-2</v>
      </c>
      <c r="E1070">
        <v>2.4546719000000002E-2</v>
      </c>
      <c r="F1070">
        <v>2.69806979999999E-2</v>
      </c>
      <c r="G1070">
        <v>2.4925353000000001E-2</v>
      </c>
      <c r="H1070">
        <v>2.3839895399999901E-2</v>
      </c>
      <c r="I1070">
        <v>2.53912609E-2</v>
      </c>
      <c r="J1070">
        <v>2.580389667E-2</v>
      </c>
      <c r="K1070">
        <v>2.6585535699999999E-2</v>
      </c>
      <c r="L1070">
        <v>2.73818830999999E-2</v>
      </c>
      <c r="M1070">
        <v>2.7874568799999999E-2</v>
      </c>
      <c r="N1070">
        <v>2.8239186999999999E-2</v>
      </c>
      <c r="O1070">
        <v>0</v>
      </c>
      <c r="P1070">
        <v>0</v>
      </c>
      <c r="Q1070">
        <v>0</v>
      </c>
      <c r="R1070" t="s">
        <v>243</v>
      </c>
    </row>
    <row r="1071" spans="1:18" x14ac:dyDescent="0.3">
      <c r="A1071" t="s">
        <v>259</v>
      </c>
      <c r="B1071" t="s">
        <v>28</v>
      </c>
      <c r="C1071" t="s">
        <v>304</v>
      </c>
      <c r="D1071">
        <v>1.05916E-2</v>
      </c>
      <c r="E1071">
        <v>1.57208E-2</v>
      </c>
      <c r="F1071">
        <v>1.8164799999999998E-2</v>
      </c>
      <c r="G1071">
        <v>1.7346500000000001E-2</v>
      </c>
      <c r="H1071">
        <v>1.8885619999999999E-2</v>
      </c>
      <c r="I1071">
        <v>1.9467780000000001E-2</v>
      </c>
      <c r="J1071">
        <v>1.9720129999999999E-2</v>
      </c>
      <c r="K1071">
        <v>2.0358649999999999E-2</v>
      </c>
      <c r="L1071">
        <v>2.088433E-2</v>
      </c>
      <c r="M1071">
        <v>2.1215609999999999E-2</v>
      </c>
      <c r="N1071">
        <v>2.147423E-2</v>
      </c>
      <c r="O1071">
        <v>0</v>
      </c>
      <c r="P1071">
        <v>0</v>
      </c>
      <c r="Q1071">
        <v>0</v>
      </c>
      <c r="R1071" t="s">
        <v>243</v>
      </c>
    </row>
    <row r="1072" spans="1:18" x14ac:dyDescent="0.3">
      <c r="A1072" t="s">
        <v>259</v>
      </c>
      <c r="B1072" t="s">
        <v>28</v>
      </c>
      <c r="C1072" t="s">
        <v>305</v>
      </c>
      <c r="D1072">
        <v>1.8445199999999998E-2</v>
      </c>
      <c r="E1072">
        <v>2.6219099999999999E-2</v>
      </c>
      <c r="F1072">
        <v>3.0628699999999998E-2</v>
      </c>
      <c r="G1072">
        <v>2.9919100000000001E-2</v>
      </c>
      <c r="H1072">
        <v>3.0178300000000002E-2</v>
      </c>
      <c r="I1072">
        <v>3.2258910000000002E-2</v>
      </c>
      <c r="J1072">
        <v>3.2618250000000001E-2</v>
      </c>
      <c r="K1072">
        <v>3.3021049999999899E-2</v>
      </c>
      <c r="L1072">
        <v>3.3343810000000002E-2</v>
      </c>
      <c r="M1072">
        <v>3.3446969999999999E-2</v>
      </c>
      <c r="N1072">
        <v>3.346449E-2</v>
      </c>
      <c r="O1072">
        <v>0</v>
      </c>
      <c r="P1072">
        <v>0</v>
      </c>
      <c r="Q1072">
        <v>0</v>
      </c>
      <c r="R1072" t="s">
        <v>243</v>
      </c>
    </row>
    <row r="1073" spans="1:18" x14ac:dyDescent="0.3">
      <c r="A1073" t="s">
        <v>259</v>
      </c>
      <c r="B1073" t="s">
        <v>28</v>
      </c>
      <c r="C1073" t="s">
        <v>306</v>
      </c>
      <c r="D1073">
        <v>1.2788000000000001E-2</v>
      </c>
      <c r="E1073">
        <v>1.8767599999999999E-2</v>
      </c>
      <c r="F1073">
        <v>2.1755699999999999E-2</v>
      </c>
      <c r="G1073">
        <v>2.1066499999999998E-2</v>
      </c>
      <c r="H1073">
        <v>2.1780540000000001E-2</v>
      </c>
      <c r="I1073">
        <v>2.2804289999999901E-2</v>
      </c>
      <c r="J1073">
        <v>2.3147809999999901E-2</v>
      </c>
      <c r="K1073">
        <v>2.3612060000000001E-2</v>
      </c>
      <c r="L1073">
        <v>2.3988900000000001E-2</v>
      </c>
      <c r="M1073">
        <v>2.4192039999999901E-2</v>
      </c>
      <c r="N1073">
        <v>2.4339710000000001E-2</v>
      </c>
      <c r="O1073">
        <v>0</v>
      </c>
      <c r="P1073">
        <v>0</v>
      </c>
      <c r="Q1073">
        <v>0</v>
      </c>
      <c r="R1073" t="s">
        <v>243</v>
      </c>
    </row>
    <row r="1074" spans="1:18" x14ac:dyDescent="0.3">
      <c r="A1074" t="s">
        <v>259</v>
      </c>
      <c r="B1074" t="s">
        <v>28</v>
      </c>
      <c r="C1074" t="s">
        <v>307</v>
      </c>
      <c r="D1074">
        <v>1.3944399999999999E-2</v>
      </c>
      <c r="E1074">
        <v>1.9995700000000002E-2</v>
      </c>
      <c r="F1074">
        <v>2.33084E-2</v>
      </c>
      <c r="G1074">
        <v>2.26768E-2</v>
      </c>
      <c r="H1074">
        <v>2.2966E-2</v>
      </c>
      <c r="I1074">
        <v>2.4440730000000001E-2</v>
      </c>
      <c r="J1074">
        <v>2.47824E-2</v>
      </c>
      <c r="K1074">
        <v>2.5173569999999999E-2</v>
      </c>
      <c r="L1074">
        <v>2.5498899999999901E-2</v>
      </c>
      <c r="M1074">
        <v>2.5650829999999999E-2</v>
      </c>
      <c r="N1074">
        <v>2.5755899999999901E-2</v>
      </c>
      <c r="O1074">
        <v>0</v>
      </c>
      <c r="P1074">
        <v>0</v>
      </c>
      <c r="Q1074">
        <v>0</v>
      </c>
      <c r="R1074" t="s">
        <v>243</v>
      </c>
    </row>
    <row r="1075" spans="1:18" x14ac:dyDescent="0.3">
      <c r="A1075" t="s">
        <v>259</v>
      </c>
      <c r="B1075" t="s">
        <v>28</v>
      </c>
      <c r="C1075" t="s">
        <v>308</v>
      </c>
      <c r="D1075">
        <v>1.45837E-2</v>
      </c>
      <c r="E1075">
        <v>2.07859E-2</v>
      </c>
      <c r="F1075">
        <v>2.4284900000000002E-2</v>
      </c>
      <c r="G1075">
        <v>2.3683900000000001E-2</v>
      </c>
      <c r="H1075">
        <v>2.3924879999999999E-2</v>
      </c>
      <c r="I1075">
        <v>2.5455019999999998E-2</v>
      </c>
      <c r="J1075">
        <v>2.5796469999999998E-2</v>
      </c>
      <c r="K1075">
        <v>2.6181289999999899E-2</v>
      </c>
      <c r="L1075">
        <v>2.65090799999999E-2</v>
      </c>
      <c r="M1075">
        <v>2.6661560000000001E-2</v>
      </c>
      <c r="N1075">
        <v>2.6758339999999999E-2</v>
      </c>
      <c r="O1075">
        <v>0</v>
      </c>
      <c r="P1075">
        <v>0</v>
      </c>
      <c r="Q1075">
        <v>0</v>
      </c>
      <c r="R1075" t="s">
        <v>243</v>
      </c>
    </row>
    <row r="1076" spans="1:18" x14ac:dyDescent="0.3">
      <c r="A1076" t="s">
        <v>259</v>
      </c>
      <c r="B1076" t="s">
        <v>28</v>
      </c>
      <c r="C1076" t="s">
        <v>309</v>
      </c>
      <c r="D1076">
        <v>1.50989E-2</v>
      </c>
      <c r="E1076">
        <v>2.1457E-2</v>
      </c>
      <c r="F1076">
        <v>2.5060599999999999E-2</v>
      </c>
      <c r="G1076">
        <v>2.44529E-2</v>
      </c>
      <c r="H1076">
        <v>2.4679E-2</v>
      </c>
      <c r="I1076">
        <v>2.6309320000000001E-2</v>
      </c>
      <c r="J1076">
        <v>2.665383E-2</v>
      </c>
      <c r="K1076">
        <v>2.703357E-2</v>
      </c>
      <c r="L1076">
        <v>2.736879E-2</v>
      </c>
      <c r="M1076">
        <v>2.7517889999999899E-2</v>
      </c>
      <c r="N1076">
        <v>2.7604799999999999E-2</v>
      </c>
      <c r="O1076">
        <v>0</v>
      </c>
      <c r="P1076">
        <v>0</v>
      </c>
      <c r="Q1076">
        <v>0</v>
      </c>
      <c r="R1076" t="s">
        <v>243</v>
      </c>
    </row>
    <row r="1077" spans="1:18" x14ac:dyDescent="0.3">
      <c r="A1077" t="s">
        <v>259</v>
      </c>
      <c r="B1077" t="s">
        <v>28</v>
      </c>
      <c r="C1077" t="s">
        <v>310</v>
      </c>
      <c r="D1077">
        <v>1.5552099999999999E-2</v>
      </c>
      <c r="E1077">
        <v>2.2057299999999998E-2</v>
      </c>
      <c r="F1077">
        <v>2.57649E-2</v>
      </c>
      <c r="G1077">
        <v>2.51579E-2</v>
      </c>
      <c r="H1077">
        <v>2.5380799999999999E-2</v>
      </c>
      <c r="I1077">
        <v>2.7093490000000001E-2</v>
      </c>
      <c r="J1077">
        <v>2.7431980000000002E-2</v>
      </c>
      <c r="K1077">
        <v>2.7817499999999998E-2</v>
      </c>
      <c r="L1077">
        <v>2.8146230000000001E-2</v>
      </c>
      <c r="M1077">
        <v>2.8296539999999998E-2</v>
      </c>
      <c r="N1077">
        <v>2.8380599999999999E-2</v>
      </c>
      <c r="O1077">
        <v>0</v>
      </c>
      <c r="P1077">
        <v>0</v>
      </c>
      <c r="Q1077">
        <v>0</v>
      </c>
      <c r="R1077" t="s">
        <v>243</v>
      </c>
    </row>
    <row r="1078" spans="1:18" x14ac:dyDescent="0.3">
      <c r="A1078" t="s">
        <v>259</v>
      </c>
      <c r="B1078" t="s">
        <v>28</v>
      </c>
      <c r="C1078" t="s">
        <v>311</v>
      </c>
      <c r="D1078">
        <v>1.60029E-2</v>
      </c>
      <c r="E1078">
        <v>2.26517E-2</v>
      </c>
      <c r="F1078">
        <v>2.647E-2</v>
      </c>
      <c r="G1078">
        <v>2.58386E-2</v>
      </c>
      <c r="H1078">
        <v>2.6064E-2</v>
      </c>
      <c r="I1078">
        <v>2.7880059999999901E-2</v>
      </c>
      <c r="J1078">
        <v>2.82174E-2</v>
      </c>
      <c r="K1078">
        <v>2.8602320000000001E-2</v>
      </c>
      <c r="L1078">
        <v>2.89325E-2</v>
      </c>
      <c r="M1078">
        <v>2.90721E-2</v>
      </c>
      <c r="N1078">
        <v>2.9137529999999998E-2</v>
      </c>
      <c r="O1078">
        <v>0</v>
      </c>
      <c r="P1078">
        <v>0</v>
      </c>
      <c r="Q1078">
        <v>0</v>
      </c>
      <c r="R1078" t="s">
        <v>243</v>
      </c>
    </row>
    <row r="1079" spans="1:18" x14ac:dyDescent="0.3">
      <c r="A1079" t="s">
        <v>259</v>
      </c>
      <c r="B1079" t="s">
        <v>28</v>
      </c>
      <c r="C1079" t="s">
        <v>312</v>
      </c>
      <c r="D1079">
        <v>1.6472000000000001E-2</v>
      </c>
      <c r="E1079">
        <v>2.3319699999999999E-2</v>
      </c>
      <c r="F1079">
        <v>2.7243E-2</v>
      </c>
      <c r="G1079">
        <v>2.66553E-2</v>
      </c>
      <c r="H1079">
        <v>2.6886500000000001E-2</v>
      </c>
      <c r="I1079">
        <v>2.8741940000000001E-2</v>
      </c>
      <c r="J1079">
        <v>2.9090600000000001E-2</v>
      </c>
      <c r="K1079">
        <v>2.9476619999999999E-2</v>
      </c>
      <c r="L1079">
        <v>2.9798289999999901E-2</v>
      </c>
      <c r="M1079">
        <v>2.992527E-2</v>
      </c>
      <c r="N1079">
        <v>2.998284E-2</v>
      </c>
      <c r="O1079">
        <v>0</v>
      </c>
      <c r="P1079">
        <v>0</v>
      </c>
      <c r="Q1079">
        <v>0</v>
      </c>
      <c r="R1079" t="s">
        <v>243</v>
      </c>
    </row>
    <row r="1080" spans="1:18" x14ac:dyDescent="0.3">
      <c r="A1080" t="s">
        <v>259</v>
      </c>
      <c r="B1080" t="s">
        <v>28</v>
      </c>
      <c r="C1080" t="s">
        <v>313</v>
      </c>
      <c r="D1080">
        <v>1.7111999999999999E-2</v>
      </c>
      <c r="E1080">
        <v>2.4207699999999999E-2</v>
      </c>
      <c r="F1080">
        <v>2.8269499999999999E-2</v>
      </c>
      <c r="G1080">
        <v>2.7594899999999999E-2</v>
      </c>
      <c r="H1080">
        <v>2.7833900000000002E-2</v>
      </c>
      <c r="I1080">
        <v>2.9833809999999999E-2</v>
      </c>
      <c r="J1080">
        <v>3.0185319999999901E-2</v>
      </c>
      <c r="K1080">
        <v>3.058429E-2</v>
      </c>
      <c r="L1080">
        <v>3.0920409999999999E-2</v>
      </c>
      <c r="M1080">
        <v>3.105451E-2</v>
      </c>
      <c r="N1080">
        <v>3.1107619999999999E-2</v>
      </c>
      <c r="O1080">
        <v>0</v>
      </c>
      <c r="P1080">
        <v>0</v>
      </c>
      <c r="Q1080">
        <v>0</v>
      </c>
      <c r="R1080" t="s">
        <v>243</v>
      </c>
    </row>
    <row r="1081" spans="1:18" x14ac:dyDescent="0.3">
      <c r="A1081" t="s">
        <v>259</v>
      </c>
      <c r="B1081" t="s">
        <v>28</v>
      </c>
      <c r="C1081" t="s">
        <v>314</v>
      </c>
      <c r="D1081">
        <v>1.5753E-3</v>
      </c>
      <c r="E1081">
        <v>2.3683799999999998E-3</v>
      </c>
      <c r="F1081">
        <v>2.74106E-3</v>
      </c>
      <c r="G1081">
        <v>2.6204700000000002E-3</v>
      </c>
      <c r="H1081">
        <v>2.83767E-3</v>
      </c>
      <c r="I1081">
        <v>2.8857700000000002E-3</v>
      </c>
      <c r="J1081">
        <v>2.9080099999999999E-3</v>
      </c>
      <c r="K1081">
        <v>2.9781E-3</v>
      </c>
      <c r="L1081">
        <v>3.0287600000000001E-3</v>
      </c>
      <c r="M1081">
        <v>3.0520299999999998E-3</v>
      </c>
      <c r="N1081">
        <v>3.06062E-3</v>
      </c>
      <c r="O1081">
        <v>0</v>
      </c>
      <c r="P1081">
        <v>0</v>
      </c>
      <c r="Q1081">
        <v>0</v>
      </c>
      <c r="R1081" t="s">
        <v>243</v>
      </c>
    </row>
    <row r="1082" spans="1:18" x14ac:dyDescent="0.3">
      <c r="A1082" t="s">
        <v>259</v>
      </c>
      <c r="B1082" t="s">
        <v>28</v>
      </c>
      <c r="C1082" t="s">
        <v>315</v>
      </c>
      <c r="D1082">
        <v>2.84659E-3</v>
      </c>
      <c r="E1082">
        <v>4.0315400000000001E-3</v>
      </c>
      <c r="F1082">
        <v>4.7078700000000003E-3</v>
      </c>
      <c r="G1082">
        <v>4.5975499999999997E-3</v>
      </c>
      <c r="H1082">
        <v>4.5715599999999997E-3</v>
      </c>
      <c r="I1082">
        <v>4.82418E-3</v>
      </c>
      <c r="J1082">
        <v>4.8456200000000001E-3</v>
      </c>
      <c r="K1082">
        <v>4.8514700000000001E-3</v>
      </c>
      <c r="L1082">
        <v>4.8487900000000004E-3</v>
      </c>
      <c r="M1082">
        <v>4.8190500000000001E-3</v>
      </c>
      <c r="N1082">
        <v>4.7724600000000001E-3</v>
      </c>
      <c r="O1082">
        <v>0</v>
      </c>
      <c r="P1082">
        <v>0</v>
      </c>
      <c r="Q1082">
        <v>0</v>
      </c>
      <c r="R1082" t="s">
        <v>243</v>
      </c>
    </row>
    <row r="1083" spans="1:18" x14ac:dyDescent="0.3">
      <c r="A1083" t="s">
        <v>259</v>
      </c>
      <c r="B1083" t="s">
        <v>28</v>
      </c>
      <c r="C1083" t="s">
        <v>316</v>
      </c>
      <c r="D1083">
        <v>1.9364E-3</v>
      </c>
      <c r="E1083">
        <v>2.8648599999999999E-3</v>
      </c>
      <c r="F1083">
        <v>3.3222999999999998E-3</v>
      </c>
      <c r="G1083">
        <v>3.2183300000000001E-3</v>
      </c>
      <c r="H1083">
        <v>3.29343E-3</v>
      </c>
      <c r="I1083">
        <v>3.4024200000000002E-3</v>
      </c>
      <c r="J1083">
        <v>3.43232E-3</v>
      </c>
      <c r="K1083">
        <v>3.4662400000000002E-3</v>
      </c>
      <c r="L1083">
        <v>3.4868799999999999E-3</v>
      </c>
      <c r="M1083">
        <v>3.4849199999999999E-3</v>
      </c>
      <c r="N1083">
        <v>3.4710299999999999E-3</v>
      </c>
      <c r="O1083">
        <v>0</v>
      </c>
      <c r="P1083">
        <v>0</v>
      </c>
      <c r="Q1083">
        <v>0</v>
      </c>
      <c r="R1083" t="s">
        <v>243</v>
      </c>
    </row>
    <row r="1084" spans="1:18" x14ac:dyDescent="0.3">
      <c r="A1084" t="s">
        <v>259</v>
      </c>
      <c r="B1084" t="s">
        <v>28</v>
      </c>
      <c r="C1084" t="s">
        <v>317</v>
      </c>
      <c r="D1084">
        <v>2.1305299999999998E-3</v>
      </c>
      <c r="E1084">
        <v>3.0644600000000002E-3</v>
      </c>
      <c r="F1084">
        <v>3.5728999999999999E-3</v>
      </c>
      <c r="G1084">
        <v>3.4765999999999998E-3</v>
      </c>
      <c r="H1084">
        <v>3.4762899999999999E-3</v>
      </c>
      <c r="I1084">
        <v>3.6527E-3</v>
      </c>
      <c r="J1084">
        <v>3.6796799999999998E-3</v>
      </c>
      <c r="K1084">
        <v>3.6978200000000001E-3</v>
      </c>
      <c r="L1084">
        <v>3.7077E-3</v>
      </c>
      <c r="M1084">
        <v>3.6956799999999998E-3</v>
      </c>
      <c r="N1084">
        <v>3.6731400000000001E-3</v>
      </c>
      <c r="O1084">
        <v>0</v>
      </c>
      <c r="P1084">
        <v>0</v>
      </c>
      <c r="Q1084">
        <v>0</v>
      </c>
      <c r="R1084" t="s">
        <v>243</v>
      </c>
    </row>
    <row r="1085" spans="1:18" x14ac:dyDescent="0.3">
      <c r="A1085" t="s">
        <v>259</v>
      </c>
      <c r="B1085" t="s">
        <v>28</v>
      </c>
      <c r="C1085" t="s">
        <v>318</v>
      </c>
      <c r="D1085">
        <v>2.2374000000000001E-3</v>
      </c>
      <c r="E1085">
        <v>3.1909500000000001E-3</v>
      </c>
      <c r="F1085">
        <v>3.72815E-3</v>
      </c>
      <c r="G1085">
        <v>3.6358300000000001E-3</v>
      </c>
      <c r="H1085">
        <v>3.6233099999999998E-3</v>
      </c>
      <c r="I1085">
        <v>3.8058200000000001E-3</v>
      </c>
      <c r="J1085">
        <v>3.8316000000000001E-3</v>
      </c>
      <c r="K1085">
        <v>3.84644E-3</v>
      </c>
      <c r="L1085">
        <v>3.85484E-3</v>
      </c>
      <c r="M1085">
        <v>3.84141E-3</v>
      </c>
      <c r="N1085">
        <v>3.8161200000000001E-3</v>
      </c>
      <c r="O1085">
        <v>0</v>
      </c>
      <c r="P1085">
        <v>0</v>
      </c>
      <c r="Q1085">
        <v>0</v>
      </c>
      <c r="R1085" t="s">
        <v>243</v>
      </c>
    </row>
    <row r="1086" spans="1:18" x14ac:dyDescent="0.3">
      <c r="A1086" t="s">
        <v>259</v>
      </c>
      <c r="B1086" t="s">
        <v>28</v>
      </c>
      <c r="C1086" t="s">
        <v>319</v>
      </c>
      <c r="D1086">
        <v>2.3223599999999999E-3</v>
      </c>
      <c r="E1086">
        <v>3.29685E-3</v>
      </c>
      <c r="F1086">
        <v>3.8498600000000001E-3</v>
      </c>
      <c r="G1086">
        <v>3.7559999999999998E-3</v>
      </c>
      <c r="H1086">
        <v>3.7381900000000002E-3</v>
      </c>
      <c r="I1086">
        <v>3.93414E-3</v>
      </c>
      <c r="J1086">
        <v>3.9594000000000001E-3</v>
      </c>
      <c r="K1086">
        <v>3.9717900000000002E-3</v>
      </c>
      <c r="L1086">
        <v>3.9799199999999996E-3</v>
      </c>
      <c r="M1086">
        <v>3.96481E-3</v>
      </c>
      <c r="N1086">
        <v>3.9368399999999996E-3</v>
      </c>
      <c r="O1086">
        <v>0</v>
      </c>
      <c r="P1086">
        <v>0</v>
      </c>
      <c r="Q1086">
        <v>0</v>
      </c>
      <c r="R1086" t="s">
        <v>243</v>
      </c>
    </row>
    <row r="1087" spans="1:18" x14ac:dyDescent="0.3">
      <c r="A1087" t="s">
        <v>259</v>
      </c>
      <c r="B1087" t="s">
        <v>28</v>
      </c>
      <c r="C1087" t="s">
        <v>320</v>
      </c>
      <c r="D1087">
        <v>2.3958299999999998E-3</v>
      </c>
      <c r="E1087">
        <v>3.3905300000000001E-3</v>
      </c>
      <c r="F1087">
        <v>3.9593500000000004E-3</v>
      </c>
      <c r="G1087">
        <v>3.86529E-3</v>
      </c>
      <c r="H1087">
        <v>3.8447400000000001E-3</v>
      </c>
      <c r="I1087">
        <v>4.0516099999999998E-3</v>
      </c>
      <c r="J1087">
        <v>4.0751299999999997E-3</v>
      </c>
      <c r="K1087">
        <v>4.0870000000000004E-3</v>
      </c>
      <c r="L1087">
        <v>4.0929900000000003E-3</v>
      </c>
      <c r="M1087">
        <v>4.0769999999999999E-3</v>
      </c>
      <c r="N1087">
        <v>4.0474600000000001E-3</v>
      </c>
      <c r="O1087">
        <v>0</v>
      </c>
      <c r="P1087">
        <v>0</v>
      </c>
      <c r="Q1087">
        <v>0</v>
      </c>
      <c r="R1087" t="s">
        <v>243</v>
      </c>
    </row>
    <row r="1088" spans="1:18" x14ac:dyDescent="0.3">
      <c r="A1088" t="s">
        <v>259</v>
      </c>
      <c r="B1088" t="s">
        <v>28</v>
      </c>
      <c r="C1088" t="s">
        <v>321</v>
      </c>
      <c r="D1088">
        <v>2.4676400000000001E-3</v>
      </c>
      <c r="E1088">
        <v>3.4825899999999998E-3</v>
      </c>
      <c r="F1088">
        <v>4.0683200000000003E-3</v>
      </c>
      <c r="G1088">
        <v>3.9703000000000004E-3</v>
      </c>
      <c r="H1088">
        <v>3.9482800000000002E-3</v>
      </c>
      <c r="I1088">
        <v>4.1693499999999996E-3</v>
      </c>
      <c r="J1088">
        <v>4.1918399999999996E-3</v>
      </c>
      <c r="K1088">
        <v>4.20229E-3</v>
      </c>
      <c r="L1088">
        <v>4.2073400000000004E-3</v>
      </c>
      <c r="M1088">
        <v>4.1887299999999999E-3</v>
      </c>
      <c r="N1088">
        <v>4.1554000000000001E-3</v>
      </c>
      <c r="O1088">
        <v>0</v>
      </c>
      <c r="P1088">
        <v>0</v>
      </c>
      <c r="Q1088">
        <v>0</v>
      </c>
      <c r="R1088" t="s">
        <v>243</v>
      </c>
    </row>
    <row r="1089" spans="1:18" x14ac:dyDescent="0.3">
      <c r="A1089" t="s">
        <v>259</v>
      </c>
      <c r="B1089" t="s">
        <v>28</v>
      </c>
      <c r="C1089" t="s">
        <v>322</v>
      </c>
      <c r="D1089">
        <v>2.5412799999999999E-3</v>
      </c>
      <c r="E1089">
        <v>3.5856199999999999E-3</v>
      </c>
      <c r="F1089">
        <v>4.1873700000000002E-3</v>
      </c>
      <c r="G1089">
        <v>4.09597E-3</v>
      </c>
      <c r="H1089">
        <v>4.0729E-3</v>
      </c>
      <c r="I1089">
        <v>4.2982200000000002E-3</v>
      </c>
      <c r="J1089">
        <v>4.3215900000000002E-3</v>
      </c>
      <c r="K1089">
        <v>4.3307399999999996E-3</v>
      </c>
      <c r="L1089">
        <v>4.3332199999999996E-3</v>
      </c>
      <c r="M1089">
        <v>4.3116600000000001E-3</v>
      </c>
      <c r="N1089">
        <v>4.2759399999999998E-3</v>
      </c>
      <c r="O1089">
        <v>0</v>
      </c>
      <c r="P1089">
        <v>0</v>
      </c>
      <c r="Q1089">
        <v>0</v>
      </c>
      <c r="R1089" t="s">
        <v>243</v>
      </c>
    </row>
    <row r="1090" spans="1:18" x14ac:dyDescent="0.3">
      <c r="A1090" t="s">
        <v>259</v>
      </c>
      <c r="B1090" t="s">
        <v>28</v>
      </c>
      <c r="C1090" t="s">
        <v>323</v>
      </c>
      <c r="D1090">
        <v>2.6406799999999999E-3</v>
      </c>
      <c r="E1090">
        <v>3.7222499999999999E-3</v>
      </c>
      <c r="F1090">
        <v>4.3452300000000003E-3</v>
      </c>
      <c r="G1090">
        <v>4.2403900000000001E-3</v>
      </c>
      <c r="H1090">
        <v>4.2164300000000002E-3</v>
      </c>
      <c r="I1090">
        <v>4.4615999999999996E-3</v>
      </c>
      <c r="J1090">
        <v>4.4841899999999999E-3</v>
      </c>
      <c r="K1090">
        <v>4.4934600000000003E-3</v>
      </c>
      <c r="L1090">
        <v>4.49643E-3</v>
      </c>
      <c r="M1090">
        <v>4.4743400000000003E-3</v>
      </c>
      <c r="N1090">
        <v>4.4363500000000004E-3</v>
      </c>
      <c r="O1090">
        <v>0</v>
      </c>
      <c r="P1090">
        <v>0</v>
      </c>
      <c r="Q1090">
        <v>0</v>
      </c>
      <c r="R1090" t="s">
        <v>243</v>
      </c>
    </row>
    <row r="1091" spans="1:18" x14ac:dyDescent="0.3">
      <c r="A1091" t="s">
        <v>259</v>
      </c>
      <c r="B1091" t="s">
        <v>16</v>
      </c>
      <c r="C1091" t="s">
        <v>261</v>
      </c>
      <c r="D1091">
        <v>2.0015201E-2</v>
      </c>
      <c r="E1091">
        <v>3.0932300999999999E-2</v>
      </c>
      <c r="F1091">
        <v>3.1136900999999901E-2</v>
      </c>
      <c r="G1091">
        <v>2.9100000000000001E-2</v>
      </c>
      <c r="H1091">
        <v>2.9939289000000001E-2</v>
      </c>
      <c r="I1091">
        <v>3.0151533000000001E-2</v>
      </c>
      <c r="J1091">
        <v>2.86275273E-2</v>
      </c>
      <c r="K1091">
        <v>2.8176695799999901E-2</v>
      </c>
      <c r="L1091">
        <v>2.7584383800000001E-2</v>
      </c>
      <c r="M1091">
        <v>2.6660298499999999E-2</v>
      </c>
      <c r="N1091">
        <v>2.5737155599999999E-2</v>
      </c>
      <c r="O1091">
        <v>0</v>
      </c>
      <c r="P1091">
        <v>0</v>
      </c>
      <c r="Q1091">
        <v>0</v>
      </c>
      <c r="R1091" t="s">
        <v>243</v>
      </c>
    </row>
    <row r="1092" spans="1:18" x14ac:dyDescent="0.3">
      <c r="A1092" t="s">
        <v>259</v>
      </c>
      <c r="B1092" t="s">
        <v>16</v>
      </c>
      <c r="C1092" t="s">
        <v>262</v>
      </c>
      <c r="D1092">
        <v>0.56277530220199901</v>
      </c>
      <c r="E1092">
        <v>0.53652820999999995</v>
      </c>
      <c r="F1092">
        <v>0.56941461099999902</v>
      </c>
      <c r="G1092">
        <v>0.49478933199999903</v>
      </c>
      <c r="H1092">
        <v>0.4508837846</v>
      </c>
      <c r="I1092">
        <v>0.43653219729999898</v>
      </c>
      <c r="J1092">
        <v>0.415944871099999</v>
      </c>
      <c r="K1092">
        <v>0.38064233889999999</v>
      </c>
      <c r="L1092">
        <v>0.32761626318999998</v>
      </c>
      <c r="M1092">
        <v>0.312904260799999</v>
      </c>
      <c r="N1092">
        <v>0.29800372586000001</v>
      </c>
      <c r="O1092">
        <v>0</v>
      </c>
      <c r="P1092">
        <v>0</v>
      </c>
      <c r="Q1092">
        <v>0</v>
      </c>
      <c r="R1092" t="s">
        <v>243</v>
      </c>
    </row>
    <row r="1093" spans="1:18" x14ac:dyDescent="0.3">
      <c r="A1093" t="s">
        <v>259</v>
      </c>
      <c r="B1093" t="s">
        <v>16</v>
      </c>
      <c r="C1093" t="s">
        <v>263</v>
      </c>
      <c r="D1093">
        <v>0.73354520000000001</v>
      </c>
      <c r="E1093">
        <v>0.81985209999999997</v>
      </c>
      <c r="F1093">
        <v>0.80461190000000005</v>
      </c>
      <c r="G1093">
        <v>0.75175899999999996</v>
      </c>
      <c r="H1093">
        <v>0.71861083000000003</v>
      </c>
      <c r="I1093">
        <v>0.74284489300000001</v>
      </c>
      <c r="J1093">
        <v>0.76451541000000001</v>
      </c>
      <c r="K1093">
        <v>0.77671016999999998</v>
      </c>
      <c r="L1093">
        <v>0.78680855000000005</v>
      </c>
      <c r="M1093">
        <v>0.79642665999999995</v>
      </c>
      <c r="N1093">
        <v>0.80273899400000004</v>
      </c>
      <c r="O1093">
        <v>0</v>
      </c>
      <c r="P1093">
        <v>0</v>
      </c>
      <c r="Q1093">
        <v>0</v>
      </c>
      <c r="R1093" t="s">
        <v>243</v>
      </c>
    </row>
    <row r="1094" spans="1:18" x14ac:dyDescent="0.3">
      <c r="A1094" t="s">
        <v>259</v>
      </c>
      <c r="B1094" t="s">
        <v>16</v>
      </c>
      <c r="C1094" t="s">
        <v>264</v>
      </c>
      <c r="D1094">
        <v>7.6489889999999897E-3</v>
      </c>
      <c r="E1094">
        <v>1.0612111E-2</v>
      </c>
      <c r="F1094">
        <v>1.3182161E-2</v>
      </c>
      <c r="G1094">
        <v>1.1603363E-2</v>
      </c>
      <c r="H1094">
        <v>1.3031361300000001E-2</v>
      </c>
      <c r="I1094">
        <v>1.2785674699999999E-2</v>
      </c>
      <c r="J1094">
        <v>1.3976633400000001E-2</v>
      </c>
      <c r="K1094">
        <v>1.50845336E-2</v>
      </c>
      <c r="L1094">
        <v>1.5627142300000001E-2</v>
      </c>
      <c r="M1094">
        <v>1.57561695E-2</v>
      </c>
      <c r="N1094">
        <v>1.5889736299999999E-2</v>
      </c>
      <c r="O1094">
        <v>0</v>
      </c>
      <c r="P1094">
        <v>0</v>
      </c>
      <c r="Q1094">
        <v>0</v>
      </c>
      <c r="R1094" t="s">
        <v>243</v>
      </c>
    </row>
    <row r="1095" spans="1:18" x14ac:dyDescent="0.3">
      <c r="A1095" t="s">
        <v>259</v>
      </c>
      <c r="B1095" t="s">
        <v>16</v>
      </c>
      <c r="C1095" t="s">
        <v>265</v>
      </c>
      <c r="D1095">
        <v>3.0854560999999999E-2</v>
      </c>
      <c r="E1095">
        <v>3.6682468000000003E-2</v>
      </c>
      <c r="F1095">
        <v>4.2354800999999997E-2</v>
      </c>
      <c r="G1095">
        <v>3.7175872999999998E-2</v>
      </c>
      <c r="H1095">
        <v>3.5602776000000003E-2</v>
      </c>
      <c r="I1095">
        <v>3.6035211099999999E-2</v>
      </c>
      <c r="J1095">
        <v>3.7186447699999903E-2</v>
      </c>
      <c r="K1095">
        <v>3.8082187199999999E-2</v>
      </c>
      <c r="L1095">
        <v>3.7869908299999998E-2</v>
      </c>
      <c r="M1095">
        <v>3.67411983E-2</v>
      </c>
      <c r="N1095">
        <v>3.5734299900000002E-2</v>
      </c>
      <c r="O1095">
        <v>0</v>
      </c>
      <c r="P1095">
        <v>0</v>
      </c>
      <c r="Q1095">
        <v>0</v>
      </c>
      <c r="R1095" t="s">
        <v>243</v>
      </c>
    </row>
    <row r="1096" spans="1:18" x14ac:dyDescent="0.3">
      <c r="A1096" t="s">
        <v>259</v>
      </c>
      <c r="B1096" t="s">
        <v>16</v>
      </c>
      <c r="C1096" t="s">
        <v>266</v>
      </c>
      <c r="D1096">
        <v>1.1354222000000001E-2</v>
      </c>
      <c r="E1096">
        <v>1.6157872E-2</v>
      </c>
      <c r="F1096">
        <v>1.9849190999999999E-2</v>
      </c>
      <c r="G1096">
        <v>1.7759072000000001E-2</v>
      </c>
      <c r="H1096">
        <v>1.88501430999999E-2</v>
      </c>
      <c r="I1096">
        <v>1.8601427899999998E-2</v>
      </c>
      <c r="J1096">
        <v>2.0044925499999901E-2</v>
      </c>
      <c r="K1096">
        <v>2.14271001999999E-2</v>
      </c>
      <c r="L1096">
        <v>2.1996705799999999E-2</v>
      </c>
      <c r="M1096">
        <v>2.1986977500000001E-2</v>
      </c>
      <c r="N1096">
        <v>2.1979018699999998E-2</v>
      </c>
      <c r="O1096">
        <v>0</v>
      </c>
      <c r="P1096">
        <v>0</v>
      </c>
      <c r="Q1096">
        <v>0</v>
      </c>
      <c r="R1096" t="s">
        <v>243</v>
      </c>
    </row>
    <row r="1097" spans="1:18" x14ac:dyDescent="0.3">
      <c r="A1097" t="s">
        <v>259</v>
      </c>
      <c r="B1097" t="s">
        <v>16</v>
      </c>
      <c r="C1097" t="s">
        <v>267</v>
      </c>
      <c r="D1097">
        <v>1.4267263000000001E-2</v>
      </c>
      <c r="E1097">
        <v>1.9408551999999999E-2</v>
      </c>
      <c r="F1097">
        <v>2.3958112E-2</v>
      </c>
      <c r="G1097">
        <v>2.1576139000000001E-2</v>
      </c>
      <c r="H1097">
        <v>2.1496886699999999E-2</v>
      </c>
      <c r="I1097">
        <v>2.2418497999999999E-2</v>
      </c>
      <c r="J1097">
        <v>2.38224548E-2</v>
      </c>
      <c r="K1097">
        <v>2.51521824E-2</v>
      </c>
      <c r="L1097">
        <v>2.56044798E-2</v>
      </c>
      <c r="M1097">
        <v>2.5366591899999999E-2</v>
      </c>
      <c r="N1097">
        <v>2.5146440400000001E-2</v>
      </c>
      <c r="O1097">
        <v>0</v>
      </c>
      <c r="P1097">
        <v>0</v>
      </c>
      <c r="Q1097">
        <v>0</v>
      </c>
      <c r="R1097" t="s">
        <v>243</v>
      </c>
    </row>
    <row r="1098" spans="1:18" x14ac:dyDescent="0.3">
      <c r="A1098" t="s">
        <v>259</v>
      </c>
      <c r="B1098" t="s">
        <v>16</v>
      </c>
      <c r="C1098" t="s">
        <v>268</v>
      </c>
      <c r="D1098">
        <v>1.6308257999999999E-2</v>
      </c>
      <c r="E1098">
        <v>2.1832087999999999E-2</v>
      </c>
      <c r="F1098">
        <v>2.6900766999999999E-2</v>
      </c>
      <c r="G1098">
        <v>2.4277961000000001E-2</v>
      </c>
      <c r="H1098">
        <v>2.39876932E-2</v>
      </c>
      <c r="I1098">
        <v>2.48565693999999E-2</v>
      </c>
      <c r="J1098">
        <v>2.6241691500000001E-2</v>
      </c>
      <c r="K1098">
        <v>2.7549808799999999E-2</v>
      </c>
      <c r="L1098">
        <v>2.79250781E-2</v>
      </c>
      <c r="M1098">
        <v>2.7554688399999999E-2</v>
      </c>
      <c r="N1098">
        <v>2.7194858499999999E-2</v>
      </c>
      <c r="O1098">
        <v>0</v>
      </c>
      <c r="P1098">
        <v>0</v>
      </c>
      <c r="Q1098">
        <v>0</v>
      </c>
      <c r="R1098" t="s">
        <v>243</v>
      </c>
    </row>
    <row r="1099" spans="1:18" x14ac:dyDescent="0.3">
      <c r="A1099" t="s">
        <v>259</v>
      </c>
      <c r="B1099" t="s">
        <v>16</v>
      </c>
      <c r="C1099" t="s">
        <v>269</v>
      </c>
      <c r="D1099">
        <v>1.8194175E-2</v>
      </c>
      <c r="E1099">
        <v>2.4024792999999999E-2</v>
      </c>
      <c r="F1099">
        <v>2.9327545999999999E-2</v>
      </c>
      <c r="G1099">
        <v>2.6391808999999999E-2</v>
      </c>
      <c r="H1099">
        <v>2.59768981999999E-2</v>
      </c>
      <c r="I1099">
        <v>2.68346800999999E-2</v>
      </c>
      <c r="J1099">
        <v>2.8198124299999901E-2</v>
      </c>
      <c r="K1099">
        <v>2.9442945099999999E-2</v>
      </c>
      <c r="L1099">
        <v>2.9735489300000001E-2</v>
      </c>
      <c r="M1099">
        <v>2.9228565200000001E-2</v>
      </c>
      <c r="N1099">
        <v>2.8737772200000001E-2</v>
      </c>
      <c r="O1099">
        <v>0</v>
      </c>
      <c r="P1099">
        <v>0</v>
      </c>
      <c r="Q1099">
        <v>0</v>
      </c>
      <c r="R1099" t="s">
        <v>243</v>
      </c>
    </row>
    <row r="1100" spans="1:18" x14ac:dyDescent="0.3">
      <c r="A1100" t="s">
        <v>259</v>
      </c>
      <c r="B1100" t="s">
        <v>16</v>
      </c>
      <c r="C1100" t="s">
        <v>270</v>
      </c>
      <c r="D1100">
        <v>2.0002710999999999E-2</v>
      </c>
      <c r="E1100">
        <v>2.6018517000000001E-2</v>
      </c>
      <c r="F1100">
        <v>3.1508416999999997E-2</v>
      </c>
      <c r="G1100">
        <v>2.8280895E-2</v>
      </c>
      <c r="H1100">
        <v>2.7746587699999999E-2</v>
      </c>
      <c r="I1100">
        <v>2.8529011199999999E-2</v>
      </c>
      <c r="J1100">
        <v>2.98404767E-2</v>
      </c>
      <c r="K1100">
        <v>3.1027650800000001E-2</v>
      </c>
      <c r="L1100">
        <v>3.1207594799999998E-2</v>
      </c>
      <c r="M1100">
        <v>3.05828792999999E-2</v>
      </c>
      <c r="N1100">
        <v>2.9986992699999899E-2</v>
      </c>
      <c r="O1100">
        <v>0</v>
      </c>
      <c r="P1100">
        <v>0</v>
      </c>
      <c r="Q1100">
        <v>0</v>
      </c>
      <c r="R1100" t="s">
        <v>243</v>
      </c>
    </row>
    <row r="1101" spans="1:18" x14ac:dyDescent="0.3">
      <c r="A1101" t="s">
        <v>259</v>
      </c>
      <c r="B1101" t="s">
        <v>16</v>
      </c>
      <c r="C1101" t="s">
        <v>271</v>
      </c>
      <c r="D1101">
        <v>2.1885696E-2</v>
      </c>
      <c r="E1101">
        <v>2.7956043999999899E-2</v>
      </c>
      <c r="F1101">
        <v>3.3595778999999999E-2</v>
      </c>
      <c r="G1101">
        <v>2.9999479999999999E-2</v>
      </c>
      <c r="H1101">
        <v>2.9377108999999998E-2</v>
      </c>
      <c r="I1101">
        <v>3.0070768000000001E-2</v>
      </c>
      <c r="J1101">
        <v>3.1336201099999898E-2</v>
      </c>
      <c r="K1101">
        <v>3.2443659499999999E-2</v>
      </c>
      <c r="L1101">
        <v>3.2527600799999903E-2</v>
      </c>
      <c r="M1101">
        <v>3.1773961900000001E-2</v>
      </c>
      <c r="N1101">
        <v>3.10626533E-2</v>
      </c>
      <c r="O1101">
        <v>0</v>
      </c>
      <c r="P1101">
        <v>0</v>
      </c>
      <c r="Q1101">
        <v>0</v>
      </c>
      <c r="R1101" t="s">
        <v>243</v>
      </c>
    </row>
    <row r="1102" spans="1:18" x14ac:dyDescent="0.3">
      <c r="A1102" t="s">
        <v>259</v>
      </c>
      <c r="B1102" t="s">
        <v>16</v>
      </c>
      <c r="C1102" t="s">
        <v>272</v>
      </c>
      <c r="D1102">
        <v>2.3860636000000001E-2</v>
      </c>
      <c r="E1102">
        <v>3.0021078999999999E-2</v>
      </c>
      <c r="F1102">
        <v>3.5708218999999999E-2</v>
      </c>
      <c r="G1102">
        <v>3.1869396000000001E-2</v>
      </c>
      <c r="H1102">
        <v>3.0946013000000001E-2</v>
      </c>
      <c r="I1102">
        <v>3.1576837899999897E-2</v>
      </c>
      <c r="J1102">
        <v>3.2804649800000002E-2</v>
      </c>
      <c r="K1102">
        <v>3.3824457799999999E-2</v>
      </c>
      <c r="L1102">
        <v>3.3798980800000003E-2</v>
      </c>
      <c r="M1102">
        <v>3.2923090399999903E-2</v>
      </c>
      <c r="N1102">
        <v>3.2122148099999998E-2</v>
      </c>
      <c r="O1102">
        <v>0</v>
      </c>
      <c r="P1102">
        <v>0</v>
      </c>
      <c r="Q1102">
        <v>0</v>
      </c>
      <c r="R1102" t="s">
        <v>243</v>
      </c>
    </row>
    <row r="1103" spans="1:18" x14ac:dyDescent="0.3">
      <c r="A1103" t="s">
        <v>259</v>
      </c>
      <c r="B1103" t="s">
        <v>16</v>
      </c>
      <c r="C1103" t="s">
        <v>273</v>
      </c>
      <c r="D1103">
        <v>2.6441760000000002E-2</v>
      </c>
      <c r="E1103">
        <v>3.2485117000000001E-2</v>
      </c>
      <c r="F1103">
        <v>3.8160886999999998E-2</v>
      </c>
      <c r="G1103">
        <v>3.3726529999999998E-2</v>
      </c>
      <c r="H1103">
        <v>3.2645100999999899E-2</v>
      </c>
      <c r="I1103">
        <v>3.3189827099999999E-2</v>
      </c>
      <c r="J1103">
        <v>3.43676012E-2</v>
      </c>
      <c r="K1103">
        <v>3.5322767999999997E-2</v>
      </c>
      <c r="L1103">
        <v>3.52223074E-2</v>
      </c>
      <c r="M1103">
        <v>3.4251627200000002E-2</v>
      </c>
      <c r="N1103">
        <v>3.3369194699999903E-2</v>
      </c>
      <c r="O1103">
        <v>0</v>
      </c>
      <c r="P1103">
        <v>0</v>
      </c>
      <c r="Q1103">
        <v>0</v>
      </c>
      <c r="R1103" t="s">
        <v>243</v>
      </c>
    </row>
    <row r="1104" spans="1:18" x14ac:dyDescent="0.3">
      <c r="A1104" t="s">
        <v>259</v>
      </c>
      <c r="B1104" t="s">
        <v>16</v>
      </c>
      <c r="C1104" t="s">
        <v>274</v>
      </c>
      <c r="D1104" s="8">
        <v>1.8318614589000001E-4</v>
      </c>
      <c r="E1104" s="8">
        <v>2.0107741472999999E-4</v>
      </c>
      <c r="F1104" s="8">
        <v>2.0399446729E-4</v>
      </c>
      <c r="G1104" s="8">
        <v>1.8322041759999999E-4</v>
      </c>
      <c r="H1104" s="8">
        <v>2.8979029376999997E-4</v>
      </c>
      <c r="I1104" s="8">
        <v>2.7478992513000001E-4</v>
      </c>
      <c r="J1104" s="8">
        <v>2.6816245861300002E-4</v>
      </c>
      <c r="K1104" s="8">
        <v>2.7425089135299898E-4</v>
      </c>
      <c r="L1104" s="8">
        <v>2.8131703149900003E-4</v>
      </c>
      <c r="M1104" s="8">
        <v>2.8427014771699899E-4</v>
      </c>
      <c r="N1104" s="8">
        <v>2.8597477609499999E-4</v>
      </c>
      <c r="O1104">
        <v>0</v>
      </c>
      <c r="P1104">
        <v>0</v>
      </c>
      <c r="Q1104">
        <v>0</v>
      </c>
      <c r="R1104" t="s">
        <v>243</v>
      </c>
    </row>
    <row r="1105" spans="1:18" x14ac:dyDescent="0.3">
      <c r="A1105" t="s">
        <v>259</v>
      </c>
      <c r="B1105" t="s">
        <v>16</v>
      </c>
      <c r="C1105" t="s">
        <v>275</v>
      </c>
      <c r="D1105" s="8">
        <v>6.9514173250000003E-4</v>
      </c>
      <c r="E1105" s="8">
        <v>6.719437528E-4</v>
      </c>
      <c r="F1105" s="8">
        <v>6.5738539610000004E-4</v>
      </c>
      <c r="G1105" s="8">
        <v>5.8701815349999995E-4</v>
      </c>
      <c r="H1105" s="8">
        <v>6.9539953538999999E-4</v>
      </c>
      <c r="I1105" s="8">
        <v>6.8821504249999999E-4</v>
      </c>
      <c r="J1105" s="8">
        <v>6.4955032378000003E-4</v>
      </c>
      <c r="K1105" s="8">
        <v>6.2504386879999997E-4</v>
      </c>
      <c r="L1105" s="8">
        <v>6.0135638960999904E-4</v>
      </c>
      <c r="M1105" s="8">
        <v>5.7236714296999896E-4</v>
      </c>
      <c r="N1105" s="8">
        <v>5.4587671680999996E-4</v>
      </c>
      <c r="O1105">
        <v>0</v>
      </c>
      <c r="P1105">
        <v>0</v>
      </c>
      <c r="Q1105">
        <v>0</v>
      </c>
      <c r="R1105" t="s">
        <v>243</v>
      </c>
    </row>
    <row r="1106" spans="1:18" x14ac:dyDescent="0.3">
      <c r="A1106" t="s">
        <v>259</v>
      </c>
      <c r="B1106" t="s">
        <v>16</v>
      </c>
      <c r="C1106" t="s">
        <v>276</v>
      </c>
      <c r="D1106" s="8">
        <v>2.6973110457999998E-4</v>
      </c>
      <c r="E1106" s="8">
        <v>3.0431768139999998E-4</v>
      </c>
      <c r="F1106" s="8">
        <v>3.0734173051000002E-4</v>
      </c>
      <c r="G1106" s="8">
        <v>2.8042076119E-4</v>
      </c>
      <c r="H1106" s="8">
        <v>4.0480653307999899E-4</v>
      </c>
      <c r="I1106" s="8">
        <v>3.8805260970999999E-4</v>
      </c>
      <c r="J1106" s="8">
        <v>3.7584320477999998E-4</v>
      </c>
      <c r="K1106" s="8">
        <v>3.8011402420199899E-4</v>
      </c>
      <c r="L1106" s="8">
        <v>3.8412649366999999E-4</v>
      </c>
      <c r="M1106" s="8">
        <v>3.8249070221600001E-4</v>
      </c>
      <c r="N1106" s="8">
        <v>3.7935588570899898E-4</v>
      </c>
      <c r="O1106">
        <v>0</v>
      </c>
      <c r="P1106">
        <v>0</v>
      </c>
      <c r="Q1106">
        <v>0</v>
      </c>
      <c r="R1106" t="s">
        <v>243</v>
      </c>
    </row>
    <row r="1107" spans="1:18" x14ac:dyDescent="0.3">
      <c r="A1107" t="s">
        <v>259</v>
      </c>
      <c r="B1107" t="s">
        <v>16</v>
      </c>
      <c r="C1107" t="s">
        <v>277</v>
      </c>
      <c r="D1107" s="8">
        <v>3.3669562011999997E-4</v>
      </c>
      <c r="E1107" s="8">
        <v>3.6416399533999898E-4</v>
      </c>
      <c r="F1107" s="8">
        <v>3.7110512685999998E-4</v>
      </c>
      <c r="G1107" s="8">
        <v>3.4069321442000002E-4</v>
      </c>
      <c r="H1107" s="8">
        <v>4.5350258913999899E-4</v>
      </c>
      <c r="I1107" s="8">
        <v>4.5872082769999998E-4</v>
      </c>
      <c r="J1107" s="8">
        <v>4.4116223003999897E-4</v>
      </c>
      <c r="K1107" s="8">
        <v>4.4107375263599899E-4</v>
      </c>
      <c r="L1107" s="8">
        <v>4.3987817561999998E-4</v>
      </c>
      <c r="M1107" s="8">
        <v>4.3270114163500002E-4</v>
      </c>
      <c r="N1107" s="8">
        <v>4.2446532781899998E-4</v>
      </c>
      <c r="O1107">
        <v>0</v>
      </c>
      <c r="P1107">
        <v>0</v>
      </c>
      <c r="Q1107">
        <v>0</v>
      </c>
      <c r="R1107" t="s">
        <v>243</v>
      </c>
    </row>
    <row r="1108" spans="1:18" x14ac:dyDescent="0.3">
      <c r="A1108" t="s">
        <v>259</v>
      </c>
      <c r="B1108" t="s">
        <v>16</v>
      </c>
      <c r="C1108" t="s">
        <v>278</v>
      </c>
      <c r="D1108" s="8">
        <v>3.8300566822000001E-4</v>
      </c>
      <c r="E1108" s="8">
        <v>4.0842096702999899E-4</v>
      </c>
      <c r="F1108" s="8">
        <v>4.1680912773E-4</v>
      </c>
      <c r="G1108" s="8">
        <v>3.8335524304000001E-4</v>
      </c>
      <c r="H1108" s="8">
        <v>4.9987051153999897E-4</v>
      </c>
      <c r="I1108" s="8">
        <v>5.0339862768999997E-4</v>
      </c>
      <c r="J1108" s="8">
        <v>4.8228372061000002E-4</v>
      </c>
      <c r="K1108" s="8">
        <v>4.7890046735200002E-4</v>
      </c>
      <c r="L1108" s="8">
        <v>4.7445500380999999E-4</v>
      </c>
      <c r="M1108" s="8">
        <v>4.6369597505000002E-4</v>
      </c>
      <c r="N1108" s="8">
        <v>4.5198219690099998E-4</v>
      </c>
      <c r="O1108">
        <v>0</v>
      </c>
      <c r="P1108">
        <v>0</v>
      </c>
      <c r="Q1108">
        <v>0</v>
      </c>
      <c r="R1108" t="s">
        <v>243</v>
      </c>
    </row>
    <row r="1109" spans="1:18" x14ac:dyDescent="0.3">
      <c r="A1109" t="s">
        <v>259</v>
      </c>
      <c r="B1109" t="s">
        <v>16</v>
      </c>
      <c r="C1109" t="s">
        <v>279</v>
      </c>
      <c r="D1109" s="8">
        <v>4.2531362575000002E-4</v>
      </c>
      <c r="E1109" s="8">
        <v>4.4817283979999999E-4</v>
      </c>
      <c r="F1109" s="8">
        <v>4.5452695373E-4</v>
      </c>
      <c r="G1109" s="8">
        <v>4.1673304779999998E-4</v>
      </c>
      <c r="H1109" s="8">
        <v>5.3615323328999999E-4</v>
      </c>
      <c r="I1109" s="8">
        <v>5.3889226079999902E-4</v>
      </c>
      <c r="J1109" s="8">
        <v>5.1501389042000003E-4</v>
      </c>
      <c r="K1109" s="8">
        <v>5.0810266546599998E-4</v>
      </c>
      <c r="L1109" s="8">
        <v>5.0056312792999904E-4</v>
      </c>
      <c r="M1109" s="8">
        <v>4.8639431946999898E-4</v>
      </c>
      <c r="N1109" s="8">
        <v>4.7163468942199998E-4</v>
      </c>
      <c r="O1109">
        <v>0</v>
      </c>
      <c r="P1109">
        <v>0</v>
      </c>
      <c r="Q1109">
        <v>0</v>
      </c>
      <c r="R1109" t="s">
        <v>243</v>
      </c>
    </row>
    <row r="1110" spans="1:18" x14ac:dyDescent="0.3">
      <c r="A1110" t="s">
        <v>259</v>
      </c>
      <c r="B1110" t="s">
        <v>16</v>
      </c>
      <c r="C1110" t="s">
        <v>280</v>
      </c>
      <c r="D1110" s="8">
        <v>4.6542453349999899E-4</v>
      </c>
      <c r="E1110" s="8">
        <v>4.8405862769999999E-4</v>
      </c>
      <c r="F1110" s="8">
        <v>4.8844469650000002E-4</v>
      </c>
      <c r="G1110" s="8">
        <v>4.4656376709999998E-4</v>
      </c>
      <c r="H1110" s="8">
        <v>5.6760786404999998E-4</v>
      </c>
      <c r="I1110" s="8">
        <v>5.6861379894999995E-4</v>
      </c>
      <c r="J1110" s="8">
        <v>5.4195177748999897E-4</v>
      </c>
      <c r="K1110" s="8">
        <v>5.3190549042399996E-4</v>
      </c>
      <c r="L1110" s="8">
        <v>5.2105238390000004E-4</v>
      </c>
      <c r="M1110" s="8">
        <v>5.0395510865999902E-4</v>
      </c>
      <c r="N1110" s="8">
        <v>4.8673773727199898E-4</v>
      </c>
      <c r="O1110">
        <v>0</v>
      </c>
      <c r="P1110">
        <v>0</v>
      </c>
      <c r="Q1110">
        <v>0</v>
      </c>
      <c r="R1110" t="s">
        <v>243</v>
      </c>
    </row>
    <row r="1111" spans="1:18" x14ac:dyDescent="0.3">
      <c r="A1111" t="s">
        <v>259</v>
      </c>
      <c r="B1111" t="s">
        <v>16</v>
      </c>
      <c r="C1111" t="s">
        <v>281</v>
      </c>
      <c r="D1111" s="8">
        <v>5.0666946700000004E-4</v>
      </c>
      <c r="E1111" s="8">
        <v>5.1867838779999997E-4</v>
      </c>
      <c r="F1111" s="8">
        <v>5.2093040789999998E-4</v>
      </c>
      <c r="G1111" s="8">
        <v>4.7370042139999999E-4</v>
      </c>
      <c r="H1111" s="8">
        <v>5.9588343285999997E-4</v>
      </c>
      <c r="I1111" s="8">
        <v>5.9499727940999904E-4</v>
      </c>
      <c r="J1111" s="8">
        <v>5.6589212166999897E-4</v>
      </c>
      <c r="K1111" s="8">
        <v>5.5248967214099995E-4</v>
      </c>
      <c r="L1111" s="8">
        <v>5.3868160457999897E-4</v>
      </c>
      <c r="M1111" s="8">
        <v>5.1862526676999898E-4</v>
      </c>
      <c r="N1111" s="8">
        <v>4.9897645737200002E-4</v>
      </c>
      <c r="O1111">
        <v>0</v>
      </c>
      <c r="P1111">
        <v>0</v>
      </c>
      <c r="Q1111">
        <v>0</v>
      </c>
      <c r="R1111" t="s">
        <v>243</v>
      </c>
    </row>
    <row r="1112" spans="1:18" x14ac:dyDescent="0.3">
      <c r="A1112" t="s">
        <v>259</v>
      </c>
      <c r="B1112" t="s">
        <v>16</v>
      </c>
      <c r="C1112" t="s">
        <v>282</v>
      </c>
      <c r="D1112" s="8">
        <v>5.493204323E-4</v>
      </c>
      <c r="E1112" s="8">
        <v>5.5528819149999905E-4</v>
      </c>
      <c r="F1112" s="8">
        <v>5.5382612829999996E-4</v>
      </c>
      <c r="G1112" s="8">
        <v>5.0322713330000002E-4</v>
      </c>
      <c r="H1112" s="8">
        <v>6.2201698369999904E-4</v>
      </c>
      <c r="I1112" s="8">
        <v>6.1980174590999903E-4</v>
      </c>
      <c r="J1112" s="8">
        <v>5.8847544608999999E-4</v>
      </c>
      <c r="K1112" s="8">
        <v>5.7175933714499901E-4</v>
      </c>
      <c r="L1112" s="8">
        <v>5.5482680761999997E-4</v>
      </c>
      <c r="M1112" s="8">
        <v>5.3199241031999902E-4</v>
      </c>
      <c r="N1112" s="8">
        <v>5.1034256885799999E-4</v>
      </c>
      <c r="O1112">
        <v>0</v>
      </c>
      <c r="P1112">
        <v>0</v>
      </c>
      <c r="Q1112">
        <v>0</v>
      </c>
      <c r="R1112" t="s">
        <v>243</v>
      </c>
    </row>
    <row r="1113" spans="1:18" x14ac:dyDescent="0.3">
      <c r="A1113" t="s">
        <v>259</v>
      </c>
      <c r="B1113" t="s">
        <v>16</v>
      </c>
      <c r="C1113" t="s">
        <v>283</v>
      </c>
      <c r="D1113" s="8">
        <v>6.0406167120000001E-4</v>
      </c>
      <c r="E1113" s="8">
        <v>5.9859114230000001E-4</v>
      </c>
      <c r="F1113" s="8">
        <v>5.920439652E-4</v>
      </c>
      <c r="G1113" s="8">
        <v>5.3255184029999997E-4</v>
      </c>
      <c r="H1113" s="8">
        <v>6.4963755523E-4</v>
      </c>
      <c r="I1113" s="8">
        <v>6.4554722551E-4</v>
      </c>
      <c r="J1113" s="8">
        <v>6.1155377779999903E-4</v>
      </c>
      <c r="K1113" s="8">
        <v>5.9159650929000004E-4</v>
      </c>
      <c r="L1113" s="8">
        <v>5.7198002228999996E-4</v>
      </c>
      <c r="M1113" s="8">
        <v>5.4675166867999999E-4</v>
      </c>
      <c r="N1113" s="8">
        <v>5.2321579493200005E-4</v>
      </c>
      <c r="O1113">
        <v>0</v>
      </c>
      <c r="P1113">
        <v>0</v>
      </c>
      <c r="Q1113">
        <v>0</v>
      </c>
      <c r="R1113" t="s">
        <v>243</v>
      </c>
    </row>
    <row r="1114" spans="1:18" x14ac:dyDescent="0.3">
      <c r="A1114" t="s">
        <v>259</v>
      </c>
      <c r="B1114" t="s">
        <v>16</v>
      </c>
      <c r="C1114" t="s">
        <v>334</v>
      </c>
      <c r="D1114">
        <v>0.12840299999999999</v>
      </c>
      <c r="E1114">
        <v>8.2646400000000002E-3</v>
      </c>
      <c r="F1114">
        <v>1.39235E-2</v>
      </c>
      <c r="G1114">
        <v>8.7865200000000008E-3</v>
      </c>
      <c r="H1114">
        <v>9.1123899999999997E-3</v>
      </c>
      <c r="I1114">
        <v>9.1423300000000006E-3</v>
      </c>
      <c r="J1114">
        <v>9.1327600000000002E-3</v>
      </c>
      <c r="K1114">
        <v>9.1658699999999996E-3</v>
      </c>
      <c r="L1114">
        <v>9.2226600000000006E-3</v>
      </c>
      <c r="M1114">
        <v>9.2428900000000001E-3</v>
      </c>
      <c r="N1114">
        <v>9.2613799999999996E-3</v>
      </c>
      <c r="O1114">
        <v>0</v>
      </c>
      <c r="P1114">
        <v>0</v>
      </c>
      <c r="Q1114">
        <v>0</v>
      </c>
      <c r="R1114" t="s">
        <v>243</v>
      </c>
    </row>
    <row r="1115" spans="1:18" x14ac:dyDescent="0.3">
      <c r="A1115" t="s">
        <v>259</v>
      </c>
      <c r="B1115" t="s">
        <v>16</v>
      </c>
      <c r="C1115" t="s">
        <v>335</v>
      </c>
      <c r="D1115">
        <v>6.4063200000000001E-3</v>
      </c>
      <c r="E1115" s="8">
        <v>3.7264299999999998E-4</v>
      </c>
      <c r="F1115" s="8">
        <v>5.9188199999999996E-4</v>
      </c>
      <c r="G1115" s="8">
        <v>3.4007699999999999E-4</v>
      </c>
      <c r="H1115" s="8">
        <v>3.4530499999999899E-4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243</v>
      </c>
    </row>
    <row r="1116" spans="1:18" x14ac:dyDescent="0.3">
      <c r="A1116" t="s">
        <v>259</v>
      </c>
      <c r="B1116" t="s">
        <v>16</v>
      </c>
      <c r="C1116" t="s">
        <v>336</v>
      </c>
      <c r="D1116">
        <v>7.2707400000000005E-2</v>
      </c>
      <c r="E1116">
        <v>4.3183900000000001E-3</v>
      </c>
      <c r="F1116">
        <v>7.2378199999999998E-3</v>
      </c>
      <c r="G1116">
        <v>4.4224299999999998E-3</v>
      </c>
      <c r="H1116">
        <v>4.55003E-3</v>
      </c>
      <c r="I1116">
        <v>4.58436E-3</v>
      </c>
      <c r="J1116">
        <v>4.5822370000000003E-3</v>
      </c>
      <c r="K1116">
        <v>4.5987110000000001E-3</v>
      </c>
      <c r="L1116">
        <v>4.62364E-3</v>
      </c>
      <c r="M1116">
        <v>4.6312560000000003E-3</v>
      </c>
      <c r="N1116">
        <v>4.6381460000000001E-3</v>
      </c>
      <c r="O1116">
        <v>0</v>
      </c>
      <c r="P1116">
        <v>0</v>
      </c>
      <c r="Q1116">
        <v>0</v>
      </c>
      <c r="R1116" t="s">
        <v>243</v>
      </c>
    </row>
    <row r="1117" spans="1:18" x14ac:dyDescent="0.3">
      <c r="A1117" t="s">
        <v>259</v>
      </c>
      <c r="B1117" t="s">
        <v>16</v>
      </c>
      <c r="C1117" t="s">
        <v>337</v>
      </c>
      <c r="D1117">
        <v>5.0277099999999998E-2</v>
      </c>
      <c r="E1117">
        <v>3.1057699999999999E-3</v>
      </c>
      <c r="F1117">
        <v>5.0566400000000003E-3</v>
      </c>
      <c r="G1117">
        <v>3.0211499999999998E-3</v>
      </c>
      <c r="H1117">
        <v>3.0595399999999999E-3</v>
      </c>
      <c r="I1117">
        <v>3.141217E-3</v>
      </c>
      <c r="J1117">
        <v>3.136214E-3</v>
      </c>
      <c r="K1117">
        <v>3.1436540000000001E-3</v>
      </c>
      <c r="L1117">
        <v>3.1566210000000001E-3</v>
      </c>
      <c r="M1117">
        <v>3.1575309999999999E-3</v>
      </c>
      <c r="N1117">
        <v>3.1585570000000002E-3</v>
      </c>
      <c r="O1117">
        <v>0</v>
      </c>
      <c r="P1117">
        <v>0</v>
      </c>
      <c r="Q1117">
        <v>0</v>
      </c>
      <c r="R1117" t="s">
        <v>243</v>
      </c>
    </row>
    <row r="1118" spans="1:18" x14ac:dyDescent="0.3">
      <c r="A1118" t="s">
        <v>259</v>
      </c>
      <c r="B1118" t="s">
        <v>16</v>
      </c>
      <c r="C1118" t="s">
        <v>338</v>
      </c>
      <c r="D1118">
        <v>3.9665699999999998E-2</v>
      </c>
      <c r="E1118">
        <v>2.4514900000000002E-3</v>
      </c>
      <c r="F1118">
        <v>3.9261900000000004E-3</v>
      </c>
      <c r="G1118">
        <v>2.3084899999999998E-3</v>
      </c>
      <c r="H1118">
        <v>2.33782E-3</v>
      </c>
      <c r="I1118">
        <v>2.399591E-3</v>
      </c>
      <c r="J1118">
        <v>2.3948770000000001E-3</v>
      </c>
      <c r="K1118">
        <v>2.4001790000000001E-3</v>
      </c>
      <c r="L1118">
        <v>2.4099259999999902E-3</v>
      </c>
      <c r="M1118">
        <v>2.4105680000000001E-3</v>
      </c>
      <c r="N1118">
        <v>2.4106800000000001E-3</v>
      </c>
      <c r="O1118">
        <v>0</v>
      </c>
      <c r="P1118">
        <v>0</v>
      </c>
      <c r="Q1118">
        <v>0</v>
      </c>
      <c r="R1118" t="s">
        <v>243</v>
      </c>
    </row>
    <row r="1119" spans="1:18" x14ac:dyDescent="0.3">
      <c r="A1119" t="s">
        <v>259</v>
      </c>
      <c r="B1119" t="s">
        <v>16</v>
      </c>
      <c r="C1119" t="s">
        <v>339</v>
      </c>
      <c r="D1119">
        <v>3.2140799999999997E-2</v>
      </c>
      <c r="E1119">
        <v>1.9803099999999999E-3</v>
      </c>
      <c r="F1119">
        <v>3.1724000000000001E-3</v>
      </c>
      <c r="G1119">
        <v>1.8561999999999999E-3</v>
      </c>
      <c r="H1119">
        <v>1.8805649999999901E-3</v>
      </c>
      <c r="I1119">
        <v>1.9327000000000001E-3</v>
      </c>
      <c r="J1119">
        <v>1.9286359999999901E-3</v>
      </c>
      <c r="K1119">
        <v>1.932181E-3</v>
      </c>
      <c r="L1119">
        <v>1.9400189999999901E-3</v>
      </c>
      <c r="M1119">
        <v>1.940104E-3</v>
      </c>
      <c r="N1119">
        <v>1.9395E-3</v>
      </c>
      <c r="O1119">
        <v>0</v>
      </c>
      <c r="P1119">
        <v>0</v>
      </c>
      <c r="Q1119">
        <v>0</v>
      </c>
      <c r="R1119" t="s">
        <v>243</v>
      </c>
    </row>
    <row r="1120" spans="1:18" x14ac:dyDescent="0.3">
      <c r="A1120" t="s">
        <v>259</v>
      </c>
      <c r="B1120" t="s">
        <v>16</v>
      </c>
      <c r="C1120" t="s">
        <v>340</v>
      </c>
      <c r="D1120">
        <v>2.63614E-2</v>
      </c>
      <c r="E1120">
        <v>1.6244199999999999E-3</v>
      </c>
      <c r="F1120">
        <v>2.5966800000000001E-3</v>
      </c>
      <c r="G1120">
        <v>1.50972E-3</v>
      </c>
      <c r="H1120">
        <v>1.5315870000000001E-3</v>
      </c>
      <c r="I1120">
        <v>1.5736789999999999E-3</v>
      </c>
      <c r="J1120">
        <v>1.5697509999999899E-3</v>
      </c>
      <c r="K1120">
        <v>1.572518E-3</v>
      </c>
      <c r="L1120">
        <v>1.5781509999999901E-3</v>
      </c>
      <c r="M1120">
        <v>1.5780950000000001E-3</v>
      </c>
      <c r="N1120">
        <v>1.5774090000000001E-3</v>
      </c>
      <c r="O1120">
        <v>0</v>
      </c>
      <c r="P1120">
        <v>0</v>
      </c>
      <c r="Q1120">
        <v>0</v>
      </c>
      <c r="R1120" t="s">
        <v>243</v>
      </c>
    </row>
    <row r="1121" spans="1:18" x14ac:dyDescent="0.3">
      <c r="A1121" t="s">
        <v>259</v>
      </c>
      <c r="B1121" t="s">
        <v>16</v>
      </c>
      <c r="C1121" t="s">
        <v>341</v>
      </c>
      <c r="D1121">
        <v>2.1434000000000002E-2</v>
      </c>
      <c r="E1121">
        <v>1.32884E-3</v>
      </c>
      <c r="F1121">
        <v>2.11539E-3</v>
      </c>
      <c r="G1121">
        <v>1.2313999999999999E-3</v>
      </c>
      <c r="H1121">
        <v>1.251902E-3</v>
      </c>
      <c r="I1121">
        <v>1.285837E-3</v>
      </c>
      <c r="J1121">
        <v>1.2823579999999999E-3</v>
      </c>
      <c r="K1121">
        <v>1.2842140000000001E-3</v>
      </c>
      <c r="L1121">
        <v>1.288546E-3</v>
      </c>
      <c r="M1121">
        <v>1.287914E-3</v>
      </c>
      <c r="N1121">
        <v>1.2865730000000001E-3</v>
      </c>
      <c r="O1121">
        <v>0</v>
      </c>
      <c r="P1121">
        <v>0</v>
      </c>
      <c r="Q1121">
        <v>0</v>
      </c>
      <c r="R1121" t="s">
        <v>243</v>
      </c>
    </row>
    <row r="1122" spans="1:18" x14ac:dyDescent="0.3">
      <c r="A1122" t="s">
        <v>259</v>
      </c>
      <c r="B1122" t="s">
        <v>16</v>
      </c>
      <c r="C1122" t="s">
        <v>342</v>
      </c>
      <c r="D1122">
        <v>1.7153100000000001E-2</v>
      </c>
      <c r="E1122">
        <v>1.0559E-3</v>
      </c>
      <c r="F1122">
        <v>1.6830300000000001E-3</v>
      </c>
      <c r="G1122" s="8">
        <v>9.6020399999999998E-4</v>
      </c>
      <c r="H1122" s="8">
        <v>9.7513400000000001E-4</v>
      </c>
      <c r="I1122">
        <v>1.0019769999999901E-3</v>
      </c>
      <c r="J1122" s="8">
        <v>9.9945299999999997E-4</v>
      </c>
      <c r="K1122">
        <v>1.0006279999999999E-3</v>
      </c>
      <c r="L1122">
        <v>1.003456E-3</v>
      </c>
      <c r="M1122" s="8">
        <v>9.0238299999999998E-4</v>
      </c>
      <c r="N1122" s="8">
        <v>2.1527579999999999E-4</v>
      </c>
      <c r="O1122">
        <v>0</v>
      </c>
      <c r="P1122">
        <v>0</v>
      </c>
      <c r="Q1122">
        <v>0</v>
      </c>
      <c r="R1122" t="s">
        <v>243</v>
      </c>
    </row>
    <row r="1123" spans="1:18" x14ac:dyDescent="0.3">
      <c r="A1123" t="s">
        <v>259</v>
      </c>
      <c r="B1123" t="s">
        <v>16</v>
      </c>
      <c r="C1123" t="s">
        <v>343</v>
      </c>
      <c r="D1123">
        <v>1.2553999999999999E-2</v>
      </c>
      <c r="E1123" s="8">
        <v>7.7343699999999997E-4</v>
      </c>
      <c r="F1123">
        <v>1.2354600000000001E-3</v>
      </c>
      <c r="G1123" s="8">
        <v>7.1749200000000002E-4</v>
      </c>
      <c r="H1123" s="8">
        <v>7.3029099999999999E-4</v>
      </c>
      <c r="I1123" s="8">
        <v>7.5041599999999995E-4</v>
      </c>
      <c r="J1123" s="8">
        <v>1.9629599999999999E-4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243</v>
      </c>
    </row>
    <row r="1124" spans="1:18" x14ac:dyDescent="0.3">
      <c r="A1124" t="s">
        <v>259</v>
      </c>
      <c r="B1124" t="s">
        <v>16</v>
      </c>
      <c r="C1124" t="s">
        <v>284</v>
      </c>
      <c r="D1124">
        <v>7.2376418188999994E-2</v>
      </c>
      <c r="E1124">
        <v>8.7746964400000002E-2</v>
      </c>
      <c r="F1124">
        <v>7.6104831499999998E-2</v>
      </c>
      <c r="G1124">
        <v>6.0404145999999999E-2</v>
      </c>
      <c r="H1124">
        <v>6.4919068499999996E-2</v>
      </c>
      <c r="I1124">
        <v>6.0108909029999998E-2</v>
      </c>
      <c r="J1124">
        <v>6.1466748639999999E-2</v>
      </c>
      <c r="K1124">
        <v>6.1734354009999902E-2</v>
      </c>
      <c r="L1124">
        <v>6.21629873869999E-2</v>
      </c>
      <c r="M1124">
        <v>6.3183457899999906E-2</v>
      </c>
      <c r="N1124">
        <v>6.4123809199999895E-2</v>
      </c>
      <c r="O1124">
        <v>0</v>
      </c>
      <c r="P1124">
        <v>0</v>
      </c>
      <c r="Q1124">
        <v>0</v>
      </c>
      <c r="R1124" t="s">
        <v>243</v>
      </c>
    </row>
    <row r="1125" spans="1:18" x14ac:dyDescent="0.3">
      <c r="A1125" t="s">
        <v>259</v>
      </c>
      <c r="B1125" t="s">
        <v>16</v>
      </c>
      <c r="C1125" t="s">
        <v>285</v>
      </c>
      <c r="D1125">
        <v>0.20871374735000001</v>
      </c>
      <c r="E1125">
        <v>0.23793631729999901</v>
      </c>
      <c r="F1125">
        <v>0.23816637900000001</v>
      </c>
      <c r="G1125">
        <v>0.20247051399999999</v>
      </c>
      <c r="H1125">
        <v>0.193282606</v>
      </c>
      <c r="I1125">
        <v>0.1915240668</v>
      </c>
      <c r="J1125">
        <v>0.18304808168</v>
      </c>
      <c r="K1125">
        <v>0.17491504937999999</v>
      </c>
      <c r="L1125">
        <v>0.16867184736999899</v>
      </c>
      <c r="M1125">
        <v>0.1618360864</v>
      </c>
      <c r="N1125">
        <v>0.1549277778</v>
      </c>
      <c r="O1125">
        <v>0</v>
      </c>
      <c r="P1125">
        <v>0</v>
      </c>
      <c r="Q1125">
        <v>0</v>
      </c>
      <c r="R1125" t="s">
        <v>243</v>
      </c>
    </row>
    <row r="1126" spans="1:18" x14ac:dyDescent="0.3">
      <c r="A1126" t="s">
        <v>259</v>
      </c>
      <c r="B1126" t="s">
        <v>16</v>
      </c>
      <c r="C1126" t="s">
        <v>286</v>
      </c>
      <c r="D1126">
        <v>0.102011218397</v>
      </c>
      <c r="E1126">
        <v>0.12715445480000001</v>
      </c>
      <c r="F1126">
        <v>0.114003675</v>
      </c>
      <c r="G1126">
        <v>9.3293946999999905E-2</v>
      </c>
      <c r="H1126">
        <v>9.5562138000000005E-2</v>
      </c>
      <c r="I1126">
        <v>8.9383076819999893E-2</v>
      </c>
      <c r="J1126">
        <v>8.9938685779999999E-2</v>
      </c>
      <c r="K1126">
        <v>8.9745968110000005E-2</v>
      </c>
      <c r="L1126">
        <v>8.9714769039999906E-2</v>
      </c>
      <c r="M1126">
        <v>9.0264990499999906E-2</v>
      </c>
      <c r="N1126">
        <v>9.0582570799999998E-2</v>
      </c>
      <c r="O1126">
        <v>0</v>
      </c>
      <c r="P1126">
        <v>0</v>
      </c>
      <c r="Q1126">
        <v>0</v>
      </c>
      <c r="R1126" t="s">
        <v>243</v>
      </c>
    </row>
    <row r="1127" spans="1:18" x14ac:dyDescent="0.3">
      <c r="A1127" t="s">
        <v>259</v>
      </c>
      <c r="B1127" t="s">
        <v>16</v>
      </c>
      <c r="C1127" t="s">
        <v>287</v>
      </c>
      <c r="D1127">
        <v>0.122999513496</v>
      </c>
      <c r="E1127">
        <v>0.14820493909999899</v>
      </c>
      <c r="F1127">
        <v>0.13712856300000001</v>
      </c>
      <c r="G1127">
        <v>0.114052419</v>
      </c>
      <c r="H1127">
        <v>0.109638137</v>
      </c>
      <c r="I1127">
        <v>0.10951094025999999</v>
      </c>
      <c r="J1127">
        <v>0.108760244809999</v>
      </c>
      <c r="K1127">
        <v>0.10755151588</v>
      </c>
      <c r="L1127">
        <v>0.106601315349999</v>
      </c>
      <c r="M1127">
        <v>0.10609208470000001</v>
      </c>
      <c r="N1127">
        <v>0.10532739269999999</v>
      </c>
      <c r="O1127">
        <v>0</v>
      </c>
      <c r="P1127">
        <v>0</v>
      </c>
      <c r="Q1127">
        <v>0</v>
      </c>
      <c r="R1127" t="s">
        <v>243</v>
      </c>
    </row>
    <row r="1128" spans="1:18" x14ac:dyDescent="0.3">
      <c r="A1128" t="s">
        <v>259</v>
      </c>
      <c r="B1128" t="s">
        <v>16</v>
      </c>
      <c r="C1128" t="s">
        <v>288</v>
      </c>
      <c r="D1128">
        <v>0.13651934241699901</v>
      </c>
      <c r="E1128">
        <v>0.1628965409</v>
      </c>
      <c r="F1128">
        <v>0.15356594300000001</v>
      </c>
      <c r="G1128">
        <v>0.12894667399999901</v>
      </c>
      <c r="H1128">
        <v>0.12359946600000001</v>
      </c>
      <c r="I1128">
        <v>0.12316091903</v>
      </c>
      <c r="J1128">
        <v>0.12143699814</v>
      </c>
      <c r="K1128">
        <v>0.11951757001</v>
      </c>
      <c r="L1128">
        <v>0.11806261368</v>
      </c>
      <c r="M1128">
        <v>0.11688626119999999</v>
      </c>
      <c r="N1128">
        <v>0.1153193946</v>
      </c>
      <c r="O1128">
        <v>0</v>
      </c>
      <c r="P1128">
        <v>0</v>
      </c>
      <c r="Q1128">
        <v>0</v>
      </c>
      <c r="R1128" t="s">
        <v>243</v>
      </c>
    </row>
    <row r="1129" spans="1:18" x14ac:dyDescent="0.3">
      <c r="A1129" t="s">
        <v>259</v>
      </c>
      <c r="B1129" t="s">
        <v>16</v>
      </c>
      <c r="C1129" t="s">
        <v>289</v>
      </c>
      <c r="D1129">
        <v>0.14815761932399901</v>
      </c>
      <c r="E1129">
        <v>0.1754462094</v>
      </c>
      <c r="F1129">
        <v>0.16703563399999999</v>
      </c>
      <c r="G1129">
        <v>0.140732737</v>
      </c>
      <c r="H1129">
        <v>0.13507998099999999</v>
      </c>
      <c r="I1129">
        <v>0.13467712710999999</v>
      </c>
      <c r="J1129">
        <v>0.132098491469999</v>
      </c>
      <c r="K1129">
        <v>0.12936744729999999</v>
      </c>
      <c r="L1129">
        <v>0.12739694913999999</v>
      </c>
      <c r="M1129">
        <v>0.12545948139999999</v>
      </c>
      <c r="N1129">
        <v>0.12307535040000001</v>
      </c>
      <c r="O1129">
        <v>0</v>
      </c>
      <c r="P1129">
        <v>0</v>
      </c>
      <c r="Q1129">
        <v>0</v>
      </c>
      <c r="R1129" t="s">
        <v>243</v>
      </c>
    </row>
    <row r="1130" spans="1:18" x14ac:dyDescent="0.3">
      <c r="A1130" t="s">
        <v>259</v>
      </c>
      <c r="B1130" t="s">
        <v>16</v>
      </c>
      <c r="C1130" t="s">
        <v>290</v>
      </c>
      <c r="D1130">
        <v>0.158564808812</v>
      </c>
      <c r="E1130">
        <v>0.18625001960000001</v>
      </c>
      <c r="F1130">
        <v>0.17906868300000001</v>
      </c>
      <c r="G1130">
        <v>0.15137502899999999</v>
      </c>
      <c r="H1130">
        <v>0.14553476099999901</v>
      </c>
      <c r="I1130">
        <v>0.14489290539999899</v>
      </c>
      <c r="J1130">
        <v>0.14135703911</v>
      </c>
      <c r="K1130">
        <v>0.1378905554</v>
      </c>
      <c r="L1130">
        <v>0.1352317099</v>
      </c>
      <c r="M1130">
        <v>0.13257212799999901</v>
      </c>
      <c r="N1130">
        <v>0.12945454619999899</v>
      </c>
      <c r="O1130">
        <v>0</v>
      </c>
      <c r="P1130">
        <v>0</v>
      </c>
      <c r="Q1130">
        <v>0</v>
      </c>
      <c r="R1130" t="s">
        <v>243</v>
      </c>
    </row>
    <row r="1131" spans="1:18" x14ac:dyDescent="0.3">
      <c r="A1131" t="s">
        <v>259</v>
      </c>
      <c r="B1131" t="s">
        <v>16</v>
      </c>
      <c r="C1131" t="s">
        <v>291</v>
      </c>
      <c r="D1131">
        <v>0.168639764877</v>
      </c>
      <c r="E1131">
        <v>0.1962144234</v>
      </c>
      <c r="F1131">
        <v>0.19051934100000001</v>
      </c>
      <c r="G1131">
        <v>0.161152248999999</v>
      </c>
      <c r="H1131">
        <v>0.15539650299999999</v>
      </c>
      <c r="I1131">
        <v>0.15448135329999901</v>
      </c>
      <c r="J1131">
        <v>0.15002153626</v>
      </c>
      <c r="K1131">
        <v>0.14568416312999899</v>
      </c>
      <c r="L1131">
        <v>0.14238725768999999</v>
      </c>
      <c r="M1131">
        <v>0.13886350250000001</v>
      </c>
      <c r="N1131">
        <v>0.1348920821</v>
      </c>
      <c r="O1131">
        <v>0</v>
      </c>
      <c r="P1131">
        <v>0</v>
      </c>
      <c r="Q1131">
        <v>0</v>
      </c>
      <c r="R1131" t="s">
        <v>243</v>
      </c>
    </row>
    <row r="1132" spans="1:18" x14ac:dyDescent="0.3">
      <c r="A1132" t="s">
        <v>259</v>
      </c>
      <c r="B1132" t="s">
        <v>16</v>
      </c>
      <c r="C1132" t="s">
        <v>292</v>
      </c>
      <c r="D1132">
        <v>0.17841753538299901</v>
      </c>
      <c r="E1132">
        <v>0.2063063996</v>
      </c>
      <c r="F1132">
        <v>0.20204132599999999</v>
      </c>
      <c r="G1132">
        <v>0.17189349799999901</v>
      </c>
      <c r="H1132">
        <v>0.164974659</v>
      </c>
      <c r="I1132">
        <v>0.16401861849999899</v>
      </c>
      <c r="J1132">
        <v>0.158647416179999</v>
      </c>
      <c r="K1132">
        <v>0.15335497453999899</v>
      </c>
      <c r="L1132">
        <v>0.14926647739999899</v>
      </c>
      <c r="M1132">
        <v>0.14482749019999999</v>
      </c>
      <c r="N1132">
        <v>0.14007076959999901</v>
      </c>
      <c r="O1132">
        <v>0</v>
      </c>
      <c r="P1132">
        <v>0</v>
      </c>
      <c r="Q1132">
        <v>0</v>
      </c>
      <c r="R1132" t="s">
        <v>243</v>
      </c>
    </row>
    <row r="1133" spans="1:18" x14ac:dyDescent="0.3">
      <c r="A1133" t="s">
        <v>259</v>
      </c>
      <c r="B1133" t="s">
        <v>16</v>
      </c>
      <c r="C1133" t="s">
        <v>293</v>
      </c>
      <c r="D1133">
        <v>0.19012398180699999</v>
      </c>
      <c r="E1133">
        <v>0.217817095799999</v>
      </c>
      <c r="F1133">
        <v>0.21535094299999999</v>
      </c>
      <c r="G1133">
        <v>0.18264462400000001</v>
      </c>
      <c r="H1133">
        <v>0.175545901</v>
      </c>
      <c r="I1133">
        <v>0.1743868288</v>
      </c>
      <c r="J1133">
        <v>0.16785349700999899</v>
      </c>
      <c r="K1133">
        <v>0.16154115390999901</v>
      </c>
      <c r="L1133">
        <v>0.15672332511000001</v>
      </c>
      <c r="M1133">
        <v>0.15140159759999999</v>
      </c>
      <c r="N1133">
        <v>0.145809822599999</v>
      </c>
      <c r="O1133">
        <v>0</v>
      </c>
      <c r="P1133">
        <v>0</v>
      </c>
      <c r="Q1133">
        <v>0</v>
      </c>
      <c r="R1133" t="s">
        <v>243</v>
      </c>
    </row>
    <row r="1134" spans="1:18" x14ac:dyDescent="0.3">
      <c r="A1134" t="s">
        <v>259</v>
      </c>
      <c r="B1134" t="s">
        <v>16</v>
      </c>
      <c r="C1134" t="s">
        <v>294</v>
      </c>
      <c r="D1134">
        <v>1.2488533162E-2</v>
      </c>
      <c r="E1134">
        <v>1.7527473389999999E-2</v>
      </c>
      <c r="F1134">
        <v>1.7527050799999999E-2</v>
      </c>
      <c r="G1134">
        <v>1.55284848999999E-2</v>
      </c>
      <c r="H1134">
        <v>1.49407969999999E-2</v>
      </c>
      <c r="I1134">
        <v>1.39479965E-2</v>
      </c>
      <c r="J1134">
        <v>1.45573308999999E-2</v>
      </c>
      <c r="K1134">
        <v>1.49571130999999E-2</v>
      </c>
      <c r="L1134">
        <v>1.5374855E-2</v>
      </c>
      <c r="M1134">
        <v>1.5859639499999901E-2</v>
      </c>
      <c r="N1134">
        <v>1.6394182600000001E-2</v>
      </c>
      <c r="O1134">
        <v>0</v>
      </c>
      <c r="P1134">
        <v>0</v>
      </c>
      <c r="Q1134">
        <v>0</v>
      </c>
      <c r="R1134" t="s">
        <v>243</v>
      </c>
    </row>
    <row r="1135" spans="1:18" x14ac:dyDescent="0.3">
      <c r="A1135" t="s">
        <v>259</v>
      </c>
      <c r="B1135" t="s">
        <v>16</v>
      </c>
      <c r="C1135" t="s">
        <v>295</v>
      </c>
      <c r="D1135">
        <v>4.7163672199999902E-2</v>
      </c>
      <c r="E1135">
        <v>5.5587158300000002E-2</v>
      </c>
      <c r="F1135">
        <v>5.6795062200000003E-2</v>
      </c>
      <c r="G1135">
        <v>4.9752242999999897E-2</v>
      </c>
      <c r="H1135">
        <v>4.8637774000000002E-2</v>
      </c>
      <c r="I1135">
        <v>4.8962326700000003E-2</v>
      </c>
      <c r="J1135">
        <v>4.8144286799999998E-2</v>
      </c>
      <c r="K1135">
        <v>4.7502628499999901E-2</v>
      </c>
      <c r="L1135">
        <v>4.7116572299999902E-2</v>
      </c>
      <c r="M1135">
        <v>4.6249741999999899E-2</v>
      </c>
      <c r="N1135">
        <v>4.5534281000000003E-2</v>
      </c>
      <c r="O1135">
        <v>0</v>
      </c>
      <c r="P1135">
        <v>0</v>
      </c>
      <c r="Q1135">
        <v>0</v>
      </c>
      <c r="R1135" t="s">
        <v>243</v>
      </c>
    </row>
    <row r="1136" spans="1:18" x14ac:dyDescent="0.3">
      <c r="A1136" t="s">
        <v>259</v>
      </c>
      <c r="B1136" t="s">
        <v>16</v>
      </c>
      <c r="C1136" t="s">
        <v>296</v>
      </c>
      <c r="D1136">
        <v>1.8376610259999999E-2</v>
      </c>
      <c r="E1136">
        <v>2.6267579169999999E-2</v>
      </c>
      <c r="F1136">
        <v>2.6434650099999998E-2</v>
      </c>
      <c r="G1136">
        <v>2.37665286E-2</v>
      </c>
      <c r="H1136">
        <v>2.2362451299999999E-2</v>
      </c>
      <c r="I1136">
        <v>2.10723123E-2</v>
      </c>
      <c r="J1136">
        <v>2.16978907E-2</v>
      </c>
      <c r="K1136">
        <v>2.2227715799999999E-2</v>
      </c>
      <c r="L1136">
        <v>2.2750255099999998E-2</v>
      </c>
      <c r="M1136">
        <v>2.3312456999999901E-2</v>
      </c>
      <c r="N1136">
        <v>2.3923165999999899E-2</v>
      </c>
      <c r="O1136">
        <v>0</v>
      </c>
      <c r="P1136">
        <v>0</v>
      </c>
      <c r="Q1136">
        <v>0</v>
      </c>
      <c r="R1136" t="s">
        <v>243</v>
      </c>
    </row>
    <row r="1137" spans="1:18" x14ac:dyDescent="0.3">
      <c r="A1137" t="s">
        <v>259</v>
      </c>
      <c r="B1137" t="s">
        <v>16</v>
      </c>
      <c r="C1137" t="s">
        <v>297</v>
      </c>
      <c r="D1137">
        <v>2.29265759999999E-2</v>
      </c>
      <c r="E1137">
        <v>3.1242663300000001E-2</v>
      </c>
      <c r="F1137">
        <v>3.1941640799999997E-2</v>
      </c>
      <c r="G1137">
        <v>2.8874924999999899E-2</v>
      </c>
      <c r="H1137">
        <v>2.5912645200000001E-2</v>
      </c>
      <c r="I1137">
        <v>2.6147667600000001E-2</v>
      </c>
      <c r="J1137">
        <v>2.6607276700000002E-2</v>
      </c>
      <c r="K1137">
        <v>2.7044053999999901E-2</v>
      </c>
      <c r="L1137">
        <v>2.7478956799999999E-2</v>
      </c>
      <c r="M1137">
        <v>2.7897318099999999E-2</v>
      </c>
      <c r="N1137">
        <v>2.8370991599999999E-2</v>
      </c>
      <c r="O1137">
        <v>0</v>
      </c>
      <c r="P1137">
        <v>0</v>
      </c>
      <c r="Q1137">
        <v>0</v>
      </c>
      <c r="R1137" t="s">
        <v>243</v>
      </c>
    </row>
    <row r="1138" spans="1:18" x14ac:dyDescent="0.3">
      <c r="A1138" t="s">
        <v>259</v>
      </c>
      <c r="B1138" t="s">
        <v>16</v>
      </c>
      <c r="C1138" t="s">
        <v>298</v>
      </c>
      <c r="D1138">
        <v>2.6069823619999901E-2</v>
      </c>
      <c r="E1138">
        <v>3.4873686199999997E-2</v>
      </c>
      <c r="F1138">
        <v>3.5894993099999897E-2</v>
      </c>
      <c r="G1138">
        <v>3.2490774E-2</v>
      </c>
      <c r="H1138">
        <v>2.9467378700000001E-2</v>
      </c>
      <c r="I1138">
        <v>2.9682566899999999E-2</v>
      </c>
      <c r="J1138">
        <v>3.0017070400000002E-2</v>
      </c>
      <c r="K1138">
        <v>3.0402452699999999E-2</v>
      </c>
      <c r="L1138">
        <v>3.0815506699999998E-2</v>
      </c>
      <c r="M1138">
        <v>3.1153429199999999E-2</v>
      </c>
      <c r="N1138">
        <v>3.1518605700000001E-2</v>
      </c>
      <c r="O1138">
        <v>0</v>
      </c>
      <c r="P1138">
        <v>0</v>
      </c>
      <c r="Q1138">
        <v>0</v>
      </c>
      <c r="R1138" t="s">
        <v>243</v>
      </c>
    </row>
    <row r="1139" spans="1:18" x14ac:dyDescent="0.3">
      <c r="A1139" t="s">
        <v>259</v>
      </c>
      <c r="B1139" t="s">
        <v>16</v>
      </c>
      <c r="C1139" t="s">
        <v>299</v>
      </c>
      <c r="D1139">
        <v>2.89387889299999E-2</v>
      </c>
      <c r="E1139">
        <v>3.8096985E-2</v>
      </c>
      <c r="F1139">
        <v>3.9161898000000001E-2</v>
      </c>
      <c r="G1139">
        <v>3.5319715000000002E-2</v>
      </c>
      <c r="H1139">
        <v>3.2459705999999998E-2</v>
      </c>
      <c r="I1139">
        <v>3.27361693E-2</v>
      </c>
      <c r="J1139">
        <v>3.29600195E-2</v>
      </c>
      <c r="K1139">
        <v>3.3247031000000003E-2</v>
      </c>
      <c r="L1139">
        <v>3.3618123899999998E-2</v>
      </c>
      <c r="M1139">
        <v>3.3829242099999997E-2</v>
      </c>
      <c r="N1139">
        <v>3.4054994599999999E-2</v>
      </c>
      <c r="O1139">
        <v>0</v>
      </c>
      <c r="P1139">
        <v>0</v>
      </c>
      <c r="Q1139">
        <v>0</v>
      </c>
      <c r="R1139" t="s">
        <v>243</v>
      </c>
    </row>
    <row r="1140" spans="1:18" x14ac:dyDescent="0.3">
      <c r="A1140" t="s">
        <v>259</v>
      </c>
      <c r="B1140" t="s">
        <v>16</v>
      </c>
      <c r="C1140" t="s">
        <v>300</v>
      </c>
      <c r="D1140">
        <v>3.1656279659999897E-2</v>
      </c>
      <c r="E1140">
        <v>4.0973632699999998E-2</v>
      </c>
      <c r="F1140">
        <v>4.21032722E-2</v>
      </c>
      <c r="G1140">
        <v>3.7847921E-2</v>
      </c>
      <c r="H1140">
        <v>3.5240708199999901E-2</v>
      </c>
      <c r="I1140">
        <v>3.5509231499999898E-2</v>
      </c>
      <c r="J1140">
        <v>3.5581262699999998E-2</v>
      </c>
      <c r="K1140">
        <v>3.5777140999999901E-2</v>
      </c>
      <c r="L1140">
        <v>3.6041785600000001E-2</v>
      </c>
      <c r="M1140">
        <v>3.6120773699999997E-2</v>
      </c>
      <c r="N1140">
        <v>3.6213386399999901E-2</v>
      </c>
      <c r="O1140">
        <v>0</v>
      </c>
      <c r="P1140">
        <v>0</v>
      </c>
      <c r="Q1140">
        <v>0</v>
      </c>
      <c r="R1140" t="s">
        <v>243</v>
      </c>
    </row>
    <row r="1141" spans="1:18" x14ac:dyDescent="0.3">
      <c r="A1141" t="s">
        <v>259</v>
      </c>
      <c r="B1141" t="s">
        <v>16</v>
      </c>
      <c r="C1141" t="s">
        <v>301</v>
      </c>
      <c r="D1141">
        <v>3.4447901570000002E-2</v>
      </c>
      <c r="E1141">
        <v>4.3717450200000001E-2</v>
      </c>
      <c r="F1141">
        <v>4.4923767099999998E-2</v>
      </c>
      <c r="G1141">
        <v>4.0148016999999897E-2</v>
      </c>
      <c r="H1141">
        <v>3.7922989999999997E-2</v>
      </c>
      <c r="I1141">
        <v>3.81758263E-2</v>
      </c>
      <c r="J1141">
        <v>3.8098796899999898E-2</v>
      </c>
      <c r="K1141">
        <v>3.8157746499999999E-2</v>
      </c>
      <c r="L1141">
        <v>3.8323144900000002E-2</v>
      </c>
      <c r="M1141">
        <v>3.8216683600000002E-2</v>
      </c>
      <c r="N1141">
        <v>3.8125220299999998E-2</v>
      </c>
      <c r="O1141">
        <v>0</v>
      </c>
      <c r="P1141">
        <v>0</v>
      </c>
      <c r="Q1141">
        <v>0</v>
      </c>
      <c r="R1141" t="s">
        <v>243</v>
      </c>
    </row>
    <row r="1142" spans="1:18" x14ac:dyDescent="0.3">
      <c r="A1142" t="s">
        <v>259</v>
      </c>
      <c r="B1142" t="s">
        <v>16</v>
      </c>
      <c r="C1142" t="s">
        <v>302</v>
      </c>
      <c r="D1142">
        <v>3.7331222849999998E-2</v>
      </c>
      <c r="E1142">
        <v>4.6584424200000002E-2</v>
      </c>
      <c r="F1142">
        <v>4.7783510899999999E-2</v>
      </c>
      <c r="G1142">
        <v>4.26505459999999E-2</v>
      </c>
      <c r="H1142">
        <v>4.0593298999999999E-2</v>
      </c>
      <c r="I1142">
        <v>4.0898883999999899E-2</v>
      </c>
      <c r="J1142">
        <v>4.0675900199999997E-2</v>
      </c>
      <c r="K1142">
        <v>4.0569381299999999E-2</v>
      </c>
      <c r="L1142">
        <v>4.0584731300000003E-2</v>
      </c>
      <c r="M1142">
        <v>4.0268866600000001E-2</v>
      </c>
      <c r="N1142">
        <v>4.0008815899999897E-2</v>
      </c>
      <c r="O1142">
        <v>0</v>
      </c>
      <c r="P1142">
        <v>0</v>
      </c>
      <c r="Q1142">
        <v>0</v>
      </c>
      <c r="R1142" t="s">
        <v>243</v>
      </c>
    </row>
    <row r="1143" spans="1:18" x14ac:dyDescent="0.3">
      <c r="A1143" t="s">
        <v>259</v>
      </c>
      <c r="B1143" t="s">
        <v>16</v>
      </c>
      <c r="C1143" t="s">
        <v>303</v>
      </c>
      <c r="D1143">
        <v>4.1026947629999998E-2</v>
      </c>
      <c r="E1143">
        <v>4.99332605E-2</v>
      </c>
      <c r="F1143">
        <v>5.1109759599999999E-2</v>
      </c>
      <c r="G1143">
        <v>4.5135871000000001E-2</v>
      </c>
      <c r="H1143">
        <v>4.3597181999999998E-2</v>
      </c>
      <c r="I1143">
        <v>4.39266623999999E-2</v>
      </c>
      <c r="J1143">
        <v>4.3487446599999903E-2</v>
      </c>
      <c r="K1143">
        <v>4.3198462399999998E-2</v>
      </c>
      <c r="L1143">
        <v>4.30852893999999E-2</v>
      </c>
      <c r="M1143">
        <v>4.2565660999999998E-2</v>
      </c>
      <c r="N1143">
        <v>4.2117795199999898E-2</v>
      </c>
      <c r="O1143">
        <v>0</v>
      </c>
      <c r="P1143">
        <v>0</v>
      </c>
      <c r="Q1143">
        <v>0</v>
      </c>
      <c r="R1143" t="s">
        <v>243</v>
      </c>
    </row>
    <row r="1144" spans="1:18" x14ac:dyDescent="0.3">
      <c r="A1144" t="s">
        <v>259</v>
      </c>
      <c r="B1144" t="s">
        <v>16</v>
      </c>
      <c r="C1144" t="s">
        <v>304</v>
      </c>
      <c r="D1144">
        <v>1.00318E-2</v>
      </c>
      <c r="E1144">
        <v>1.08492E-2</v>
      </c>
      <c r="F1144">
        <v>1.09865E-2</v>
      </c>
      <c r="G1144">
        <v>9.8019400000000003E-3</v>
      </c>
      <c r="H1144">
        <v>1.295251E-2</v>
      </c>
      <c r="I1144">
        <v>1.236015E-2</v>
      </c>
      <c r="J1144">
        <v>1.220806E-2</v>
      </c>
      <c r="K1144">
        <v>1.2970829999999999E-2</v>
      </c>
      <c r="L1144">
        <v>1.3737869999999999E-2</v>
      </c>
      <c r="M1144">
        <v>1.444844E-2</v>
      </c>
      <c r="N1144">
        <v>1.509251E-2</v>
      </c>
      <c r="O1144">
        <v>0</v>
      </c>
      <c r="P1144">
        <v>0</v>
      </c>
      <c r="Q1144">
        <v>0</v>
      </c>
      <c r="R1144" t="s">
        <v>243</v>
      </c>
    </row>
    <row r="1145" spans="1:18" x14ac:dyDescent="0.3">
      <c r="A1145" t="s">
        <v>259</v>
      </c>
      <c r="B1145" t="s">
        <v>16</v>
      </c>
      <c r="C1145" t="s">
        <v>305</v>
      </c>
      <c r="D1145">
        <v>3.6512700000000002E-2</v>
      </c>
      <c r="E1145">
        <v>3.5738100000000002E-2</v>
      </c>
      <c r="F1145">
        <v>3.5022499999999998E-2</v>
      </c>
      <c r="G1145">
        <v>3.1404399999999999E-2</v>
      </c>
      <c r="H1145">
        <v>3.1821299999999997E-2</v>
      </c>
      <c r="I1145">
        <v>3.2539270000000002E-2</v>
      </c>
      <c r="J1145">
        <v>3.2321139999999998E-2</v>
      </c>
      <c r="K1145">
        <v>3.2351289999999998E-2</v>
      </c>
      <c r="L1145">
        <v>3.2404570000000001E-2</v>
      </c>
      <c r="M1145">
        <v>3.2344860000000003E-2</v>
      </c>
      <c r="N1145">
        <v>3.2269739999999998E-2</v>
      </c>
      <c r="O1145">
        <v>0</v>
      </c>
      <c r="P1145">
        <v>0</v>
      </c>
      <c r="Q1145">
        <v>0</v>
      </c>
      <c r="R1145" t="s">
        <v>243</v>
      </c>
    </row>
    <row r="1146" spans="1:18" x14ac:dyDescent="0.3">
      <c r="A1146" t="s">
        <v>259</v>
      </c>
      <c r="B1146" t="s">
        <v>16</v>
      </c>
      <c r="C1146" t="s">
        <v>306</v>
      </c>
      <c r="D1146">
        <v>1.46856E-2</v>
      </c>
      <c r="E1146">
        <v>1.6376399999999999E-2</v>
      </c>
      <c r="F1146">
        <v>1.65177E-2</v>
      </c>
      <c r="G1146">
        <v>1.5002E-2</v>
      </c>
      <c r="H1146">
        <v>1.8223099999999999E-2</v>
      </c>
      <c r="I1146">
        <v>1.7687789999999998E-2</v>
      </c>
      <c r="J1146">
        <v>1.748038E-2</v>
      </c>
      <c r="K1146">
        <v>1.8367559999999901E-2</v>
      </c>
      <c r="L1146">
        <v>1.9194240000000001E-2</v>
      </c>
      <c r="M1146">
        <v>1.99160499999999E-2</v>
      </c>
      <c r="N1146">
        <v>2.0534230000000001E-2</v>
      </c>
      <c r="O1146">
        <v>0</v>
      </c>
      <c r="P1146">
        <v>0</v>
      </c>
      <c r="Q1146">
        <v>0</v>
      </c>
      <c r="R1146" t="s">
        <v>243</v>
      </c>
    </row>
    <row r="1147" spans="1:18" x14ac:dyDescent="0.3">
      <c r="A1147" t="s">
        <v>259</v>
      </c>
      <c r="B1147" t="s">
        <v>16</v>
      </c>
      <c r="C1147" t="s">
        <v>307</v>
      </c>
      <c r="D1147">
        <v>1.82452E-2</v>
      </c>
      <c r="E1147">
        <v>1.95648E-2</v>
      </c>
      <c r="F1147">
        <v>1.99165E-2</v>
      </c>
      <c r="G1147">
        <v>1.82265E-2</v>
      </c>
      <c r="H1147">
        <v>2.043973E-2</v>
      </c>
      <c r="I1147">
        <v>2.1036949999999999E-2</v>
      </c>
      <c r="J1147">
        <v>2.075405E-2</v>
      </c>
      <c r="K1147">
        <v>2.153333E-2</v>
      </c>
      <c r="L1147">
        <v>2.2234609999999998E-2</v>
      </c>
      <c r="M1147">
        <v>2.2796759999999999E-2</v>
      </c>
      <c r="N1147">
        <v>2.3258040000000001E-2</v>
      </c>
      <c r="O1147">
        <v>0</v>
      </c>
      <c r="P1147">
        <v>0</v>
      </c>
      <c r="Q1147">
        <v>0</v>
      </c>
      <c r="R1147" t="s">
        <v>243</v>
      </c>
    </row>
    <row r="1148" spans="1:18" x14ac:dyDescent="0.3">
      <c r="A1148" t="s">
        <v>259</v>
      </c>
      <c r="B1148" t="s">
        <v>16</v>
      </c>
      <c r="C1148" t="s">
        <v>308</v>
      </c>
      <c r="D1148">
        <v>2.0683799999999999E-2</v>
      </c>
      <c r="E1148">
        <v>2.1914400000000001E-2</v>
      </c>
      <c r="F1148">
        <v>2.2345199999999999E-2</v>
      </c>
      <c r="G1148">
        <v>2.0508800000000001E-2</v>
      </c>
      <c r="H1148">
        <v>2.25366E-2</v>
      </c>
      <c r="I1148">
        <v>2.31478899999999E-2</v>
      </c>
      <c r="J1148">
        <v>2.2851759999999999E-2</v>
      </c>
      <c r="K1148">
        <v>2.3546109999999999E-2</v>
      </c>
      <c r="L1148">
        <v>2.4164390000000001E-2</v>
      </c>
      <c r="M1148">
        <v>2.4628750000000001E-2</v>
      </c>
      <c r="N1148">
        <v>2.498146E-2</v>
      </c>
      <c r="O1148">
        <v>0</v>
      </c>
      <c r="P1148">
        <v>0</v>
      </c>
      <c r="Q1148">
        <v>0</v>
      </c>
      <c r="R1148" t="s">
        <v>243</v>
      </c>
    </row>
    <row r="1149" spans="1:18" x14ac:dyDescent="0.3">
      <c r="A1149" t="s">
        <v>259</v>
      </c>
      <c r="B1149" t="s">
        <v>16</v>
      </c>
      <c r="C1149" t="s">
        <v>309</v>
      </c>
      <c r="D1149">
        <v>2.2893799999999999E-2</v>
      </c>
      <c r="E1149">
        <v>2.4018100000000001E-2</v>
      </c>
      <c r="F1149">
        <v>2.4344399999999999E-2</v>
      </c>
      <c r="G1149">
        <v>2.2294499999999998E-2</v>
      </c>
      <c r="H1149">
        <v>2.4166099999999999E-2</v>
      </c>
      <c r="I1149">
        <v>2.4832839999999998E-2</v>
      </c>
      <c r="J1149">
        <v>2.4548589999999999E-2</v>
      </c>
      <c r="K1149">
        <v>2.5129619999999998E-2</v>
      </c>
      <c r="L1149">
        <v>2.5657369999999999E-2</v>
      </c>
      <c r="M1149">
        <v>2.601349E-2</v>
      </c>
      <c r="N1149">
        <v>2.6262689999999901E-2</v>
      </c>
      <c r="O1149">
        <v>0</v>
      </c>
      <c r="P1149">
        <v>0</v>
      </c>
      <c r="Q1149">
        <v>0</v>
      </c>
      <c r="R1149" t="s">
        <v>243</v>
      </c>
    </row>
    <row r="1150" spans="1:18" x14ac:dyDescent="0.3">
      <c r="A1150" t="s">
        <v>259</v>
      </c>
      <c r="B1150" t="s">
        <v>16</v>
      </c>
      <c r="C1150" t="s">
        <v>310</v>
      </c>
      <c r="D1150">
        <v>2.4971899999999998E-2</v>
      </c>
      <c r="E1150">
        <v>2.5911300000000002E-2</v>
      </c>
      <c r="F1150">
        <v>2.6137799999999999E-2</v>
      </c>
      <c r="G1150">
        <v>2.38903E-2</v>
      </c>
      <c r="H1150">
        <v>2.5584599999999999E-2</v>
      </c>
      <c r="I1150">
        <v>2.6253869999999999E-2</v>
      </c>
      <c r="J1150">
        <v>2.5971870000000001E-2</v>
      </c>
      <c r="K1150">
        <v>2.6450250000000002E-2</v>
      </c>
      <c r="L1150">
        <v>2.6864240000000001E-2</v>
      </c>
      <c r="M1150">
        <v>2.7126959999999999E-2</v>
      </c>
      <c r="N1150">
        <v>2.7295719999999999E-2</v>
      </c>
      <c r="O1150">
        <v>0</v>
      </c>
      <c r="P1150">
        <v>0</v>
      </c>
      <c r="Q1150">
        <v>0</v>
      </c>
      <c r="R1150" t="s">
        <v>243</v>
      </c>
    </row>
    <row r="1151" spans="1:18" x14ac:dyDescent="0.3">
      <c r="A1151" t="s">
        <v>259</v>
      </c>
      <c r="B1151" t="s">
        <v>16</v>
      </c>
      <c r="C1151" t="s">
        <v>311</v>
      </c>
      <c r="D1151">
        <v>2.7090199999999998E-2</v>
      </c>
      <c r="E1151">
        <v>2.7732099999999999E-2</v>
      </c>
      <c r="F1151">
        <v>2.7851399999999998E-2</v>
      </c>
      <c r="G1151">
        <v>2.5342099999999999E-2</v>
      </c>
      <c r="H1151">
        <v>2.6869299999999999E-2</v>
      </c>
      <c r="I1151">
        <v>2.7533479999999999E-2</v>
      </c>
      <c r="J1151">
        <v>2.7267619999999999E-2</v>
      </c>
      <c r="K1151">
        <v>2.7627760000000001E-2</v>
      </c>
      <c r="L1151">
        <v>2.7944190000000001E-2</v>
      </c>
      <c r="M1151">
        <v>2.810617E-2</v>
      </c>
      <c r="N1151">
        <v>2.8188589999999999E-2</v>
      </c>
      <c r="O1151">
        <v>0</v>
      </c>
      <c r="P1151">
        <v>0</v>
      </c>
      <c r="Q1151">
        <v>0</v>
      </c>
      <c r="R1151" t="s">
        <v>243</v>
      </c>
    </row>
    <row r="1152" spans="1:18" x14ac:dyDescent="0.3">
      <c r="A1152" t="s">
        <v>259</v>
      </c>
      <c r="B1152" t="s">
        <v>16</v>
      </c>
      <c r="C1152" t="s">
        <v>312</v>
      </c>
      <c r="D1152">
        <v>2.9259299999999999E-2</v>
      </c>
      <c r="E1152">
        <v>2.96511E-2</v>
      </c>
      <c r="F1152">
        <v>2.9582500000000001E-2</v>
      </c>
      <c r="G1152">
        <v>2.6921799999999999E-2</v>
      </c>
      <c r="H1152">
        <v>2.8076899999999998E-2</v>
      </c>
      <c r="I1152">
        <v>2.8766380000000001E-2</v>
      </c>
      <c r="J1152">
        <v>2.8532999999999999E-2</v>
      </c>
      <c r="K1152">
        <v>2.8775969999999901E-2</v>
      </c>
      <c r="L1152">
        <v>2.898678E-2</v>
      </c>
      <c r="M1152">
        <v>2.9058569999999999E-2</v>
      </c>
      <c r="N1152">
        <v>2.90806799999999E-2</v>
      </c>
      <c r="O1152">
        <v>0</v>
      </c>
      <c r="P1152">
        <v>0</v>
      </c>
      <c r="Q1152">
        <v>0</v>
      </c>
      <c r="R1152" t="s">
        <v>243</v>
      </c>
    </row>
    <row r="1153" spans="1:18" x14ac:dyDescent="0.3">
      <c r="A1153" t="s">
        <v>259</v>
      </c>
      <c r="B1153" t="s">
        <v>16</v>
      </c>
      <c r="C1153" t="s">
        <v>313</v>
      </c>
      <c r="D1153">
        <v>3.2009599999999999E-2</v>
      </c>
      <c r="E1153">
        <v>3.1912900000000001E-2</v>
      </c>
      <c r="F1153">
        <v>3.1589199999999998E-2</v>
      </c>
      <c r="G1153">
        <v>2.8490600000000001E-2</v>
      </c>
      <c r="H1153">
        <v>2.9402299999999999E-2</v>
      </c>
      <c r="I1153">
        <v>3.0101949999999999E-2</v>
      </c>
      <c r="J1153">
        <v>2.9885330000000002E-2</v>
      </c>
      <c r="K1153">
        <v>3.00259999999999E-2</v>
      </c>
      <c r="L1153">
        <v>3.01658E-2</v>
      </c>
      <c r="M1153">
        <v>3.0179939999999999E-2</v>
      </c>
      <c r="N1153">
        <v>3.0157799999999998E-2</v>
      </c>
      <c r="O1153">
        <v>0</v>
      </c>
      <c r="P1153">
        <v>0</v>
      </c>
      <c r="Q1153">
        <v>0</v>
      </c>
      <c r="R1153" t="s">
        <v>243</v>
      </c>
    </row>
    <row r="1154" spans="1:18" x14ac:dyDescent="0.3">
      <c r="A1154" t="s">
        <v>259</v>
      </c>
      <c r="B1154" t="s">
        <v>16</v>
      </c>
      <c r="C1154" t="s">
        <v>314</v>
      </c>
      <c r="D1154" s="8">
        <v>6.2407319000000005E-4</v>
      </c>
      <c r="E1154" s="8">
        <v>6.6915330999999998E-4</v>
      </c>
      <c r="F1154" s="8">
        <v>6.7196056999999998E-4</v>
      </c>
      <c r="G1154" s="8">
        <v>5.9525579999999999E-4</v>
      </c>
      <c r="H1154" s="8">
        <v>8.1377988999999996E-4</v>
      </c>
      <c r="I1154" s="8">
        <v>7.6711217999999996E-4</v>
      </c>
      <c r="J1154" s="8">
        <v>7.6031643000000005E-4</v>
      </c>
      <c r="K1154" s="8">
        <v>8.1134888999999995E-4</v>
      </c>
      <c r="L1154" s="8">
        <v>8.6234832E-4</v>
      </c>
      <c r="M1154" s="8">
        <v>9.1150973999999999E-4</v>
      </c>
      <c r="N1154" s="8">
        <v>9.5626950999999996E-4</v>
      </c>
      <c r="O1154">
        <v>0</v>
      </c>
      <c r="P1154">
        <v>0</v>
      </c>
      <c r="Q1154">
        <v>0</v>
      </c>
      <c r="R1154" t="s">
        <v>243</v>
      </c>
    </row>
    <row r="1155" spans="1:18" x14ac:dyDescent="0.3">
      <c r="A1155" t="s">
        <v>259</v>
      </c>
      <c r="B1155" t="s">
        <v>16</v>
      </c>
      <c r="C1155" t="s">
        <v>315</v>
      </c>
      <c r="D1155">
        <v>3.2487432000000002E-3</v>
      </c>
      <c r="E1155">
        <v>3.1558790999999999E-3</v>
      </c>
      <c r="F1155">
        <v>3.0666012999999901E-3</v>
      </c>
      <c r="G1155">
        <v>2.7285507E-3</v>
      </c>
      <c r="H1155">
        <v>2.7509325599999902E-3</v>
      </c>
      <c r="I1155">
        <v>2.7702145599999999E-3</v>
      </c>
      <c r="J1155">
        <v>2.7250449000000001E-3</v>
      </c>
      <c r="K1155">
        <v>2.7051685100000001E-3</v>
      </c>
      <c r="L1155">
        <v>2.6855553000000002E-3</v>
      </c>
      <c r="M1155">
        <v>2.65830524E-3</v>
      </c>
      <c r="N1155">
        <v>2.6261896700000001E-3</v>
      </c>
      <c r="O1155">
        <v>0</v>
      </c>
      <c r="P1155">
        <v>0</v>
      </c>
      <c r="Q1155">
        <v>0</v>
      </c>
      <c r="R1155" t="s">
        <v>243</v>
      </c>
    </row>
    <row r="1156" spans="1:18" x14ac:dyDescent="0.3">
      <c r="A1156" t="s">
        <v>259</v>
      </c>
      <c r="B1156" t="s">
        <v>16</v>
      </c>
      <c r="C1156" t="s">
        <v>316</v>
      </c>
      <c r="D1156" s="8">
        <v>9.5409960000000002E-4</v>
      </c>
      <c r="E1156">
        <v>1.0673644E-3</v>
      </c>
      <c r="F1156">
        <v>1.0701539799999899E-3</v>
      </c>
      <c r="G1156" s="8">
        <v>9.6805323999999999E-4</v>
      </c>
      <c r="H1156">
        <v>1.22468773E-3</v>
      </c>
      <c r="I1156">
        <v>1.16552532E-3</v>
      </c>
      <c r="J1156">
        <v>1.14959348E-3</v>
      </c>
      <c r="K1156">
        <v>1.2190425199999999E-3</v>
      </c>
      <c r="L1156">
        <v>1.28377033E-3</v>
      </c>
      <c r="M1156">
        <v>1.3439541099999901E-3</v>
      </c>
      <c r="N1156">
        <v>1.39585638E-3</v>
      </c>
      <c r="O1156">
        <v>0</v>
      </c>
      <c r="P1156">
        <v>0</v>
      </c>
      <c r="Q1156">
        <v>0</v>
      </c>
      <c r="R1156" t="s">
        <v>243</v>
      </c>
    </row>
    <row r="1157" spans="1:18" x14ac:dyDescent="0.3">
      <c r="A1157" t="s">
        <v>259</v>
      </c>
      <c r="B1157" t="s">
        <v>16</v>
      </c>
      <c r="C1157" t="s">
        <v>317</v>
      </c>
      <c r="D1157">
        <v>1.2287487E-3</v>
      </c>
      <c r="E1157">
        <v>1.3211073000000001E-3</v>
      </c>
      <c r="F1157">
        <v>1.3427866999999999E-3</v>
      </c>
      <c r="G1157">
        <v>1.2275398E-3</v>
      </c>
      <c r="H1157">
        <v>1.4194423299999999E-3</v>
      </c>
      <c r="I1157">
        <v>1.45277285E-3</v>
      </c>
      <c r="J1157">
        <v>1.4247405400000001E-3</v>
      </c>
      <c r="K1157">
        <v>1.49315926E-3</v>
      </c>
      <c r="L1157">
        <v>1.5552601699999999E-3</v>
      </c>
      <c r="M1157">
        <v>1.6089676300000001E-3</v>
      </c>
      <c r="N1157">
        <v>1.6528656999999999E-3</v>
      </c>
      <c r="O1157">
        <v>0</v>
      </c>
      <c r="P1157">
        <v>0</v>
      </c>
      <c r="Q1157">
        <v>0</v>
      </c>
      <c r="R1157" t="s">
        <v>243</v>
      </c>
    </row>
    <row r="1158" spans="1:18" x14ac:dyDescent="0.3">
      <c r="A1158" t="s">
        <v>259</v>
      </c>
      <c r="B1158" t="s">
        <v>16</v>
      </c>
      <c r="C1158" t="s">
        <v>318</v>
      </c>
      <c r="D1158">
        <v>1.4304999999999999E-3</v>
      </c>
      <c r="E1158">
        <v>1.522437E-3</v>
      </c>
      <c r="F1158">
        <v>1.5546416E-3</v>
      </c>
      <c r="G1158">
        <v>1.4287332999999901E-3</v>
      </c>
      <c r="H1158">
        <v>1.6212696E-3</v>
      </c>
      <c r="I1158">
        <v>1.6536625099999899E-3</v>
      </c>
      <c r="J1158">
        <v>1.6196777700000001E-3</v>
      </c>
      <c r="K1158">
        <v>1.68679984E-3</v>
      </c>
      <c r="L1158">
        <v>1.7468634999999999E-3</v>
      </c>
      <c r="M1158">
        <v>1.7965101099999901E-3</v>
      </c>
      <c r="N1158">
        <v>1.8334728100000001E-3</v>
      </c>
      <c r="O1158">
        <v>0</v>
      </c>
      <c r="P1158">
        <v>0</v>
      </c>
      <c r="Q1158">
        <v>0</v>
      </c>
      <c r="R1158" t="s">
        <v>243</v>
      </c>
    </row>
    <row r="1159" spans="1:18" x14ac:dyDescent="0.3">
      <c r="A1159" t="s">
        <v>259</v>
      </c>
      <c r="B1159" t="s">
        <v>16</v>
      </c>
      <c r="C1159" t="s">
        <v>319</v>
      </c>
      <c r="D1159">
        <v>1.6247511999999899E-3</v>
      </c>
      <c r="E1159">
        <v>1.7152926E-3</v>
      </c>
      <c r="F1159">
        <v>1.7423345000000001E-3</v>
      </c>
      <c r="G1159">
        <v>1.5990010999999899E-3</v>
      </c>
      <c r="H1159">
        <v>1.79325118E-3</v>
      </c>
      <c r="I1159">
        <v>1.8285053600000001E-3</v>
      </c>
      <c r="J1159">
        <v>1.79116146E-3</v>
      </c>
      <c r="K1159">
        <v>1.85254812E-3</v>
      </c>
      <c r="L1159">
        <v>1.90808064E-3</v>
      </c>
      <c r="M1159">
        <v>1.9501489599999999E-3</v>
      </c>
      <c r="N1159">
        <v>1.9780486999999999E-3</v>
      </c>
      <c r="O1159">
        <v>0</v>
      </c>
      <c r="P1159">
        <v>0</v>
      </c>
      <c r="Q1159">
        <v>0</v>
      </c>
      <c r="R1159" t="s">
        <v>243</v>
      </c>
    </row>
    <row r="1160" spans="1:18" x14ac:dyDescent="0.3">
      <c r="A1160" t="s">
        <v>259</v>
      </c>
      <c r="B1160" t="s">
        <v>16</v>
      </c>
      <c r="C1160" t="s">
        <v>320</v>
      </c>
      <c r="D1160">
        <v>1.8191539999999999E-3</v>
      </c>
      <c r="E1160">
        <v>1.9011198999999901E-3</v>
      </c>
      <c r="F1160">
        <v>1.9231646E-3</v>
      </c>
      <c r="G1160">
        <v>1.7629265999999999E-3</v>
      </c>
      <c r="H1160">
        <v>1.9545986300000002E-3</v>
      </c>
      <c r="I1160">
        <v>1.9879568899999998E-3</v>
      </c>
      <c r="J1160">
        <v>1.9465409800000001E-3</v>
      </c>
      <c r="K1160">
        <v>2.00145067E-3</v>
      </c>
      <c r="L1160">
        <v>2.0476163299999999E-3</v>
      </c>
      <c r="M1160">
        <v>2.08132245E-3</v>
      </c>
      <c r="N1160">
        <v>2.1004044899999999E-3</v>
      </c>
      <c r="O1160">
        <v>0</v>
      </c>
      <c r="P1160">
        <v>0</v>
      </c>
      <c r="Q1160">
        <v>0</v>
      </c>
      <c r="R1160" t="s">
        <v>243</v>
      </c>
    </row>
    <row r="1161" spans="1:18" x14ac:dyDescent="0.3">
      <c r="A1161" t="s">
        <v>259</v>
      </c>
      <c r="B1161" t="s">
        <v>16</v>
      </c>
      <c r="C1161" t="s">
        <v>321</v>
      </c>
      <c r="D1161">
        <v>2.0313008E-3</v>
      </c>
      <c r="E1161">
        <v>2.0930956999999999E-3</v>
      </c>
      <c r="F1161">
        <v>2.1093133999999999E-3</v>
      </c>
      <c r="G1161">
        <v>1.9237563000000001E-3</v>
      </c>
      <c r="H1161">
        <v>2.1118429299999998E-3</v>
      </c>
      <c r="I1161">
        <v>2.14211077E-3</v>
      </c>
      <c r="J1161">
        <v>2.0984767800000001E-3</v>
      </c>
      <c r="K1161">
        <v>2.1429086E-3</v>
      </c>
      <c r="L1161">
        <v>2.1791192099999998E-3</v>
      </c>
      <c r="M1161">
        <v>2.2009674700000001E-3</v>
      </c>
      <c r="N1161">
        <v>2.2082275299999902E-3</v>
      </c>
      <c r="O1161">
        <v>0</v>
      </c>
      <c r="P1161">
        <v>0</v>
      </c>
      <c r="Q1161">
        <v>0</v>
      </c>
      <c r="R1161" t="s">
        <v>243</v>
      </c>
    </row>
    <row r="1162" spans="1:18" x14ac:dyDescent="0.3">
      <c r="A1162" t="s">
        <v>259</v>
      </c>
      <c r="B1162" t="s">
        <v>16</v>
      </c>
      <c r="C1162" t="s">
        <v>322</v>
      </c>
      <c r="D1162">
        <v>2.2664042000000001E-3</v>
      </c>
      <c r="E1162">
        <v>2.3126076999999902E-3</v>
      </c>
      <c r="F1162">
        <v>2.3133766999999901E-3</v>
      </c>
      <c r="G1162">
        <v>2.1138884000000001E-3</v>
      </c>
      <c r="H1162">
        <v>2.2692778400000002E-3</v>
      </c>
      <c r="I1162">
        <v>2.2998867099999999E-3</v>
      </c>
      <c r="J1162">
        <v>2.2567276999999998E-3</v>
      </c>
      <c r="K1162">
        <v>2.2874868500000001E-3</v>
      </c>
      <c r="L1162">
        <v>2.30953904E-3</v>
      </c>
      <c r="M1162">
        <v>2.3178456800000001E-3</v>
      </c>
      <c r="N1162">
        <v>2.3140560699999998E-3</v>
      </c>
      <c r="O1162">
        <v>0</v>
      </c>
      <c r="P1162">
        <v>0</v>
      </c>
      <c r="Q1162">
        <v>0</v>
      </c>
      <c r="R1162" t="s">
        <v>243</v>
      </c>
    </row>
    <row r="1163" spans="1:18" x14ac:dyDescent="0.3">
      <c r="A1163" t="s">
        <v>259</v>
      </c>
      <c r="B1163" t="s">
        <v>16</v>
      </c>
      <c r="C1163" t="s">
        <v>323</v>
      </c>
      <c r="D1163">
        <v>2.5976058000000001E-3</v>
      </c>
      <c r="E1163">
        <v>2.5992465000000001E-3</v>
      </c>
      <c r="F1163">
        <v>2.5738781E-3</v>
      </c>
      <c r="G1163">
        <v>2.3203454999999999E-3</v>
      </c>
      <c r="H1163">
        <v>2.4487935900000001E-3</v>
      </c>
      <c r="I1163">
        <v>2.4765757100000002E-3</v>
      </c>
      <c r="J1163">
        <v>2.4327897000000001E-3</v>
      </c>
      <c r="K1163">
        <v>2.44646275E-3</v>
      </c>
      <c r="L1163">
        <v>2.45382819E-3</v>
      </c>
      <c r="M1163">
        <v>2.44838759E-3</v>
      </c>
      <c r="N1163">
        <v>2.4324329199999998E-3</v>
      </c>
      <c r="O1163">
        <v>0</v>
      </c>
      <c r="P1163">
        <v>0</v>
      </c>
      <c r="Q1163">
        <v>0</v>
      </c>
      <c r="R1163" t="s">
        <v>243</v>
      </c>
    </row>
    <row r="1164" spans="1:18" x14ac:dyDescent="0.3">
      <c r="A1164" t="s">
        <v>259</v>
      </c>
      <c r="B1164" t="s">
        <v>22</v>
      </c>
      <c r="C1164" t="s">
        <v>261</v>
      </c>
      <c r="D1164">
        <v>5.3373099999999996E-3</v>
      </c>
      <c r="E1164">
        <v>1.6903799899999999E-2</v>
      </c>
      <c r="F1164">
        <v>1.8180400100000001E-2</v>
      </c>
      <c r="G1164">
        <v>1.7444899899999901E-2</v>
      </c>
      <c r="H1164">
        <v>1.66469154E-2</v>
      </c>
      <c r="I1164">
        <v>1.7387857699999999E-2</v>
      </c>
      <c r="J1164">
        <v>1.6593772480000001E-2</v>
      </c>
      <c r="K1164">
        <v>1.5930415140000001E-2</v>
      </c>
      <c r="L1164">
        <v>1.51282040399999E-2</v>
      </c>
      <c r="M1164">
        <v>1.4176866329999999E-2</v>
      </c>
      <c r="N1164">
        <v>1.3250729399999999E-2</v>
      </c>
      <c r="O1164">
        <v>0</v>
      </c>
      <c r="P1164">
        <v>0</v>
      </c>
      <c r="Q1164">
        <v>0</v>
      </c>
      <c r="R1164" t="s">
        <v>243</v>
      </c>
    </row>
    <row r="1165" spans="1:18" x14ac:dyDescent="0.3">
      <c r="A1165" t="s">
        <v>259</v>
      </c>
      <c r="B1165" t="s">
        <v>22</v>
      </c>
      <c r="C1165" t="s">
        <v>262</v>
      </c>
      <c r="D1165">
        <v>2.7583433499999898E-3</v>
      </c>
      <c r="E1165">
        <v>8.3637247999999997E-3</v>
      </c>
      <c r="F1165">
        <v>8.4513980000000006E-3</v>
      </c>
      <c r="G1165">
        <v>9.9679135999999908E-3</v>
      </c>
      <c r="H1165">
        <v>9.4089974299999997E-3</v>
      </c>
      <c r="I1165">
        <v>1.1072048006E-2</v>
      </c>
      <c r="J1165">
        <v>1.1749896881E-2</v>
      </c>
      <c r="K1165">
        <v>1.1822755317E-2</v>
      </c>
      <c r="L1165">
        <v>1.10798434172999E-2</v>
      </c>
      <c r="M1165">
        <v>1.0796322045000001E-2</v>
      </c>
      <c r="N1165">
        <v>1.0369304907999999E-2</v>
      </c>
      <c r="O1165">
        <v>0</v>
      </c>
      <c r="P1165">
        <v>0</v>
      </c>
      <c r="Q1165">
        <v>0</v>
      </c>
      <c r="R1165" t="s">
        <v>243</v>
      </c>
    </row>
    <row r="1166" spans="1:18" x14ac:dyDescent="0.3">
      <c r="A1166" t="s">
        <v>259</v>
      </c>
      <c r="B1166" t="s">
        <v>22</v>
      </c>
      <c r="C1166" t="s">
        <v>263</v>
      </c>
      <c r="D1166">
        <v>1.8954919099999998E-2</v>
      </c>
      <c r="E1166">
        <v>5.3642539999999898E-2</v>
      </c>
      <c r="F1166">
        <v>5.1243360000000002E-2</v>
      </c>
      <c r="G1166">
        <v>5.53166005E-2</v>
      </c>
      <c r="H1166">
        <v>5.2377820399999997E-2</v>
      </c>
      <c r="I1166">
        <v>6.1299965599999999E-2</v>
      </c>
      <c r="J1166">
        <v>6.6156056800000002E-2</v>
      </c>
      <c r="K1166">
        <v>6.9613482099999999E-2</v>
      </c>
      <c r="L1166">
        <v>7.2267314699999904E-2</v>
      </c>
      <c r="M1166">
        <v>7.4120486399999894E-2</v>
      </c>
      <c r="N1166">
        <v>7.4926457899999993E-2</v>
      </c>
      <c r="O1166">
        <v>0</v>
      </c>
      <c r="P1166">
        <v>0</v>
      </c>
      <c r="Q1166">
        <v>0</v>
      </c>
      <c r="R1166" t="s">
        <v>243</v>
      </c>
    </row>
    <row r="1167" spans="1:18" x14ac:dyDescent="0.3">
      <c r="A1167" t="s">
        <v>259</v>
      </c>
      <c r="B1167" t="s">
        <v>22</v>
      </c>
      <c r="C1167" t="s">
        <v>264</v>
      </c>
      <c r="D1167" s="8">
        <v>8.0282388630000001E-4</v>
      </c>
      <c r="E1167">
        <v>1.0468078529999999E-3</v>
      </c>
      <c r="F1167" s="8">
        <v>8.8771686000000002E-4</v>
      </c>
      <c r="G1167" s="8">
        <v>9.3290395000000001E-4</v>
      </c>
      <c r="H1167" s="8">
        <v>9.5258147199999896E-4</v>
      </c>
      <c r="I1167">
        <v>1.082255675E-3</v>
      </c>
      <c r="J1167">
        <v>1.2443820769999999E-3</v>
      </c>
      <c r="K1167">
        <v>1.3250915909999901E-3</v>
      </c>
      <c r="L1167">
        <v>1.359151944E-3</v>
      </c>
      <c r="M1167">
        <v>1.3583263909999999E-3</v>
      </c>
      <c r="N1167">
        <v>1.3578256260000001E-3</v>
      </c>
      <c r="O1167">
        <v>0</v>
      </c>
      <c r="P1167">
        <v>0</v>
      </c>
      <c r="Q1167">
        <v>0</v>
      </c>
      <c r="R1167" t="s">
        <v>243</v>
      </c>
    </row>
    <row r="1168" spans="1:18" x14ac:dyDescent="0.3">
      <c r="A1168" t="s">
        <v>259</v>
      </c>
      <c r="B1168" t="s">
        <v>22</v>
      </c>
      <c r="C1168" t="s">
        <v>265</v>
      </c>
      <c r="D1168">
        <v>3.2234127245999999E-3</v>
      </c>
      <c r="E1168">
        <v>3.7670873200000001E-3</v>
      </c>
      <c r="F1168">
        <v>3.51888278E-3</v>
      </c>
      <c r="G1168">
        <v>4.3787184200000002E-3</v>
      </c>
      <c r="H1168">
        <v>4.0592066000000003E-3</v>
      </c>
      <c r="I1168">
        <v>4.1195613500000002E-3</v>
      </c>
      <c r="J1168">
        <v>4.0526629759999998E-3</v>
      </c>
      <c r="K1168">
        <v>3.9961438379999999E-3</v>
      </c>
      <c r="L1168">
        <v>3.83644782E-3</v>
      </c>
      <c r="M1168">
        <v>3.6092961189999901E-3</v>
      </c>
      <c r="N1168">
        <v>3.39964895899999E-3</v>
      </c>
      <c r="O1168">
        <v>0</v>
      </c>
      <c r="P1168">
        <v>0</v>
      </c>
      <c r="Q1168">
        <v>0</v>
      </c>
      <c r="R1168" t="s">
        <v>243</v>
      </c>
    </row>
    <row r="1169" spans="1:18" x14ac:dyDescent="0.3">
      <c r="A1169" t="s">
        <v>259</v>
      </c>
      <c r="B1169" t="s">
        <v>22</v>
      </c>
      <c r="C1169" t="s">
        <v>266</v>
      </c>
      <c r="D1169">
        <v>1.2132450628E-3</v>
      </c>
      <c r="E1169">
        <v>1.63389425E-3</v>
      </c>
      <c r="F1169">
        <v>1.41502084E-3</v>
      </c>
      <c r="G1169">
        <v>1.5608355199999899E-3</v>
      </c>
      <c r="H1169">
        <v>1.5223507279999899E-3</v>
      </c>
      <c r="I1169">
        <v>1.693273856E-3</v>
      </c>
      <c r="J1169">
        <v>1.8861671460000001E-3</v>
      </c>
      <c r="K1169">
        <v>1.98039375299999E-3</v>
      </c>
      <c r="L1169">
        <v>2.0010735939999902E-3</v>
      </c>
      <c r="M1169">
        <v>1.9716400310000001E-3</v>
      </c>
      <c r="N1169">
        <v>1.9406490179999999E-3</v>
      </c>
      <c r="O1169">
        <v>0</v>
      </c>
      <c r="P1169">
        <v>0</v>
      </c>
      <c r="Q1169">
        <v>0</v>
      </c>
      <c r="R1169" t="s">
        <v>243</v>
      </c>
    </row>
    <row r="1170" spans="1:18" x14ac:dyDescent="0.3">
      <c r="A1170" t="s">
        <v>259</v>
      </c>
      <c r="B1170" t="s">
        <v>22</v>
      </c>
      <c r="C1170" t="s">
        <v>267</v>
      </c>
      <c r="D1170">
        <v>1.5314688743999999E-3</v>
      </c>
      <c r="E1170">
        <v>1.9751297110000001E-3</v>
      </c>
      <c r="F1170">
        <v>1.7565395899999999E-3</v>
      </c>
      <c r="G1170">
        <v>1.9945359099999998E-3</v>
      </c>
      <c r="H1170">
        <v>1.83384559E-3</v>
      </c>
      <c r="I1170">
        <v>2.1339428789999902E-3</v>
      </c>
      <c r="J1170">
        <v>2.3122292710000001E-3</v>
      </c>
      <c r="K1170">
        <v>2.3896060220000002E-3</v>
      </c>
      <c r="L1170">
        <v>2.3821752330000002E-3</v>
      </c>
      <c r="M1170">
        <v>2.3178656630000001E-3</v>
      </c>
      <c r="N1170">
        <v>2.2530862000000001E-3</v>
      </c>
      <c r="O1170">
        <v>0</v>
      </c>
      <c r="P1170">
        <v>0</v>
      </c>
      <c r="Q1170">
        <v>0</v>
      </c>
      <c r="R1170" t="s">
        <v>243</v>
      </c>
    </row>
    <row r="1171" spans="1:18" x14ac:dyDescent="0.3">
      <c r="A1171" t="s">
        <v>259</v>
      </c>
      <c r="B1171" t="s">
        <v>22</v>
      </c>
      <c r="C1171" t="s">
        <v>268</v>
      </c>
      <c r="D1171">
        <v>1.7509639241E-3</v>
      </c>
      <c r="E1171">
        <v>2.227134535E-3</v>
      </c>
      <c r="F1171">
        <v>2.00950239E-3</v>
      </c>
      <c r="G1171">
        <v>2.3267690200000002E-3</v>
      </c>
      <c r="H1171">
        <v>2.13740537E-3</v>
      </c>
      <c r="I1171">
        <v>2.4368355140000002E-3</v>
      </c>
      <c r="J1171">
        <v>2.596701944E-3</v>
      </c>
      <c r="K1171">
        <v>2.6618688009999998E-3</v>
      </c>
      <c r="L1171">
        <v>2.6358507019999902E-3</v>
      </c>
      <c r="M1171">
        <v>2.5485804870000002E-3</v>
      </c>
      <c r="N1171">
        <v>2.4597550399999999E-3</v>
      </c>
      <c r="O1171">
        <v>0</v>
      </c>
      <c r="P1171">
        <v>0</v>
      </c>
      <c r="Q1171">
        <v>0</v>
      </c>
      <c r="R1171" t="s">
        <v>243</v>
      </c>
    </row>
    <row r="1172" spans="1:18" x14ac:dyDescent="0.3">
      <c r="A1172" t="s">
        <v>259</v>
      </c>
      <c r="B1172" t="s">
        <v>22</v>
      </c>
      <c r="C1172" t="s">
        <v>269</v>
      </c>
      <c r="D1172">
        <v>1.9507475819999999E-3</v>
      </c>
      <c r="E1172">
        <v>2.45309125E-3</v>
      </c>
      <c r="F1172">
        <v>2.2240364100000001E-3</v>
      </c>
      <c r="G1172">
        <v>2.60442697999999E-3</v>
      </c>
      <c r="H1172">
        <v>2.4007396999999901E-3</v>
      </c>
      <c r="I1172">
        <v>2.6975790989999999E-3</v>
      </c>
      <c r="J1172">
        <v>2.8354289839999901E-3</v>
      </c>
      <c r="K1172">
        <v>2.8840197699999898E-3</v>
      </c>
      <c r="L1172">
        <v>2.8395073009999999E-3</v>
      </c>
      <c r="M1172">
        <v>2.7295993220000001E-3</v>
      </c>
      <c r="N1172">
        <v>2.6187869769999901E-3</v>
      </c>
      <c r="O1172">
        <v>0</v>
      </c>
      <c r="P1172">
        <v>0</v>
      </c>
      <c r="Q1172">
        <v>0</v>
      </c>
      <c r="R1172" t="s">
        <v>243</v>
      </c>
    </row>
    <row r="1173" spans="1:18" x14ac:dyDescent="0.3">
      <c r="A1173" t="s">
        <v>259</v>
      </c>
      <c r="B1173" t="s">
        <v>22</v>
      </c>
      <c r="C1173" t="s">
        <v>270</v>
      </c>
      <c r="D1173">
        <v>2.1393566744999999E-3</v>
      </c>
      <c r="E1173">
        <v>2.6568383399999999E-3</v>
      </c>
      <c r="F1173">
        <v>2.4220640299999902E-3</v>
      </c>
      <c r="G1173">
        <v>2.8683562400000002E-3</v>
      </c>
      <c r="H1173">
        <v>2.6515490999999901E-3</v>
      </c>
      <c r="I1173">
        <v>2.9334649359999999E-3</v>
      </c>
      <c r="J1173">
        <v>3.0426977099999998E-3</v>
      </c>
      <c r="K1173">
        <v>3.075573496E-3</v>
      </c>
      <c r="L1173">
        <v>3.0096574069999999E-3</v>
      </c>
      <c r="M1173">
        <v>2.8796377869999999E-3</v>
      </c>
      <c r="N1173">
        <v>2.7503616199999999E-3</v>
      </c>
      <c r="O1173">
        <v>0</v>
      </c>
      <c r="P1173">
        <v>0</v>
      </c>
      <c r="Q1173">
        <v>0</v>
      </c>
      <c r="R1173" t="s">
        <v>243</v>
      </c>
    </row>
    <row r="1174" spans="1:18" x14ac:dyDescent="0.3">
      <c r="A1174" t="s">
        <v>259</v>
      </c>
      <c r="B1174" t="s">
        <v>22</v>
      </c>
      <c r="C1174" t="s">
        <v>271</v>
      </c>
      <c r="D1174">
        <v>2.3324715336000001E-3</v>
      </c>
      <c r="E1174">
        <v>2.8534816700000001E-3</v>
      </c>
      <c r="F1174">
        <v>2.6169900700000002E-3</v>
      </c>
      <c r="G1174">
        <v>3.1238327899999999E-3</v>
      </c>
      <c r="H1174">
        <v>2.89892817E-3</v>
      </c>
      <c r="I1174">
        <v>3.159865004E-3</v>
      </c>
      <c r="J1174">
        <v>3.237809406E-3</v>
      </c>
      <c r="K1174">
        <v>3.2517892729999999E-3</v>
      </c>
      <c r="L1174">
        <v>3.1662276800000001E-3</v>
      </c>
      <c r="M1174">
        <v>3.0147872120000001E-3</v>
      </c>
      <c r="N1174">
        <v>2.86630640399999E-3</v>
      </c>
      <c r="O1174">
        <v>0</v>
      </c>
      <c r="P1174">
        <v>0</v>
      </c>
      <c r="Q1174">
        <v>0</v>
      </c>
      <c r="R1174" t="s">
        <v>243</v>
      </c>
    </row>
    <row r="1175" spans="1:18" x14ac:dyDescent="0.3">
      <c r="A1175" t="s">
        <v>259</v>
      </c>
      <c r="B1175" t="s">
        <v>22</v>
      </c>
      <c r="C1175" t="s">
        <v>272</v>
      </c>
      <c r="D1175">
        <v>2.5314334794000002E-3</v>
      </c>
      <c r="E1175">
        <v>3.0622337099999999E-3</v>
      </c>
      <c r="F1175">
        <v>2.8206379999999999E-3</v>
      </c>
      <c r="G1175">
        <v>3.42150176E-3</v>
      </c>
      <c r="H1175">
        <v>3.16915997999999E-3</v>
      </c>
      <c r="I1175">
        <v>3.3919304199999901E-3</v>
      </c>
      <c r="J1175">
        <v>3.4352061200000001E-3</v>
      </c>
      <c r="K1175">
        <v>3.4287127769999999E-3</v>
      </c>
      <c r="L1175">
        <v>3.3211143799999998E-3</v>
      </c>
      <c r="M1175">
        <v>3.1483029099999998E-3</v>
      </c>
      <c r="N1175">
        <v>2.9832778749999899E-3</v>
      </c>
      <c r="O1175">
        <v>0</v>
      </c>
      <c r="P1175">
        <v>0</v>
      </c>
      <c r="Q1175">
        <v>0</v>
      </c>
      <c r="R1175" t="s">
        <v>243</v>
      </c>
    </row>
    <row r="1176" spans="1:18" x14ac:dyDescent="0.3">
      <c r="A1176" t="s">
        <v>259</v>
      </c>
      <c r="B1176" t="s">
        <v>22</v>
      </c>
      <c r="C1176" t="s">
        <v>273</v>
      </c>
      <c r="D1176">
        <v>2.7866692583999901E-3</v>
      </c>
      <c r="E1176">
        <v>3.31257889E-3</v>
      </c>
      <c r="F1176">
        <v>3.0670170499999998E-3</v>
      </c>
      <c r="G1176">
        <v>3.7403145499999898E-3</v>
      </c>
      <c r="H1176">
        <v>3.4736257699999901E-3</v>
      </c>
      <c r="I1176">
        <v>3.6532007599999901E-3</v>
      </c>
      <c r="J1176">
        <v>3.6526188830000002E-3</v>
      </c>
      <c r="K1176">
        <v>3.6258323019999999E-3</v>
      </c>
      <c r="L1176">
        <v>3.49874136E-3</v>
      </c>
      <c r="M1176">
        <v>3.306436609E-3</v>
      </c>
      <c r="N1176">
        <v>3.12462485699999E-3</v>
      </c>
      <c r="O1176">
        <v>0</v>
      </c>
      <c r="P1176">
        <v>0</v>
      </c>
      <c r="Q1176">
        <v>0</v>
      </c>
      <c r="R1176" t="s">
        <v>243</v>
      </c>
    </row>
    <row r="1177" spans="1:18" x14ac:dyDescent="0.3">
      <c r="A1177" t="s">
        <v>259</v>
      </c>
      <c r="B1177" t="s">
        <v>22</v>
      </c>
      <c r="C1177" t="s">
        <v>274</v>
      </c>
      <c r="D1177" s="8">
        <v>1.8607863498999901E-4</v>
      </c>
      <c r="E1177" s="8">
        <v>3.6639002503000001E-4</v>
      </c>
      <c r="F1177" s="8">
        <v>3.8915294495000001E-4</v>
      </c>
      <c r="G1177" s="8">
        <v>3.5511255140000003E-4</v>
      </c>
      <c r="H1177" s="8">
        <v>4.8829958690999997E-4</v>
      </c>
      <c r="I1177" s="8">
        <v>4.9358004365999996E-4</v>
      </c>
      <c r="J1177" s="8">
        <v>4.8162964626999999E-4</v>
      </c>
      <c r="K1177" s="8">
        <v>4.6587023812499998E-4</v>
      </c>
      <c r="L1177" s="8">
        <v>4.5193997236499998E-4</v>
      </c>
      <c r="M1177" s="8">
        <v>4.3180310774299999E-4</v>
      </c>
      <c r="N1177" s="8">
        <v>4.1138627400199998E-4</v>
      </c>
      <c r="O1177">
        <v>0</v>
      </c>
      <c r="P1177">
        <v>0</v>
      </c>
      <c r="Q1177">
        <v>0</v>
      </c>
      <c r="R1177" t="s">
        <v>243</v>
      </c>
    </row>
    <row r="1178" spans="1:18" x14ac:dyDescent="0.3">
      <c r="A1178" t="s">
        <v>259</v>
      </c>
      <c r="B1178" t="s">
        <v>22</v>
      </c>
      <c r="C1178" t="s">
        <v>275</v>
      </c>
      <c r="D1178" s="8">
        <v>3.5878179309999997E-4</v>
      </c>
      <c r="E1178" s="8">
        <v>6.6316271520000004E-4</v>
      </c>
      <c r="F1178" s="8">
        <v>7.1400774239999999E-4</v>
      </c>
      <c r="G1178" s="8">
        <v>6.9723586319999904E-4</v>
      </c>
      <c r="H1178" s="8">
        <v>7.8727161848999997E-4</v>
      </c>
      <c r="I1178" s="8">
        <v>7.7749739857999902E-4</v>
      </c>
      <c r="J1178" s="8">
        <v>7.2645916807999897E-4</v>
      </c>
      <c r="K1178" s="8">
        <v>6.8425590311999897E-4</v>
      </c>
      <c r="L1178" s="8">
        <v>6.4648842751000002E-4</v>
      </c>
      <c r="M1178" s="8">
        <v>6.0373320267500001E-4</v>
      </c>
      <c r="N1178" s="8">
        <v>5.6387739851699995E-4</v>
      </c>
      <c r="O1178">
        <v>0</v>
      </c>
      <c r="P1178">
        <v>0</v>
      </c>
      <c r="Q1178">
        <v>0</v>
      </c>
      <c r="R1178" t="s">
        <v>243</v>
      </c>
    </row>
    <row r="1179" spans="1:18" x14ac:dyDescent="0.3">
      <c r="A1179" t="s">
        <v>259</v>
      </c>
      <c r="B1179" t="s">
        <v>22</v>
      </c>
      <c r="C1179" t="s">
        <v>276</v>
      </c>
      <c r="D1179" s="8">
        <v>2.2984319550000001E-4</v>
      </c>
      <c r="E1179" s="8">
        <v>4.4092645415999999E-4</v>
      </c>
      <c r="F1179" s="8">
        <v>4.7009838951999998E-4</v>
      </c>
      <c r="G1179" s="8">
        <v>4.4781626168999999E-4</v>
      </c>
      <c r="H1179" s="8">
        <v>5.6925194950999895E-4</v>
      </c>
      <c r="I1179" s="8">
        <v>5.6817419598999904E-4</v>
      </c>
      <c r="J1179" s="8">
        <v>5.4355013554999903E-4</v>
      </c>
      <c r="K1179" s="8">
        <v>5.1924386867399999E-4</v>
      </c>
      <c r="L1179" s="8">
        <v>4.9831816907999998E-4</v>
      </c>
      <c r="M1179" s="8">
        <v>4.7236618936500002E-4</v>
      </c>
      <c r="N1179" s="8">
        <v>4.4748439270199999E-4</v>
      </c>
      <c r="O1179">
        <v>0</v>
      </c>
      <c r="P1179">
        <v>0</v>
      </c>
      <c r="Q1179">
        <v>0</v>
      </c>
      <c r="R1179" t="s">
        <v>243</v>
      </c>
    </row>
    <row r="1180" spans="1:18" x14ac:dyDescent="0.3">
      <c r="A1180" t="s">
        <v>259</v>
      </c>
      <c r="B1180" t="s">
        <v>22</v>
      </c>
      <c r="C1180" t="s">
        <v>277</v>
      </c>
      <c r="D1180" s="8">
        <v>2.5404405844E-4</v>
      </c>
      <c r="E1180" s="8">
        <v>4.7373508321000001E-4</v>
      </c>
      <c r="F1180" s="8">
        <v>5.0840907321999997E-4</v>
      </c>
      <c r="G1180" s="8">
        <v>4.9070405290999996E-4</v>
      </c>
      <c r="H1180" s="8">
        <v>6.0190251613000004E-4</v>
      </c>
      <c r="I1180" s="8">
        <v>6.0434674418999995E-4</v>
      </c>
      <c r="J1180" s="8">
        <v>5.7407747379999998E-4</v>
      </c>
      <c r="K1180" s="8">
        <v>5.4622663963500005E-4</v>
      </c>
      <c r="L1180" s="8">
        <v>5.2220237087000001E-4</v>
      </c>
      <c r="M1180" s="8">
        <v>4.9339623535399996E-4</v>
      </c>
      <c r="N1180" s="8">
        <v>4.6612400606399999E-4</v>
      </c>
      <c r="O1180">
        <v>0</v>
      </c>
      <c r="P1180">
        <v>0</v>
      </c>
      <c r="Q1180">
        <v>0</v>
      </c>
      <c r="R1180" t="s">
        <v>243</v>
      </c>
    </row>
    <row r="1181" spans="1:18" x14ac:dyDescent="0.3">
      <c r="A1181" t="s">
        <v>259</v>
      </c>
      <c r="B1181" t="s">
        <v>22</v>
      </c>
      <c r="C1181" t="s">
        <v>278</v>
      </c>
      <c r="D1181" s="8">
        <v>2.6795555448000001E-4</v>
      </c>
      <c r="E1181" s="8">
        <v>4.9614751295000003E-4</v>
      </c>
      <c r="F1181" s="8">
        <v>5.3408153137999995E-4</v>
      </c>
      <c r="G1181" s="8">
        <v>5.1840556396999895E-4</v>
      </c>
      <c r="H1181" s="8">
        <v>6.2696393486999904E-4</v>
      </c>
      <c r="I1181" s="8">
        <v>6.2668908997000003E-4</v>
      </c>
      <c r="J1181" s="8">
        <v>5.9350068972999995E-4</v>
      </c>
      <c r="K1181" s="8">
        <v>5.6391101374799997E-4</v>
      </c>
      <c r="L1181" s="8">
        <v>5.3838350839999997E-4</v>
      </c>
      <c r="M1181" s="8">
        <v>5.0803623698100005E-4</v>
      </c>
      <c r="N1181" s="8">
        <v>4.79289085717E-4</v>
      </c>
      <c r="O1181">
        <v>0</v>
      </c>
      <c r="P1181">
        <v>0</v>
      </c>
      <c r="Q1181">
        <v>0</v>
      </c>
      <c r="R1181" t="s">
        <v>243</v>
      </c>
    </row>
    <row r="1182" spans="1:18" x14ac:dyDescent="0.3">
      <c r="A1182" t="s">
        <v>259</v>
      </c>
      <c r="B1182" t="s">
        <v>22</v>
      </c>
      <c r="C1182" t="s">
        <v>279</v>
      </c>
      <c r="D1182" s="8">
        <v>2.7948696567999898E-4</v>
      </c>
      <c r="E1182" s="8">
        <v>5.1590989185000004E-4</v>
      </c>
      <c r="F1182" s="8">
        <v>5.5523490888999998E-4</v>
      </c>
      <c r="G1182" s="8">
        <v>5.3991696082999997E-4</v>
      </c>
      <c r="H1182" s="8">
        <v>6.4633025878999895E-4</v>
      </c>
      <c r="I1182" s="8">
        <v>6.4550537572999995E-4</v>
      </c>
      <c r="J1182" s="8">
        <v>6.1014887502999901E-4</v>
      </c>
      <c r="K1182" s="8">
        <v>5.7899186298399996E-4</v>
      </c>
      <c r="L1182" s="8">
        <v>5.5218462518000005E-4</v>
      </c>
      <c r="M1182" s="8">
        <v>5.2042192305599999E-4</v>
      </c>
      <c r="N1182" s="8">
        <v>4.9034465273799905E-4</v>
      </c>
      <c r="O1182">
        <v>0</v>
      </c>
      <c r="P1182">
        <v>0</v>
      </c>
      <c r="Q1182">
        <v>0</v>
      </c>
      <c r="R1182" t="s">
        <v>243</v>
      </c>
    </row>
    <row r="1183" spans="1:18" x14ac:dyDescent="0.3">
      <c r="A1183" t="s">
        <v>259</v>
      </c>
      <c r="B1183" t="s">
        <v>22</v>
      </c>
      <c r="C1183" t="s">
        <v>280</v>
      </c>
      <c r="D1183" s="8">
        <v>2.8986233559999999E-4</v>
      </c>
      <c r="E1183" s="8">
        <v>5.3400323879999997E-4</v>
      </c>
      <c r="F1183" s="8">
        <v>5.7485425900000002E-4</v>
      </c>
      <c r="G1183" s="8">
        <v>5.5983232829999896E-4</v>
      </c>
      <c r="H1183" s="8">
        <v>6.6421855811999895E-4</v>
      </c>
      <c r="I1183" s="8">
        <v>6.6281763900999998E-4</v>
      </c>
      <c r="J1183" s="8">
        <v>6.2533704413999895E-4</v>
      </c>
      <c r="K1183" s="8">
        <v>5.92892400337999E-4</v>
      </c>
      <c r="L1183" s="8">
        <v>5.6464173085999997E-4</v>
      </c>
      <c r="M1183" s="8">
        <v>5.3163260101799902E-4</v>
      </c>
      <c r="N1183" s="8">
        <v>5.0041491366899997E-4</v>
      </c>
      <c r="O1183">
        <v>0</v>
      </c>
      <c r="P1183">
        <v>0</v>
      </c>
      <c r="Q1183">
        <v>0</v>
      </c>
      <c r="R1183" t="s">
        <v>243</v>
      </c>
    </row>
    <row r="1184" spans="1:18" x14ac:dyDescent="0.3">
      <c r="A1184" t="s">
        <v>259</v>
      </c>
      <c r="B1184" t="s">
        <v>22</v>
      </c>
      <c r="C1184" t="s">
        <v>281</v>
      </c>
      <c r="D1184" s="8">
        <v>3.0035770990000002E-4</v>
      </c>
      <c r="E1184" s="8">
        <v>5.5216658700000002E-4</v>
      </c>
      <c r="F1184" s="8">
        <v>5.9474361399999896E-4</v>
      </c>
      <c r="G1184" s="8">
        <v>5.791966855E-4</v>
      </c>
      <c r="H1184" s="8">
        <v>6.8158184876999895E-4</v>
      </c>
      <c r="I1184" s="8">
        <v>6.8018490126999995E-4</v>
      </c>
      <c r="J1184" s="8">
        <v>6.4067621499999997E-4</v>
      </c>
      <c r="K1184" s="8">
        <v>6.0676543785099905E-4</v>
      </c>
      <c r="L1184" s="8">
        <v>5.7716483685999896E-4</v>
      </c>
      <c r="M1184" s="8">
        <v>5.4268427797099896E-4</v>
      </c>
      <c r="N1184" s="8">
        <v>5.10075972364E-4</v>
      </c>
      <c r="O1184">
        <v>0</v>
      </c>
      <c r="P1184">
        <v>0</v>
      </c>
      <c r="Q1184">
        <v>0</v>
      </c>
      <c r="R1184" t="s">
        <v>243</v>
      </c>
    </row>
    <row r="1185" spans="1:18" x14ac:dyDescent="0.3">
      <c r="A1185" t="s">
        <v>259</v>
      </c>
      <c r="B1185" t="s">
        <v>22</v>
      </c>
      <c r="C1185" t="s">
        <v>282</v>
      </c>
      <c r="D1185" s="8">
        <v>3.1142210439999998E-4</v>
      </c>
      <c r="E1185" s="8">
        <v>5.7275898190000004E-4</v>
      </c>
      <c r="F1185" s="8">
        <v>6.1671500609999995E-4</v>
      </c>
      <c r="G1185" s="8">
        <v>6.0256811669999997E-4</v>
      </c>
      <c r="H1185" s="8">
        <v>7.02547199689999E-4</v>
      </c>
      <c r="I1185" s="8">
        <v>6.9927419564999897E-4</v>
      </c>
      <c r="J1185" s="8">
        <v>6.5770040395999999E-4</v>
      </c>
      <c r="K1185" s="8">
        <v>6.2215508973800001E-4</v>
      </c>
      <c r="L1185" s="8">
        <v>5.9086695382999904E-4</v>
      </c>
      <c r="M1185" s="8">
        <v>5.5470636161499996E-4</v>
      </c>
      <c r="N1185" s="8">
        <v>5.2073303689999999E-4</v>
      </c>
      <c r="O1185">
        <v>0</v>
      </c>
      <c r="P1185">
        <v>0</v>
      </c>
      <c r="Q1185">
        <v>0</v>
      </c>
      <c r="R1185" t="s">
        <v>243</v>
      </c>
    </row>
    <row r="1186" spans="1:18" x14ac:dyDescent="0.3">
      <c r="A1186" t="s">
        <v>259</v>
      </c>
      <c r="B1186" t="s">
        <v>22</v>
      </c>
      <c r="C1186" t="s">
        <v>283</v>
      </c>
      <c r="D1186" s="8">
        <v>3.2666864800000002E-4</v>
      </c>
      <c r="E1186" s="8">
        <v>6.0029750990000001E-4</v>
      </c>
      <c r="F1186" s="8">
        <v>6.4605752969999904E-4</v>
      </c>
      <c r="G1186" s="8">
        <v>6.2962061579999997E-4</v>
      </c>
      <c r="H1186" s="8">
        <v>7.2677560534999998E-4</v>
      </c>
      <c r="I1186" s="8">
        <v>7.2348056136000002E-4</v>
      </c>
      <c r="J1186" s="8">
        <v>6.7909864228999999E-4</v>
      </c>
      <c r="K1186" s="8">
        <v>6.41696783196E-4</v>
      </c>
      <c r="L1186" s="8">
        <v>6.0866410423999996E-4</v>
      </c>
      <c r="M1186" s="8">
        <v>5.7072197298500002E-4</v>
      </c>
      <c r="N1186" s="8">
        <v>5.3503602359900005E-4</v>
      </c>
      <c r="O1186">
        <v>0</v>
      </c>
      <c r="P1186">
        <v>0</v>
      </c>
      <c r="Q1186">
        <v>0</v>
      </c>
      <c r="R1186" t="s">
        <v>243</v>
      </c>
    </row>
    <row r="1187" spans="1:18" x14ac:dyDescent="0.3">
      <c r="A1187" t="s">
        <v>259</v>
      </c>
      <c r="B1187" t="s">
        <v>22</v>
      </c>
      <c r="C1187" t="s">
        <v>334</v>
      </c>
      <c r="D1187" s="8">
        <v>2.5515500000000002E-4</v>
      </c>
      <c r="E1187" s="8">
        <v>6.09945E-5</v>
      </c>
      <c r="F1187" s="8">
        <v>4.4552799999999998E-5</v>
      </c>
      <c r="G1187" s="8">
        <v>6.4240300000000002E-5</v>
      </c>
      <c r="H1187" s="8">
        <v>6.3657099999999997E-5</v>
      </c>
      <c r="I1187" s="8">
        <v>6.44712E-5</v>
      </c>
      <c r="J1187" s="8">
        <v>6.4603699999999999E-5</v>
      </c>
      <c r="K1187" s="8">
        <v>6.4470369999999996E-5</v>
      </c>
      <c r="L1187" s="8">
        <v>6.43937E-5</v>
      </c>
      <c r="M1187" s="8">
        <v>6.3957899999999898E-5</v>
      </c>
      <c r="N1187" s="8">
        <v>6.3319199999999995E-5</v>
      </c>
      <c r="O1187">
        <v>0</v>
      </c>
      <c r="P1187">
        <v>0</v>
      </c>
      <c r="Q1187">
        <v>0</v>
      </c>
      <c r="R1187" t="s">
        <v>243</v>
      </c>
    </row>
    <row r="1188" spans="1:18" x14ac:dyDescent="0.3">
      <c r="A1188" t="s">
        <v>259</v>
      </c>
      <c r="B1188" t="s">
        <v>22</v>
      </c>
      <c r="C1188" t="s">
        <v>335</v>
      </c>
      <c r="D1188" s="8">
        <v>1.48755E-5</v>
      </c>
      <c r="E1188" s="8">
        <v>3.2363599999999998E-6</v>
      </c>
      <c r="F1188" s="8">
        <v>2.2390999999999999E-6</v>
      </c>
      <c r="G1188" s="8">
        <v>2.9654699999999998E-6</v>
      </c>
      <c r="H1188" s="8">
        <v>2.8766900000000001E-6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243</v>
      </c>
    </row>
    <row r="1189" spans="1:18" x14ac:dyDescent="0.3">
      <c r="A1189" t="s">
        <v>259</v>
      </c>
      <c r="B1189" t="s">
        <v>22</v>
      </c>
      <c r="C1189" t="s">
        <v>336</v>
      </c>
      <c r="D1189" s="8">
        <v>1.50416E-4</v>
      </c>
      <c r="E1189" s="8">
        <v>3.3431800000000001E-5</v>
      </c>
      <c r="F1189" s="8">
        <v>2.4321700000000001E-5</v>
      </c>
      <c r="G1189" s="8">
        <v>3.4036299999999998E-5</v>
      </c>
      <c r="H1189" s="8">
        <v>3.33634E-5</v>
      </c>
      <c r="I1189" s="8">
        <v>3.376384E-5</v>
      </c>
      <c r="J1189" s="8">
        <v>3.3728820000000003E-5</v>
      </c>
      <c r="K1189" s="8">
        <v>3.3575899999999998E-5</v>
      </c>
      <c r="L1189" s="8">
        <v>3.3429210000000002E-5</v>
      </c>
      <c r="M1189" s="8">
        <v>3.3115060000000001E-5</v>
      </c>
      <c r="N1189" s="8">
        <v>3.2702610000000002E-5</v>
      </c>
      <c r="O1189">
        <v>0</v>
      </c>
      <c r="P1189">
        <v>0</v>
      </c>
      <c r="Q1189">
        <v>0</v>
      </c>
      <c r="R1189" t="s">
        <v>243</v>
      </c>
    </row>
    <row r="1190" spans="1:18" x14ac:dyDescent="0.3">
      <c r="A1190" t="s">
        <v>259</v>
      </c>
      <c r="B1190" t="s">
        <v>22</v>
      </c>
      <c r="C1190" t="s">
        <v>337</v>
      </c>
      <c r="D1190" s="8">
        <v>1.06401E-4</v>
      </c>
      <c r="E1190" s="8">
        <v>2.4545600000000001E-5</v>
      </c>
      <c r="F1190" s="8">
        <v>1.7381099999999999E-5</v>
      </c>
      <c r="G1190" s="8">
        <v>2.3822400000000001E-5</v>
      </c>
      <c r="H1190" s="8">
        <v>2.3109280000000001E-5</v>
      </c>
      <c r="I1190" s="8">
        <v>2.3661569999999998E-5</v>
      </c>
      <c r="J1190" s="8">
        <v>2.355218E-5</v>
      </c>
      <c r="K1190" s="8">
        <v>2.3376939999999999E-5</v>
      </c>
      <c r="L1190" s="8">
        <v>2.32115E-5</v>
      </c>
      <c r="M1190" s="8">
        <v>2.2931309999999999E-5</v>
      </c>
      <c r="N1190" s="8">
        <v>2.2591839999999999E-5</v>
      </c>
      <c r="O1190">
        <v>0</v>
      </c>
      <c r="P1190">
        <v>0</v>
      </c>
      <c r="Q1190">
        <v>0</v>
      </c>
      <c r="R1190" t="s">
        <v>243</v>
      </c>
    </row>
    <row r="1191" spans="1:18" x14ac:dyDescent="0.3">
      <c r="A1191" t="s">
        <v>259</v>
      </c>
      <c r="B1191" t="s">
        <v>22</v>
      </c>
      <c r="C1191" t="s">
        <v>338</v>
      </c>
      <c r="D1191" s="8">
        <v>8.50747E-5</v>
      </c>
      <c r="E1191" s="8">
        <v>1.9638799999999999E-5</v>
      </c>
      <c r="F1191" s="8">
        <v>1.3693899999999999E-5</v>
      </c>
      <c r="G1191" s="8">
        <v>1.84895E-5</v>
      </c>
      <c r="H1191" s="8">
        <v>1.7935940000000002E-5</v>
      </c>
      <c r="I1191" s="8">
        <v>1.8321700000000001E-5</v>
      </c>
      <c r="J1191" s="8">
        <v>1.82055599999999E-5</v>
      </c>
      <c r="K1191" s="8">
        <v>1.8052719999999999E-5</v>
      </c>
      <c r="L1191" s="8">
        <v>1.7911820000000002E-5</v>
      </c>
      <c r="M1191" s="8">
        <v>1.7684629999999999E-5</v>
      </c>
      <c r="N1191" s="8">
        <v>1.740674E-5</v>
      </c>
      <c r="O1191">
        <v>0</v>
      </c>
      <c r="P1191">
        <v>0</v>
      </c>
      <c r="Q1191">
        <v>0</v>
      </c>
      <c r="R1191" t="s">
        <v>243</v>
      </c>
    </row>
    <row r="1192" spans="1:18" x14ac:dyDescent="0.3">
      <c r="A1192" t="s">
        <v>259</v>
      </c>
      <c r="B1192" t="s">
        <v>22</v>
      </c>
      <c r="C1192" t="s">
        <v>339</v>
      </c>
      <c r="D1192" s="8">
        <v>6.9710100000000002E-5</v>
      </c>
      <c r="E1192" s="8">
        <v>1.6045400000000001E-5</v>
      </c>
      <c r="F1192" s="8">
        <v>1.1191200000000001E-5</v>
      </c>
      <c r="G1192" s="8">
        <v>1.50433E-5</v>
      </c>
      <c r="H1192" s="8">
        <v>1.459297E-5</v>
      </c>
      <c r="I1192" s="8">
        <v>1.4918909999999999E-5</v>
      </c>
      <c r="J1192" s="8">
        <v>1.4806739999999999E-5</v>
      </c>
      <c r="K1192" s="8">
        <v>1.466637E-5</v>
      </c>
      <c r="L1192" s="8">
        <v>1.4543960000000001E-5</v>
      </c>
      <c r="M1192" s="8">
        <v>1.434847E-5</v>
      </c>
      <c r="N1192">
        <v>0</v>
      </c>
      <c r="O1192">
        <v>0</v>
      </c>
      <c r="P1192">
        <v>0</v>
      </c>
      <c r="Q1192">
        <v>0</v>
      </c>
      <c r="R1192" t="s">
        <v>243</v>
      </c>
    </row>
    <row r="1193" spans="1:18" x14ac:dyDescent="0.3">
      <c r="A1193" t="s">
        <v>259</v>
      </c>
      <c r="B1193" t="s">
        <v>22</v>
      </c>
      <c r="C1193" t="s">
        <v>340</v>
      </c>
      <c r="D1193" s="8">
        <v>5.7748299999999997E-5</v>
      </c>
      <c r="E1193" s="8">
        <v>1.32938E-5</v>
      </c>
      <c r="F1193" s="8">
        <v>9.2531999999999998E-6</v>
      </c>
      <c r="G1193" s="8">
        <v>1.23668E-5</v>
      </c>
      <c r="H1193" s="8">
        <v>1.19966E-5</v>
      </c>
      <c r="I1193" s="8">
        <v>1.2266240000000001E-5</v>
      </c>
      <c r="J1193" s="8">
        <v>1.215696E-5</v>
      </c>
      <c r="K1193" s="8">
        <v>1.203424E-5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243</v>
      </c>
    </row>
    <row r="1194" spans="1:18" x14ac:dyDescent="0.3">
      <c r="A1194" t="s">
        <v>259</v>
      </c>
      <c r="B1194" t="s">
        <v>22</v>
      </c>
      <c r="C1194" t="s">
        <v>341</v>
      </c>
      <c r="D1194" s="8">
        <v>4.7419000000000001E-5</v>
      </c>
      <c r="E1194" s="8">
        <v>1.0978999999999999E-5</v>
      </c>
      <c r="F1194" s="8">
        <v>7.6120600000000001E-6</v>
      </c>
      <c r="G1194" s="8">
        <v>1.01867E-5</v>
      </c>
      <c r="H1194" s="8">
        <v>9.8817599999999997E-6</v>
      </c>
      <c r="I1194" s="8">
        <v>1.011507E-5</v>
      </c>
      <c r="J1194" s="8">
        <v>1.00136999999999E-5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243</v>
      </c>
    </row>
    <row r="1195" spans="1:18" x14ac:dyDescent="0.3">
      <c r="A1195" t="s">
        <v>259</v>
      </c>
      <c r="B1195" t="s">
        <v>22</v>
      </c>
      <c r="C1195" t="s">
        <v>342</v>
      </c>
      <c r="D1195" s="8">
        <v>3.8330900000000003E-5</v>
      </c>
      <c r="E1195" s="8">
        <v>8.8136399999999992E-6</v>
      </c>
      <c r="F1195" s="8">
        <v>6.1193300000000004E-6</v>
      </c>
      <c r="G1195" s="8">
        <v>8.0352200000000003E-6</v>
      </c>
      <c r="H1195" s="8">
        <v>7.7946699999999997E-6</v>
      </c>
      <c r="I1195" s="8">
        <v>7.9595700000000004E-6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243</v>
      </c>
    </row>
    <row r="1196" spans="1:18" x14ac:dyDescent="0.3">
      <c r="A1196" t="s">
        <v>259</v>
      </c>
      <c r="B1196" t="s">
        <v>22</v>
      </c>
      <c r="C1196" t="s">
        <v>343</v>
      </c>
      <c r="D1196" s="8">
        <v>2.8425700000000001E-5</v>
      </c>
      <c r="E1196" s="8">
        <v>6.5409299999999999E-6</v>
      </c>
      <c r="F1196" s="8">
        <v>4.5502400000000003E-6</v>
      </c>
      <c r="G1196" s="8">
        <v>6.0797000000000004E-6</v>
      </c>
      <c r="H1196" s="8">
        <v>5.8977000000000003E-6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243</v>
      </c>
    </row>
    <row r="1197" spans="1:18" x14ac:dyDescent="0.3">
      <c r="A1197" t="s">
        <v>259</v>
      </c>
      <c r="B1197" t="s">
        <v>22</v>
      </c>
      <c r="C1197" t="s">
        <v>284</v>
      </c>
      <c r="D1197">
        <v>5.5323810485000003E-3</v>
      </c>
      <c r="E1197">
        <v>1.0890035096999999E-2</v>
      </c>
      <c r="F1197">
        <v>7.7036908500000001E-3</v>
      </c>
      <c r="G1197">
        <v>6.5308759499999999E-3</v>
      </c>
      <c r="H1197">
        <v>5.7767470699999898E-3</v>
      </c>
      <c r="I1197">
        <v>5.6740008313999899E-3</v>
      </c>
      <c r="J1197">
        <v>5.1898097844999998E-3</v>
      </c>
      <c r="K1197">
        <v>4.8987975227000003E-3</v>
      </c>
      <c r="L1197">
        <v>4.6650286818999903E-3</v>
      </c>
      <c r="M1197">
        <v>4.3617286099999998E-3</v>
      </c>
      <c r="N1197">
        <v>4.1441260579999899E-3</v>
      </c>
      <c r="O1197">
        <v>0</v>
      </c>
      <c r="P1197">
        <v>0</v>
      </c>
      <c r="Q1197">
        <v>0</v>
      </c>
      <c r="R1197" t="s">
        <v>243</v>
      </c>
    </row>
    <row r="1198" spans="1:18" x14ac:dyDescent="0.3">
      <c r="A1198" t="s">
        <v>259</v>
      </c>
      <c r="B1198" t="s">
        <v>22</v>
      </c>
      <c r="C1198" t="s">
        <v>285</v>
      </c>
      <c r="D1198">
        <v>9.7997940779999994E-3</v>
      </c>
      <c r="E1198">
        <v>1.9087470959999998E-2</v>
      </c>
      <c r="F1198">
        <v>1.4108962029999899E-2</v>
      </c>
      <c r="G1198">
        <v>1.28202370499999E-2</v>
      </c>
      <c r="H1198">
        <v>1.11501189599999E-2</v>
      </c>
      <c r="I1198">
        <v>1.0662597933199999E-2</v>
      </c>
      <c r="J1198">
        <v>9.2434450471000004E-3</v>
      </c>
      <c r="K1198">
        <v>8.3904593915999897E-3</v>
      </c>
      <c r="L1198">
        <v>7.7295683780999897E-3</v>
      </c>
      <c r="M1198">
        <v>6.9986184490000002E-3</v>
      </c>
      <c r="N1198">
        <v>6.45884955999999E-3</v>
      </c>
      <c r="O1198">
        <v>0</v>
      </c>
      <c r="P1198">
        <v>0</v>
      </c>
      <c r="Q1198">
        <v>0</v>
      </c>
      <c r="R1198" t="s">
        <v>243</v>
      </c>
    </row>
    <row r="1199" spans="1:18" x14ac:dyDescent="0.3">
      <c r="A1199" t="s">
        <v>259</v>
      </c>
      <c r="B1199" t="s">
        <v>22</v>
      </c>
      <c r="C1199" t="s">
        <v>286</v>
      </c>
      <c r="D1199">
        <v>6.4902192909999899E-3</v>
      </c>
      <c r="E1199">
        <v>1.2768426140000001E-2</v>
      </c>
      <c r="F1199">
        <v>9.2933212599999992E-3</v>
      </c>
      <c r="G1199">
        <v>8.2346628999999897E-3</v>
      </c>
      <c r="H1199">
        <v>7.1912180499999999E-3</v>
      </c>
      <c r="I1199">
        <v>6.9497370544999897E-3</v>
      </c>
      <c r="J1199">
        <v>6.1980371945000003E-3</v>
      </c>
      <c r="K1199">
        <v>5.7526552261999899E-3</v>
      </c>
      <c r="L1199">
        <v>5.4047442100000004E-3</v>
      </c>
      <c r="M1199">
        <v>4.9926294520000001E-3</v>
      </c>
      <c r="N1199">
        <v>4.6990178290000004E-3</v>
      </c>
      <c r="O1199">
        <v>0</v>
      </c>
      <c r="P1199">
        <v>0</v>
      </c>
      <c r="Q1199">
        <v>0</v>
      </c>
      <c r="R1199" t="s">
        <v>243</v>
      </c>
    </row>
    <row r="1200" spans="1:18" x14ac:dyDescent="0.3">
      <c r="A1200" t="s">
        <v>259</v>
      </c>
      <c r="B1200" t="s">
        <v>22</v>
      </c>
      <c r="C1200" t="s">
        <v>287</v>
      </c>
      <c r="D1200">
        <v>7.0349899730000002E-3</v>
      </c>
      <c r="E1200">
        <v>1.365935265E-2</v>
      </c>
      <c r="F1200">
        <v>1.0047634559999999E-2</v>
      </c>
      <c r="G1200">
        <v>9.0229420399999902E-3</v>
      </c>
      <c r="H1200">
        <v>7.7950079099999899E-3</v>
      </c>
      <c r="I1200">
        <v>7.5950386605999898E-3</v>
      </c>
      <c r="J1200">
        <v>6.7093703514000003E-3</v>
      </c>
      <c r="K1200">
        <v>6.1888119283E-3</v>
      </c>
      <c r="L1200">
        <v>5.7802994121999999E-3</v>
      </c>
      <c r="M1200">
        <v>5.3148225890000001E-3</v>
      </c>
      <c r="N1200">
        <v>4.9815591920000001E-3</v>
      </c>
      <c r="O1200">
        <v>0</v>
      </c>
      <c r="P1200">
        <v>0</v>
      </c>
      <c r="Q1200">
        <v>0</v>
      </c>
      <c r="R1200" t="s">
        <v>243</v>
      </c>
    </row>
    <row r="1201" spans="1:18" x14ac:dyDescent="0.3">
      <c r="A1201" t="s">
        <v>259</v>
      </c>
      <c r="B1201" t="s">
        <v>22</v>
      </c>
      <c r="C1201" t="s">
        <v>288</v>
      </c>
      <c r="D1201">
        <v>7.3681418489999996E-3</v>
      </c>
      <c r="E1201">
        <v>1.4288779620000001E-2</v>
      </c>
      <c r="F1201">
        <v>1.0554076630000001E-2</v>
      </c>
      <c r="G1201">
        <v>9.5321536699999997E-3</v>
      </c>
      <c r="H1201">
        <v>8.2536764499999901E-3</v>
      </c>
      <c r="I1201">
        <v>7.9938262814999994E-3</v>
      </c>
      <c r="J1201">
        <v>7.0337462341999897E-3</v>
      </c>
      <c r="K1201">
        <v>6.4711646937999998E-3</v>
      </c>
      <c r="L1201">
        <v>6.0347811103000004E-3</v>
      </c>
      <c r="M1201">
        <v>5.5385835709999996E-3</v>
      </c>
      <c r="N1201">
        <v>5.1806958319999897E-3</v>
      </c>
      <c r="O1201">
        <v>0</v>
      </c>
      <c r="P1201">
        <v>0</v>
      </c>
      <c r="Q1201">
        <v>0</v>
      </c>
      <c r="R1201" t="s">
        <v>243</v>
      </c>
    </row>
    <row r="1202" spans="1:18" x14ac:dyDescent="0.3">
      <c r="A1202" t="s">
        <v>259</v>
      </c>
      <c r="B1202" t="s">
        <v>22</v>
      </c>
      <c r="C1202" t="s">
        <v>289</v>
      </c>
      <c r="D1202">
        <v>7.6580108189999996E-3</v>
      </c>
      <c r="E1202">
        <v>1.485189164E-2</v>
      </c>
      <c r="F1202">
        <v>1.097174578E-2</v>
      </c>
      <c r="G1202">
        <v>9.9276310799999903E-3</v>
      </c>
      <c r="H1202">
        <v>8.6070296799999908E-3</v>
      </c>
      <c r="I1202">
        <v>8.3269377281E-3</v>
      </c>
      <c r="J1202">
        <v>7.3105848297999997E-3</v>
      </c>
      <c r="K1202">
        <v>6.7118119130000001E-3</v>
      </c>
      <c r="L1202">
        <v>6.2511166892999896E-3</v>
      </c>
      <c r="M1202">
        <v>5.7277028749999903E-3</v>
      </c>
      <c r="N1202">
        <v>5.3479263489999897E-3</v>
      </c>
      <c r="O1202">
        <v>0</v>
      </c>
      <c r="P1202">
        <v>0</v>
      </c>
      <c r="Q1202">
        <v>0</v>
      </c>
      <c r="R1202" t="s">
        <v>243</v>
      </c>
    </row>
    <row r="1203" spans="1:18" x14ac:dyDescent="0.3">
      <c r="A1203" t="s">
        <v>259</v>
      </c>
      <c r="B1203" t="s">
        <v>22</v>
      </c>
      <c r="C1203" t="s">
        <v>290</v>
      </c>
      <c r="D1203">
        <v>7.928234353E-3</v>
      </c>
      <c r="E1203">
        <v>1.537072924E-2</v>
      </c>
      <c r="F1203">
        <v>1.135932315E-2</v>
      </c>
      <c r="G1203">
        <v>1.0293808579999999E-2</v>
      </c>
      <c r="H1203">
        <v>8.9316333199999896E-3</v>
      </c>
      <c r="I1203">
        <v>8.6329690040000007E-3</v>
      </c>
      <c r="J1203">
        <v>7.5629135937999997E-3</v>
      </c>
      <c r="K1203">
        <v>6.9335481119999999E-3</v>
      </c>
      <c r="L1203">
        <v>6.4462481881999998E-3</v>
      </c>
      <c r="M1203">
        <v>5.898888572E-3</v>
      </c>
      <c r="N1203">
        <v>5.5002085459999999E-3</v>
      </c>
      <c r="O1203">
        <v>0</v>
      </c>
      <c r="P1203">
        <v>0</v>
      </c>
      <c r="Q1203">
        <v>0</v>
      </c>
      <c r="R1203" t="s">
        <v>243</v>
      </c>
    </row>
    <row r="1204" spans="1:18" x14ac:dyDescent="0.3">
      <c r="A1204" t="s">
        <v>259</v>
      </c>
      <c r="B1204" t="s">
        <v>22</v>
      </c>
      <c r="C1204" t="s">
        <v>291</v>
      </c>
      <c r="D1204">
        <v>8.2081652699999997E-3</v>
      </c>
      <c r="E1204">
        <v>1.5892851770000001E-2</v>
      </c>
      <c r="F1204">
        <v>1.17523066499999E-2</v>
      </c>
      <c r="G1204">
        <v>1.064983131E-2</v>
      </c>
      <c r="H1204">
        <v>9.2454903699999997E-3</v>
      </c>
      <c r="I1204">
        <v>8.9390409193999994E-3</v>
      </c>
      <c r="J1204">
        <v>7.8174719500999999E-3</v>
      </c>
      <c r="K1204">
        <v>7.1549275546999996E-3</v>
      </c>
      <c r="L1204">
        <v>6.6422731733E-3</v>
      </c>
      <c r="M1204">
        <v>6.067525618E-3</v>
      </c>
      <c r="N1204">
        <v>5.6461793819999996E-3</v>
      </c>
      <c r="O1204">
        <v>0</v>
      </c>
      <c r="P1204">
        <v>0</v>
      </c>
      <c r="Q1204">
        <v>0</v>
      </c>
      <c r="R1204" t="s">
        <v>243</v>
      </c>
    </row>
    <row r="1205" spans="1:18" x14ac:dyDescent="0.3">
      <c r="A1205" t="s">
        <v>259</v>
      </c>
      <c r="B1205" t="s">
        <v>22</v>
      </c>
      <c r="C1205" t="s">
        <v>292</v>
      </c>
      <c r="D1205">
        <v>8.5074459629999998E-3</v>
      </c>
      <c r="E1205">
        <v>1.6485419309999898E-2</v>
      </c>
      <c r="F1205">
        <v>1.2186453119999999E-2</v>
      </c>
      <c r="G1205">
        <v>1.10795592499999E-2</v>
      </c>
      <c r="H1205">
        <v>9.6235356999999893E-3</v>
      </c>
      <c r="I1205">
        <v>9.2773500914000006E-3</v>
      </c>
      <c r="J1205">
        <v>8.1005015045000003E-3</v>
      </c>
      <c r="K1205">
        <v>7.4002792706999998E-3</v>
      </c>
      <c r="L1205">
        <v>6.8572798618999897E-3</v>
      </c>
      <c r="M1205">
        <v>6.2508309309999999E-3</v>
      </c>
      <c r="N1205">
        <v>5.8071661440000002E-3</v>
      </c>
      <c r="O1205">
        <v>0</v>
      </c>
      <c r="P1205">
        <v>0</v>
      </c>
      <c r="Q1205">
        <v>0</v>
      </c>
      <c r="R1205" t="s">
        <v>243</v>
      </c>
    </row>
    <row r="1206" spans="1:18" x14ac:dyDescent="0.3">
      <c r="A1206" t="s">
        <v>259</v>
      </c>
      <c r="B1206" t="s">
        <v>22</v>
      </c>
      <c r="C1206" t="s">
        <v>293</v>
      </c>
      <c r="D1206">
        <v>8.9228203010000007E-3</v>
      </c>
      <c r="E1206">
        <v>1.7278018779999901E-2</v>
      </c>
      <c r="F1206">
        <v>1.276624518E-2</v>
      </c>
      <c r="G1206">
        <v>1.157697989E-2</v>
      </c>
      <c r="H1206">
        <v>1.006012278E-2</v>
      </c>
      <c r="I1206">
        <v>9.7038313192999992E-3</v>
      </c>
      <c r="J1206">
        <v>8.4556072666999993E-3</v>
      </c>
      <c r="K1206">
        <v>7.7122174846000003E-3</v>
      </c>
      <c r="L1206">
        <v>7.1358608646E-3</v>
      </c>
      <c r="M1206">
        <v>6.49538463899999E-3</v>
      </c>
      <c r="N1206">
        <v>6.0235232979999999E-3</v>
      </c>
      <c r="O1206">
        <v>0</v>
      </c>
      <c r="P1206">
        <v>0</v>
      </c>
      <c r="Q1206">
        <v>0</v>
      </c>
      <c r="R1206" t="s">
        <v>243</v>
      </c>
    </row>
    <row r="1207" spans="1:18" x14ac:dyDescent="0.3">
      <c r="A1207" t="s">
        <v>259</v>
      </c>
      <c r="B1207" t="s">
        <v>22</v>
      </c>
      <c r="C1207" t="s">
        <v>294</v>
      </c>
      <c r="D1207" s="8">
        <v>4.0692044600000002E-4</v>
      </c>
      <c r="E1207">
        <v>1.0308450929999999E-3</v>
      </c>
      <c r="F1207">
        <v>1.195467112E-3</v>
      </c>
      <c r="G1207">
        <v>1.066045168E-3</v>
      </c>
      <c r="H1207" s="8">
        <v>7.8067775760000001E-4</v>
      </c>
      <c r="I1207" s="8">
        <v>7.9206546379999895E-4</v>
      </c>
      <c r="J1207" s="8">
        <v>8.223277059E-4</v>
      </c>
      <c r="K1207" s="8">
        <v>8.0264539319999995E-4</v>
      </c>
      <c r="L1207" s="8">
        <v>8.5617768299999896E-4</v>
      </c>
      <c r="M1207" s="8">
        <v>9.0108392000000002E-4</v>
      </c>
      <c r="N1207" s="8">
        <v>9.4616142099999902E-4</v>
      </c>
      <c r="O1207">
        <v>0</v>
      </c>
      <c r="P1207">
        <v>0</v>
      </c>
      <c r="Q1207">
        <v>0</v>
      </c>
      <c r="R1207" t="s">
        <v>243</v>
      </c>
    </row>
    <row r="1208" spans="1:18" x14ac:dyDescent="0.3">
      <c r="A1208" t="s">
        <v>259</v>
      </c>
      <c r="B1208" t="s">
        <v>22</v>
      </c>
      <c r="C1208" t="s">
        <v>295</v>
      </c>
      <c r="D1208">
        <v>2.1704247840000001E-3</v>
      </c>
      <c r="E1208">
        <v>4.3370648699999998E-3</v>
      </c>
      <c r="F1208">
        <v>4.9945818599999997E-3</v>
      </c>
      <c r="G1208">
        <v>5.28989895E-3</v>
      </c>
      <c r="H1208">
        <v>4.5181528279999899E-3</v>
      </c>
      <c r="I1208">
        <v>4.4258197230000003E-3</v>
      </c>
      <c r="J1208">
        <v>4.1144636269999897E-3</v>
      </c>
      <c r="K1208">
        <v>3.64333069299999E-3</v>
      </c>
      <c r="L1208">
        <v>3.5302954269999902E-3</v>
      </c>
      <c r="M1208">
        <v>3.392458452E-3</v>
      </c>
      <c r="N1208">
        <v>3.2640794220000001E-3</v>
      </c>
      <c r="O1208">
        <v>0</v>
      </c>
      <c r="P1208">
        <v>0</v>
      </c>
      <c r="Q1208">
        <v>0</v>
      </c>
      <c r="R1208" t="s">
        <v>243</v>
      </c>
    </row>
    <row r="1209" spans="1:18" x14ac:dyDescent="0.3">
      <c r="A1209" t="s">
        <v>259</v>
      </c>
      <c r="B1209" t="s">
        <v>22</v>
      </c>
      <c r="C1209" t="s">
        <v>296</v>
      </c>
      <c r="D1209" s="8">
        <v>6.3838946900000003E-4</v>
      </c>
      <c r="E1209">
        <v>1.65605989E-3</v>
      </c>
      <c r="F1209">
        <v>1.92347793E-3</v>
      </c>
      <c r="G1209">
        <v>1.7993476699999999E-3</v>
      </c>
      <c r="H1209">
        <v>1.3027707749999999E-3</v>
      </c>
      <c r="I1209">
        <v>1.3053601543999999E-3</v>
      </c>
      <c r="J1209">
        <v>1.3270414894999999E-3</v>
      </c>
      <c r="K1209">
        <v>1.28095545099999E-3</v>
      </c>
      <c r="L1209">
        <v>1.3520696E-3</v>
      </c>
      <c r="M1209">
        <v>1.407283779E-3</v>
      </c>
      <c r="N1209">
        <v>1.4594325889999999E-3</v>
      </c>
      <c r="O1209">
        <v>0</v>
      </c>
      <c r="P1209">
        <v>0</v>
      </c>
      <c r="Q1209">
        <v>0</v>
      </c>
      <c r="R1209" t="s">
        <v>243</v>
      </c>
    </row>
    <row r="1210" spans="1:18" x14ac:dyDescent="0.3">
      <c r="A1210" t="s">
        <v>259</v>
      </c>
      <c r="B1210" t="s">
        <v>22</v>
      </c>
      <c r="C1210" t="s">
        <v>297</v>
      </c>
      <c r="D1210" s="8">
        <v>8.3089313299999999E-4</v>
      </c>
      <c r="E1210">
        <v>2.0381339800000001E-3</v>
      </c>
      <c r="F1210">
        <v>2.4029446099999999E-3</v>
      </c>
      <c r="G1210">
        <v>2.31381606E-3</v>
      </c>
      <c r="H1210">
        <v>1.6179797276000001E-3</v>
      </c>
      <c r="I1210">
        <v>1.7099683588999901E-3</v>
      </c>
      <c r="J1210">
        <v>1.7114384637999999E-3</v>
      </c>
      <c r="K1210">
        <v>1.6318322489999901E-3</v>
      </c>
      <c r="L1210">
        <v>1.6986924289999999E-3</v>
      </c>
      <c r="M1210">
        <v>1.7435582609999999E-3</v>
      </c>
      <c r="N1210">
        <v>1.7840220110000001E-3</v>
      </c>
      <c r="O1210">
        <v>0</v>
      </c>
      <c r="P1210">
        <v>0</v>
      </c>
      <c r="Q1210">
        <v>0</v>
      </c>
      <c r="R1210" t="s">
        <v>243</v>
      </c>
    </row>
    <row r="1211" spans="1:18" x14ac:dyDescent="0.3">
      <c r="A1211" t="s">
        <v>259</v>
      </c>
      <c r="B1211" t="s">
        <v>22</v>
      </c>
      <c r="C1211" t="s">
        <v>298</v>
      </c>
      <c r="D1211" s="8">
        <v>9.7147636399999896E-4</v>
      </c>
      <c r="E1211">
        <v>2.3306452300000001E-3</v>
      </c>
      <c r="F1211">
        <v>2.76263169E-3</v>
      </c>
      <c r="G1211">
        <v>2.7128378400000002E-3</v>
      </c>
      <c r="H1211">
        <v>1.928971929E-3</v>
      </c>
      <c r="I1211">
        <v>2.0200925718E-3</v>
      </c>
      <c r="J1211">
        <v>2.0024398088999999E-3</v>
      </c>
      <c r="K1211">
        <v>1.8950544560000001E-3</v>
      </c>
      <c r="L1211">
        <v>1.9591369819999902E-3</v>
      </c>
      <c r="M1211">
        <v>1.99658846399999E-3</v>
      </c>
      <c r="N1211">
        <v>2.0257355279999999E-3</v>
      </c>
      <c r="O1211">
        <v>0</v>
      </c>
      <c r="P1211">
        <v>0</v>
      </c>
      <c r="Q1211">
        <v>0</v>
      </c>
      <c r="R1211" t="s">
        <v>243</v>
      </c>
    </row>
    <row r="1212" spans="1:18" x14ac:dyDescent="0.3">
      <c r="A1212" t="s">
        <v>259</v>
      </c>
      <c r="B1212" t="s">
        <v>22</v>
      </c>
      <c r="C1212" t="s">
        <v>299</v>
      </c>
      <c r="D1212">
        <v>1.1058506709999999E-3</v>
      </c>
      <c r="E1212">
        <v>2.6013701700000002E-3</v>
      </c>
      <c r="F1212">
        <v>3.0710024599999901E-3</v>
      </c>
      <c r="G1212">
        <v>3.0499192399999998E-3</v>
      </c>
      <c r="H1212">
        <v>2.2127363399999998E-3</v>
      </c>
      <c r="I1212">
        <v>2.307094315E-3</v>
      </c>
      <c r="J1212">
        <v>2.2708072938000001E-3</v>
      </c>
      <c r="K1212">
        <v>2.1332467650000001E-3</v>
      </c>
      <c r="L1212">
        <v>2.1905066949999999E-3</v>
      </c>
      <c r="M1212">
        <v>2.2151986409999999E-3</v>
      </c>
      <c r="N1212">
        <v>2.2291942339999998E-3</v>
      </c>
      <c r="O1212">
        <v>0</v>
      </c>
      <c r="P1212">
        <v>0</v>
      </c>
      <c r="Q1212">
        <v>0</v>
      </c>
      <c r="R1212" t="s">
        <v>243</v>
      </c>
    </row>
    <row r="1213" spans="1:18" x14ac:dyDescent="0.3">
      <c r="A1213" t="s">
        <v>259</v>
      </c>
      <c r="B1213" t="s">
        <v>22</v>
      </c>
      <c r="C1213" t="s">
        <v>300</v>
      </c>
      <c r="D1213">
        <v>1.23913152399999E-3</v>
      </c>
      <c r="E1213">
        <v>2.8530689000000001E-3</v>
      </c>
      <c r="F1213">
        <v>3.3585548699999902E-3</v>
      </c>
      <c r="G1213">
        <v>3.3736190299999999E-3</v>
      </c>
      <c r="H1213">
        <v>2.4983025139999901E-3</v>
      </c>
      <c r="I1213">
        <v>2.5888225370000002E-3</v>
      </c>
      <c r="J1213">
        <v>2.5279268574000002E-3</v>
      </c>
      <c r="K1213">
        <v>2.3591192570000001E-3</v>
      </c>
      <c r="L1213">
        <v>2.4016528929999901E-3</v>
      </c>
      <c r="M1213">
        <v>2.4115562389999999E-3</v>
      </c>
      <c r="N1213">
        <v>2.4095488650000001E-3</v>
      </c>
      <c r="O1213">
        <v>0</v>
      </c>
      <c r="P1213">
        <v>0</v>
      </c>
      <c r="Q1213">
        <v>0</v>
      </c>
      <c r="R1213" t="s">
        <v>243</v>
      </c>
    </row>
    <row r="1214" spans="1:18" x14ac:dyDescent="0.3">
      <c r="A1214" t="s">
        <v>259</v>
      </c>
      <c r="B1214" t="s">
        <v>22</v>
      </c>
      <c r="C1214" t="s">
        <v>301</v>
      </c>
      <c r="D1214">
        <v>1.382994117E-3</v>
      </c>
      <c r="E1214">
        <v>3.10339872E-3</v>
      </c>
      <c r="F1214">
        <v>3.6445067099999998E-3</v>
      </c>
      <c r="G1214">
        <v>3.6902481599999999E-3</v>
      </c>
      <c r="H1214">
        <v>2.7977860890000001E-3</v>
      </c>
      <c r="I1214">
        <v>2.8817213399999998E-3</v>
      </c>
      <c r="J1214">
        <v>2.7932305399999999E-3</v>
      </c>
      <c r="K1214">
        <v>2.5862553989999901E-3</v>
      </c>
      <c r="L1214">
        <v>2.6115261600000001E-3</v>
      </c>
      <c r="M1214">
        <v>2.5997659889999999E-3</v>
      </c>
      <c r="N1214">
        <v>2.5756395849999901E-3</v>
      </c>
      <c r="O1214">
        <v>0</v>
      </c>
      <c r="P1214">
        <v>0</v>
      </c>
      <c r="Q1214">
        <v>0</v>
      </c>
      <c r="R1214" t="s">
        <v>243</v>
      </c>
    </row>
    <row r="1215" spans="1:18" x14ac:dyDescent="0.3">
      <c r="A1215" t="s">
        <v>259</v>
      </c>
      <c r="B1215" t="s">
        <v>22</v>
      </c>
      <c r="C1215" t="s">
        <v>302</v>
      </c>
      <c r="D1215">
        <v>1.5402497349999999E-3</v>
      </c>
      <c r="E1215">
        <v>3.3775038899999999E-3</v>
      </c>
      <c r="F1215">
        <v>3.9463885899999997E-3</v>
      </c>
      <c r="G1215">
        <v>4.0635256999999999E-3</v>
      </c>
      <c r="H1215">
        <v>3.1468123460000001E-3</v>
      </c>
      <c r="I1215">
        <v>3.21266934599999E-3</v>
      </c>
      <c r="J1215">
        <v>3.0900172849999902E-3</v>
      </c>
      <c r="K1215">
        <v>2.8335088899999901E-3</v>
      </c>
      <c r="L1215">
        <v>2.8321309349999902E-3</v>
      </c>
      <c r="M1215">
        <v>2.7931458290000001E-3</v>
      </c>
      <c r="N1215">
        <v>2.7456274669999999E-3</v>
      </c>
      <c r="O1215">
        <v>0</v>
      </c>
      <c r="P1215">
        <v>0</v>
      </c>
      <c r="Q1215">
        <v>0</v>
      </c>
      <c r="R1215" t="s">
        <v>243</v>
      </c>
    </row>
    <row r="1216" spans="1:18" x14ac:dyDescent="0.3">
      <c r="A1216" t="s">
        <v>259</v>
      </c>
      <c r="B1216" t="s">
        <v>22</v>
      </c>
      <c r="C1216" t="s">
        <v>303</v>
      </c>
      <c r="D1216">
        <v>1.7575399630000001E-3</v>
      </c>
      <c r="E1216">
        <v>3.7167256500000002E-3</v>
      </c>
      <c r="F1216">
        <v>4.3155219299999999E-3</v>
      </c>
      <c r="G1216">
        <v>4.4686266299999999E-3</v>
      </c>
      <c r="H1216">
        <v>3.579108129E-3</v>
      </c>
      <c r="I1216">
        <v>3.6209602439999898E-3</v>
      </c>
      <c r="J1216">
        <v>3.4457379999999998E-3</v>
      </c>
      <c r="K1216">
        <v>3.1262391500000001E-3</v>
      </c>
      <c r="L1216">
        <v>3.0918114449999998E-3</v>
      </c>
      <c r="M1216">
        <v>3.0202618730000002E-3</v>
      </c>
      <c r="N1216">
        <v>2.9428741169999998E-3</v>
      </c>
      <c r="O1216">
        <v>0</v>
      </c>
      <c r="P1216">
        <v>0</v>
      </c>
      <c r="Q1216">
        <v>0</v>
      </c>
      <c r="R1216" t="s">
        <v>243</v>
      </c>
    </row>
    <row r="1217" spans="1:18" x14ac:dyDescent="0.3">
      <c r="A1217" t="s">
        <v>259</v>
      </c>
      <c r="B1217" t="s">
        <v>22</v>
      </c>
      <c r="C1217" t="s">
        <v>304</v>
      </c>
      <c r="D1217">
        <v>1.0065600000000001E-3</v>
      </c>
      <c r="E1217">
        <v>1.96203E-3</v>
      </c>
      <c r="F1217">
        <v>2.08019E-3</v>
      </c>
      <c r="G1217">
        <v>1.8919E-3</v>
      </c>
      <c r="H1217">
        <v>1.9657239999999999E-3</v>
      </c>
      <c r="I1217">
        <v>1.9998529999999998E-3</v>
      </c>
      <c r="J1217">
        <v>2.036885E-3</v>
      </c>
      <c r="K1217">
        <v>2.0563389999999999E-3</v>
      </c>
      <c r="L1217">
        <v>2.0671370000000001E-3</v>
      </c>
      <c r="M1217">
        <v>2.0612970000000001E-3</v>
      </c>
      <c r="N1217">
        <v>2.0448129999999999E-3</v>
      </c>
      <c r="O1217">
        <v>0</v>
      </c>
      <c r="P1217">
        <v>0</v>
      </c>
      <c r="Q1217">
        <v>0</v>
      </c>
      <c r="R1217" t="s">
        <v>243</v>
      </c>
    </row>
    <row r="1218" spans="1:18" x14ac:dyDescent="0.3">
      <c r="A1218" t="s">
        <v>259</v>
      </c>
      <c r="B1218" t="s">
        <v>22</v>
      </c>
      <c r="C1218" t="s">
        <v>305</v>
      </c>
      <c r="D1218">
        <v>1.90577E-3</v>
      </c>
      <c r="E1218">
        <v>3.5298E-3</v>
      </c>
      <c r="F1218">
        <v>3.80124E-3</v>
      </c>
      <c r="G1218">
        <v>3.7133000000000001E-3</v>
      </c>
      <c r="H1218">
        <v>3.60268E-3</v>
      </c>
      <c r="I1218">
        <v>3.6545549999999999E-3</v>
      </c>
      <c r="J1218">
        <v>3.6032729999999902E-3</v>
      </c>
      <c r="K1218">
        <v>3.551083E-3</v>
      </c>
      <c r="L1218">
        <v>3.4993009999999998E-3</v>
      </c>
      <c r="M1218">
        <v>3.434182E-3</v>
      </c>
      <c r="N1218">
        <v>3.3595969999999902E-3</v>
      </c>
      <c r="O1218">
        <v>0</v>
      </c>
      <c r="P1218">
        <v>0</v>
      </c>
      <c r="Q1218">
        <v>0</v>
      </c>
      <c r="R1218" t="s">
        <v>243</v>
      </c>
    </row>
    <row r="1219" spans="1:18" x14ac:dyDescent="0.3">
      <c r="A1219" t="s">
        <v>259</v>
      </c>
      <c r="B1219" t="s">
        <v>22</v>
      </c>
      <c r="C1219" t="s">
        <v>306</v>
      </c>
      <c r="D1219">
        <v>1.23109E-3</v>
      </c>
      <c r="E1219">
        <v>2.3502499999999999E-3</v>
      </c>
      <c r="F1219">
        <v>2.5051399999999999E-3</v>
      </c>
      <c r="G1219">
        <v>2.3852299999999999E-3</v>
      </c>
      <c r="H1219">
        <v>2.3669799999999999E-3</v>
      </c>
      <c r="I1219">
        <v>2.3977949999999999E-3</v>
      </c>
      <c r="J1219">
        <v>2.4038570000000001E-3</v>
      </c>
      <c r="K1219">
        <v>2.3972020000000002E-3</v>
      </c>
      <c r="L1219">
        <v>2.3873929999999998E-3</v>
      </c>
      <c r="M1219">
        <v>2.3659049999999902E-3</v>
      </c>
      <c r="N1219">
        <v>2.3367470000000001E-3</v>
      </c>
      <c r="O1219">
        <v>0</v>
      </c>
      <c r="P1219">
        <v>0</v>
      </c>
      <c r="Q1219">
        <v>0</v>
      </c>
      <c r="R1219" t="s">
        <v>243</v>
      </c>
    </row>
    <row r="1220" spans="1:18" x14ac:dyDescent="0.3">
      <c r="A1220" t="s">
        <v>259</v>
      </c>
      <c r="B1220" t="s">
        <v>22</v>
      </c>
      <c r="C1220" t="s">
        <v>307</v>
      </c>
      <c r="D1220">
        <v>1.3547399999999999E-3</v>
      </c>
      <c r="E1220">
        <v>2.5227299999999999E-3</v>
      </c>
      <c r="F1220">
        <v>2.70747E-3</v>
      </c>
      <c r="G1220">
        <v>2.6134800000000001E-3</v>
      </c>
      <c r="H1220">
        <v>2.5433320000000001E-3</v>
      </c>
      <c r="I1220">
        <v>2.606779E-3</v>
      </c>
      <c r="J1220">
        <v>2.5973789999999999E-3</v>
      </c>
      <c r="K1220">
        <v>2.5791709999999999E-3</v>
      </c>
      <c r="L1220">
        <v>2.5601949999999999E-3</v>
      </c>
      <c r="M1220">
        <v>2.529772E-3</v>
      </c>
      <c r="N1220">
        <v>2.4924880000000002E-3</v>
      </c>
      <c r="O1220">
        <v>0</v>
      </c>
      <c r="P1220">
        <v>0</v>
      </c>
      <c r="Q1220">
        <v>0</v>
      </c>
      <c r="R1220" t="s">
        <v>243</v>
      </c>
    </row>
    <row r="1221" spans="1:18" x14ac:dyDescent="0.3">
      <c r="A1221" t="s">
        <v>259</v>
      </c>
      <c r="B1221" t="s">
        <v>22</v>
      </c>
      <c r="C1221" t="s">
        <v>308</v>
      </c>
      <c r="D1221">
        <v>1.42633E-3</v>
      </c>
      <c r="E1221">
        <v>2.6413000000000001E-3</v>
      </c>
      <c r="F1221">
        <v>2.8436400000000001E-3</v>
      </c>
      <c r="G1221">
        <v>2.7609499999999999E-3</v>
      </c>
      <c r="H1221">
        <v>2.6818099999999902E-3</v>
      </c>
      <c r="I1221">
        <v>2.7392879999999999E-3</v>
      </c>
      <c r="J1221">
        <v>2.7232899999999902E-3</v>
      </c>
      <c r="K1221">
        <v>2.70105899999999E-3</v>
      </c>
      <c r="L1221">
        <v>2.6790579999999998E-3</v>
      </c>
      <c r="M1221">
        <v>2.645517E-3</v>
      </c>
      <c r="N1221">
        <v>2.6041249999999901E-3</v>
      </c>
      <c r="O1221">
        <v>0</v>
      </c>
      <c r="P1221">
        <v>0</v>
      </c>
      <c r="Q1221">
        <v>0</v>
      </c>
      <c r="R1221" t="s">
        <v>243</v>
      </c>
    </row>
    <row r="1222" spans="1:18" x14ac:dyDescent="0.3">
      <c r="A1222" t="s">
        <v>259</v>
      </c>
      <c r="B1222" t="s">
        <v>22</v>
      </c>
      <c r="C1222" t="s">
        <v>309</v>
      </c>
      <c r="D1222">
        <v>1.4861900000000001E-3</v>
      </c>
      <c r="E1222">
        <v>2.74618E-3</v>
      </c>
      <c r="F1222">
        <v>2.9560699999999999E-3</v>
      </c>
      <c r="G1222">
        <v>2.8754800000000001E-3</v>
      </c>
      <c r="H1222">
        <v>2.7911300000000002E-3</v>
      </c>
      <c r="I1222">
        <v>2.8522140000000001E-3</v>
      </c>
      <c r="J1222">
        <v>2.8318060000000001E-3</v>
      </c>
      <c r="K1222">
        <v>2.8054830000000001E-3</v>
      </c>
      <c r="L1222">
        <v>2.7810880000000001E-3</v>
      </c>
      <c r="M1222">
        <v>2.7441660000000001E-3</v>
      </c>
      <c r="N1222">
        <v>2.6987640000000002E-3</v>
      </c>
      <c r="O1222">
        <v>0</v>
      </c>
      <c r="P1222">
        <v>0</v>
      </c>
      <c r="Q1222">
        <v>0</v>
      </c>
      <c r="R1222" t="s">
        <v>243</v>
      </c>
    </row>
    <row r="1223" spans="1:18" x14ac:dyDescent="0.3">
      <c r="A1223" t="s">
        <v>259</v>
      </c>
      <c r="B1223" t="s">
        <v>22</v>
      </c>
      <c r="C1223" t="s">
        <v>310</v>
      </c>
      <c r="D1223">
        <v>1.54049E-3</v>
      </c>
      <c r="E1223">
        <v>2.8423799999999998E-3</v>
      </c>
      <c r="F1223">
        <v>3.0604500000000001E-3</v>
      </c>
      <c r="G1223">
        <v>2.98154E-3</v>
      </c>
      <c r="H1223">
        <v>2.8932099999999998E-3</v>
      </c>
      <c r="I1223">
        <v>2.9565759999999998E-3</v>
      </c>
      <c r="J1223">
        <v>2.931192E-3</v>
      </c>
      <c r="K1223">
        <v>2.9021210000000001E-3</v>
      </c>
      <c r="L1223">
        <v>2.8737440000000001E-3</v>
      </c>
      <c r="M1223">
        <v>2.8341270000000001E-3</v>
      </c>
      <c r="N1223">
        <v>2.7856959999999998E-3</v>
      </c>
      <c r="O1223">
        <v>0</v>
      </c>
      <c r="P1223">
        <v>0</v>
      </c>
      <c r="Q1223">
        <v>0</v>
      </c>
      <c r="R1223" t="s">
        <v>243</v>
      </c>
    </row>
    <row r="1224" spans="1:18" x14ac:dyDescent="0.3">
      <c r="A1224" t="s">
        <v>259</v>
      </c>
      <c r="B1224" t="s">
        <v>22</v>
      </c>
      <c r="C1224" t="s">
        <v>311</v>
      </c>
      <c r="D1224">
        <v>1.59578E-3</v>
      </c>
      <c r="E1224">
        <v>2.9390100000000001E-3</v>
      </c>
      <c r="F1224">
        <v>3.1663099999999999E-3</v>
      </c>
      <c r="G1224">
        <v>3.0846599999999999E-3</v>
      </c>
      <c r="H1224">
        <v>2.99292E-3</v>
      </c>
      <c r="I1224">
        <v>3.061757E-3</v>
      </c>
      <c r="J1224">
        <v>3.0320310000000001E-3</v>
      </c>
      <c r="K1224">
        <v>2.9992299999999999E-3</v>
      </c>
      <c r="L1224">
        <v>2.96773E-3</v>
      </c>
      <c r="M1224">
        <v>2.9239420000000001E-3</v>
      </c>
      <c r="N1224">
        <v>2.870704E-3</v>
      </c>
      <c r="O1224">
        <v>0</v>
      </c>
      <c r="P1224">
        <v>0</v>
      </c>
      <c r="Q1224">
        <v>0</v>
      </c>
      <c r="R1224" t="s">
        <v>243</v>
      </c>
    </row>
    <row r="1225" spans="1:18" x14ac:dyDescent="0.3">
      <c r="A1225" t="s">
        <v>259</v>
      </c>
      <c r="B1225" t="s">
        <v>22</v>
      </c>
      <c r="C1225" t="s">
        <v>312</v>
      </c>
      <c r="D1225">
        <v>1.6543199999999999E-3</v>
      </c>
      <c r="E1225">
        <v>3.0486100000000002E-3</v>
      </c>
      <c r="F1225">
        <v>3.28328E-3</v>
      </c>
      <c r="G1225">
        <v>3.2091200000000002E-3</v>
      </c>
      <c r="H1225">
        <v>3.11356E-3</v>
      </c>
      <c r="I1225">
        <v>3.1775009999999901E-3</v>
      </c>
      <c r="J1225">
        <v>3.1445900000000001E-3</v>
      </c>
      <c r="K1225">
        <v>3.1077460000000002E-3</v>
      </c>
      <c r="L1225">
        <v>3.071491E-3</v>
      </c>
      <c r="M1225">
        <v>3.0229799999999898E-3</v>
      </c>
      <c r="N1225">
        <v>2.9658050000000002E-3</v>
      </c>
      <c r="O1225">
        <v>0</v>
      </c>
      <c r="P1225">
        <v>0</v>
      </c>
      <c r="Q1225">
        <v>0</v>
      </c>
      <c r="R1225" t="s">
        <v>243</v>
      </c>
    </row>
    <row r="1226" spans="1:18" x14ac:dyDescent="0.3">
      <c r="A1226" t="s">
        <v>259</v>
      </c>
      <c r="B1226" t="s">
        <v>22</v>
      </c>
      <c r="C1226" t="s">
        <v>313</v>
      </c>
      <c r="D1226">
        <v>1.7352100000000001E-3</v>
      </c>
      <c r="E1226">
        <v>3.1951900000000001E-3</v>
      </c>
      <c r="F1226">
        <v>3.4394899999999999E-3</v>
      </c>
      <c r="G1226">
        <v>3.3532000000000002E-3</v>
      </c>
      <c r="H1226">
        <v>3.2533099999999902E-3</v>
      </c>
      <c r="I1226">
        <v>3.3248029999999999E-3</v>
      </c>
      <c r="J1226">
        <v>3.2862630000000002E-3</v>
      </c>
      <c r="K1226">
        <v>3.2457299999999901E-3</v>
      </c>
      <c r="L1226">
        <v>3.206394E-3</v>
      </c>
      <c r="M1226">
        <v>3.154413E-3</v>
      </c>
      <c r="N1226">
        <v>3.0926920000000002E-3</v>
      </c>
      <c r="O1226">
        <v>0</v>
      </c>
      <c r="P1226">
        <v>0</v>
      </c>
      <c r="Q1226">
        <v>0</v>
      </c>
      <c r="R1226" t="s">
        <v>243</v>
      </c>
    </row>
    <row r="1227" spans="1:18" x14ac:dyDescent="0.3">
      <c r="A1227" t="s">
        <v>259</v>
      </c>
      <c r="B1227" t="s">
        <v>22</v>
      </c>
      <c r="C1227" t="s">
        <v>314</v>
      </c>
      <c r="D1227" s="8">
        <v>1.3569600000000001E-4</v>
      </c>
      <c r="E1227" s="8">
        <v>2.74531E-4</v>
      </c>
      <c r="F1227" s="8">
        <v>2.90902E-4</v>
      </c>
      <c r="G1227" s="8">
        <v>2.5899300000000001E-4</v>
      </c>
      <c r="H1227" s="8">
        <v>2.7236200000000001E-4</v>
      </c>
      <c r="I1227" s="8">
        <v>2.7502700000000001E-4</v>
      </c>
      <c r="J1227" s="8">
        <v>2.81895E-4</v>
      </c>
      <c r="K1227" s="8">
        <v>2.8452099999999998E-4</v>
      </c>
      <c r="L1227" s="8">
        <v>2.8519299999999999E-4</v>
      </c>
      <c r="M1227" s="8">
        <v>2.8323200000000001E-4</v>
      </c>
      <c r="N1227" s="8">
        <v>2.7901199999999998E-4</v>
      </c>
      <c r="O1227">
        <v>0</v>
      </c>
      <c r="P1227">
        <v>0</v>
      </c>
      <c r="Q1227">
        <v>0</v>
      </c>
      <c r="R1227" t="s">
        <v>243</v>
      </c>
    </row>
    <row r="1228" spans="1:18" x14ac:dyDescent="0.3">
      <c r="A1228" t="s">
        <v>259</v>
      </c>
      <c r="B1228" t="s">
        <v>22</v>
      </c>
      <c r="C1228" t="s">
        <v>315</v>
      </c>
      <c r="D1228" s="8">
        <v>2.8364900000000002E-4</v>
      </c>
      <c r="E1228" s="8">
        <v>5.1944299999999997E-4</v>
      </c>
      <c r="F1228" s="8">
        <v>5.5932099999999999E-4</v>
      </c>
      <c r="G1228" s="8">
        <v>5.4856999999999996E-4</v>
      </c>
      <c r="H1228" s="8">
        <v>5.2443499999999996E-4</v>
      </c>
      <c r="I1228" s="8">
        <v>5.2485100000000001E-4</v>
      </c>
      <c r="J1228" s="8">
        <v>5.1420999999999997E-4</v>
      </c>
      <c r="K1228" s="8">
        <v>5.0111299999999997E-4</v>
      </c>
      <c r="L1228" s="8">
        <v>4.8867699999999997E-4</v>
      </c>
      <c r="M1228" s="8">
        <v>4.7526799999999999E-4</v>
      </c>
      <c r="N1228" s="8">
        <v>4.6018099999999999E-4</v>
      </c>
      <c r="O1228">
        <v>0</v>
      </c>
      <c r="P1228">
        <v>0</v>
      </c>
      <c r="Q1228">
        <v>0</v>
      </c>
      <c r="R1228" t="s">
        <v>243</v>
      </c>
    </row>
    <row r="1229" spans="1:18" x14ac:dyDescent="0.3">
      <c r="A1229" t="s">
        <v>259</v>
      </c>
      <c r="B1229" t="s">
        <v>22</v>
      </c>
      <c r="C1229" t="s">
        <v>316</v>
      </c>
      <c r="D1229" s="8">
        <v>1.74162E-4</v>
      </c>
      <c r="E1229" s="8">
        <v>3.4080999999999998E-4</v>
      </c>
      <c r="F1229" s="8">
        <v>3.6309100000000001E-4</v>
      </c>
      <c r="G1229" s="8">
        <v>3.4204599999999998E-4</v>
      </c>
      <c r="H1229" s="8">
        <v>3.3935200000000001E-4</v>
      </c>
      <c r="I1229" s="8">
        <v>3.4023300000000001E-4</v>
      </c>
      <c r="J1229" s="8">
        <v>3.40828E-4</v>
      </c>
      <c r="K1229" s="8">
        <v>3.3730099999999997E-4</v>
      </c>
      <c r="L1229" s="8">
        <v>3.3299399999999998E-4</v>
      </c>
      <c r="M1229" s="8">
        <v>3.2727E-4</v>
      </c>
      <c r="N1229" s="8">
        <v>3.20036E-4</v>
      </c>
      <c r="O1229">
        <v>0</v>
      </c>
      <c r="P1229">
        <v>0</v>
      </c>
      <c r="Q1229">
        <v>0</v>
      </c>
      <c r="R1229" t="s">
        <v>243</v>
      </c>
    </row>
    <row r="1230" spans="1:18" x14ac:dyDescent="0.3">
      <c r="A1230" t="s">
        <v>259</v>
      </c>
      <c r="B1230" t="s">
        <v>22</v>
      </c>
      <c r="C1230" t="s">
        <v>317</v>
      </c>
      <c r="D1230" s="8">
        <v>1.9629599999999999E-4</v>
      </c>
      <c r="E1230" s="8">
        <v>3.6909099999999999E-4</v>
      </c>
      <c r="F1230" s="8">
        <v>3.9618500000000002E-4</v>
      </c>
      <c r="G1230" s="8">
        <v>3.81011E-4</v>
      </c>
      <c r="H1230" s="8">
        <v>3.6741500000000001E-4</v>
      </c>
      <c r="I1230" s="8">
        <v>3.7304599999999998E-4</v>
      </c>
      <c r="J1230" s="8">
        <v>3.7008899999999999E-4</v>
      </c>
      <c r="K1230" s="8">
        <v>3.63765E-4</v>
      </c>
      <c r="L1230" s="8">
        <v>3.5748600000000001E-4</v>
      </c>
      <c r="M1230" s="8">
        <v>3.5009199999999998E-4</v>
      </c>
      <c r="N1230" s="8">
        <v>3.4141299999999999E-4</v>
      </c>
      <c r="O1230">
        <v>0</v>
      </c>
      <c r="P1230">
        <v>0</v>
      </c>
      <c r="Q1230">
        <v>0</v>
      </c>
      <c r="R1230" t="s">
        <v>243</v>
      </c>
    </row>
    <row r="1231" spans="1:18" x14ac:dyDescent="0.3">
      <c r="A1231" t="s">
        <v>259</v>
      </c>
      <c r="B1231" t="s">
        <v>22</v>
      </c>
      <c r="C1231" t="s">
        <v>318</v>
      </c>
      <c r="D1231" s="8">
        <v>2.0894500000000001E-4</v>
      </c>
      <c r="E1231" s="8">
        <v>3.8770999999999999E-4</v>
      </c>
      <c r="F1231" s="8">
        <v>4.1747900000000001E-4</v>
      </c>
      <c r="G1231" s="8">
        <v>4.0531699999999998E-4</v>
      </c>
      <c r="H1231" s="8">
        <v>3.8913899999999999E-4</v>
      </c>
      <c r="I1231" s="8">
        <v>3.9291899999999998E-4</v>
      </c>
      <c r="J1231" s="8">
        <v>3.8846099999999999E-4</v>
      </c>
      <c r="K1231" s="8">
        <v>3.8111999999999998E-4</v>
      </c>
      <c r="L1231" s="8">
        <v>3.7413499999999999E-4</v>
      </c>
      <c r="M1231" s="8">
        <v>3.66127E-4</v>
      </c>
      <c r="N1231" s="8">
        <v>3.56707E-4</v>
      </c>
      <c r="O1231">
        <v>0</v>
      </c>
      <c r="P1231">
        <v>0</v>
      </c>
      <c r="Q1231">
        <v>0</v>
      </c>
      <c r="R1231" t="s">
        <v>243</v>
      </c>
    </row>
    <row r="1232" spans="1:18" x14ac:dyDescent="0.3">
      <c r="A1232" t="s">
        <v>259</v>
      </c>
      <c r="B1232" t="s">
        <v>22</v>
      </c>
      <c r="C1232" t="s">
        <v>319</v>
      </c>
      <c r="D1232" s="8">
        <v>2.1919800000000001E-4</v>
      </c>
      <c r="E1232" s="8">
        <v>4.0370899999999998E-4</v>
      </c>
      <c r="F1232" s="8">
        <v>4.3456700000000002E-4</v>
      </c>
      <c r="G1232" s="8">
        <v>4.2351200000000002E-4</v>
      </c>
      <c r="H1232" s="8">
        <v>4.0577300000000001E-4</v>
      </c>
      <c r="I1232" s="8">
        <v>4.0946800000000002E-4</v>
      </c>
      <c r="J1232" s="8">
        <v>4.0407300000000002E-4</v>
      </c>
      <c r="K1232" s="8">
        <v>3.9589200000000001E-4</v>
      </c>
      <c r="L1232" s="8">
        <v>3.8839400000000002E-4</v>
      </c>
      <c r="M1232" s="8">
        <v>3.7978000000000003E-4</v>
      </c>
      <c r="N1232" s="8">
        <v>3.6967E-4</v>
      </c>
      <c r="O1232">
        <v>0</v>
      </c>
      <c r="P1232">
        <v>0</v>
      </c>
      <c r="Q1232">
        <v>0</v>
      </c>
      <c r="R1232" t="s">
        <v>243</v>
      </c>
    </row>
    <row r="1233" spans="1:18" x14ac:dyDescent="0.3">
      <c r="A1233" t="s">
        <v>259</v>
      </c>
      <c r="B1233" t="s">
        <v>22</v>
      </c>
      <c r="C1233" t="s">
        <v>320</v>
      </c>
      <c r="D1233" s="8">
        <v>2.2816000000000001E-4</v>
      </c>
      <c r="E1233" s="8">
        <v>4.1811799999999998E-4</v>
      </c>
      <c r="F1233" s="8">
        <v>4.5016899999999999E-4</v>
      </c>
      <c r="G1233" s="8">
        <v>4.3987600000000001E-4</v>
      </c>
      <c r="H1233" s="8">
        <v>4.2096000000000001E-4</v>
      </c>
      <c r="I1233" s="8">
        <v>4.24578E-4</v>
      </c>
      <c r="J1233" s="8">
        <v>4.18291E-4</v>
      </c>
      <c r="K1233" s="8">
        <v>4.09536E-4</v>
      </c>
      <c r="L1233" s="8">
        <v>4.0133299999999997E-4</v>
      </c>
      <c r="M1233" s="8">
        <v>3.9222999999999998E-4</v>
      </c>
      <c r="N1233" s="8">
        <v>3.8157700000000002E-4</v>
      </c>
      <c r="O1233">
        <v>0</v>
      </c>
      <c r="P1233">
        <v>0</v>
      </c>
      <c r="Q1233">
        <v>0</v>
      </c>
      <c r="R1233" t="s">
        <v>243</v>
      </c>
    </row>
    <row r="1234" spans="1:18" x14ac:dyDescent="0.3">
      <c r="A1234" t="s">
        <v>259</v>
      </c>
      <c r="B1234" t="s">
        <v>22</v>
      </c>
      <c r="C1234" t="s">
        <v>321</v>
      </c>
      <c r="D1234" s="8">
        <v>2.36963E-4</v>
      </c>
      <c r="E1234" s="8">
        <v>4.3245000000000002E-4</v>
      </c>
      <c r="F1234" s="8">
        <v>4.65849E-4</v>
      </c>
      <c r="G1234" s="8">
        <v>4.5546200000000001E-4</v>
      </c>
      <c r="H1234" s="8">
        <v>4.35613E-4</v>
      </c>
      <c r="I1234" s="8">
        <v>4.3972999999999999E-4</v>
      </c>
      <c r="J1234" s="8">
        <v>4.3269000000000001E-4</v>
      </c>
      <c r="K1234" s="8">
        <v>4.2323799999999999E-4</v>
      </c>
      <c r="L1234" s="8">
        <v>4.1445799999999998E-4</v>
      </c>
      <c r="M1234" s="8">
        <v>4.0465899999999998E-4</v>
      </c>
      <c r="N1234" s="8">
        <v>3.9321899999999999E-4</v>
      </c>
      <c r="O1234">
        <v>0</v>
      </c>
      <c r="P1234">
        <v>0</v>
      </c>
      <c r="Q1234">
        <v>0</v>
      </c>
      <c r="R1234" t="s">
        <v>243</v>
      </c>
    </row>
    <row r="1235" spans="1:18" x14ac:dyDescent="0.3">
      <c r="A1235" t="s">
        <v>259</v>
      </c>
      <c r="B1235" t="s">
        <v>22</v>
      </c>
      <c r="C1235" t="s">
        <v>322</v>
      </c>
      <c r="D1235" s="8">
        <v>2.46006E-4</v>
      </c>
      <c r="E1235" s="8">
        <v>4.4862E-4</v>
      </c>
      <c r="F1235" s="8">
        <v>4.8309699999999999E-4</v>
      </c>
      <c r="G1235" s="8">
        <v>4.7402399999999997E-4</v>
      </c>
      <c r="H1235" s="8">
        <v>4.5322E-4</v>
      </c>
      <c r="I1235" s="8">
        <v>4.5635599999999999E-4</v>
      </c>
      <c r="J1235" s="8">
        <v>4.4875600000000002E-4</v>
      </c>
      <c r="K1235" s="8">
        <v>4.3855199999999998E-4</v>
      </c>
      <c r="L1235" s="8">
        <v>4.2894500000000002E-4</v>
      </c>
      <c r="M1235" s="8">
        <v>4.1836500000000002E-4</v>
      </c>
      <c r="N1235" s="8">
        <v>4.0624600000000003E-4</v>
      </c>
      <c r="O1235">
        <v>0</v>
      </c>
      <c r="P1235">
        <v>0</v>
      </c>
      <c r="Q1235">
        <v>0</v>
      </c>
      <c r="R1235" t="s">
        <v>243</v>
      </c>
    </row>
    <row r="1236" spans="1:18" x14ac:dyDescent="0.3">
      <c r="A1236" t="s">
        <v>259</v>
      </c>
      <c r="B1236" t="s">
        <v>22</v>
      </c>
      <c r="C1236" t="s">
        <v>323</v>
      </c>
      <c r="D1236" s="8">
        <v>2.5821900000000002E-4</v>
      </c>
      <c r="E1236" s="8">
        <v>4.7020100000000001E-4</v>
      </c>
      <c r="F1236" s="8">
        <v>5.0609099999999996E-4</v>
      </c>
      <c r="G1236" s="8">
        <v>4.9536299999999997E-4</v>
      </c>
      <c r="H1236" s="8">
        <v>4.7357699999999998E-4</v>
      </c>
      <c r="I1236" s="8">
        <v>4.7752E-4</v>
      </c>
      <c r="J1236" s="8">
        <v>4.6897099999999999E-4</v>
      </c>
      <c r="K1236" s="8">
        <v>4.5802100000000002E-4</v>
      </c>
      <c r="L1236" s="8">
        <v>4.4778500000000002E-4</v>
      </c>
      <c r="M1236" s="8">
        <v>4.3655300000000001E-4</v>
      </c>
      <c r="N1236" s="8">
        <v>4.2362299999999998E-4</v>
      </c>
      <c r="O1236">
        <v>0</v>
      </c>
      <c r="P1236">
        <v>0</v>
      </c>
      <c r="Q1236">
        <v>0</v>
      </c>
      <c r="R1236" t="s">
        <v>243</v>
      </c>
    </row>
    <row r="1237" spans="1:18" x14ac:dyDescent="0.3">
      <c r="A1237" t="s">
        <v>259</v>
      </c>
      <c r="B1237" t="s">
        <v>32</v>
      </c>
      <c r="C1237" t="s">
        <v>261</v>
      </c>
      <c r="D1237">
        <v>1.6355999999999901E-3</v>
      </c>
      <c r="E1237">
        <v>3.329154E-3</v>
      </c>
      <c r="F1237">
        <v>3.684756E-3</v>
      </c>
      <c r="G1237">
        <v>2.5870450000000001E-3</v>
      </c>
      <c r="H1237">
        <v>3.1258420999999998E-3</v>
      </c>
      <c r="I1237">
        <v>3.5470377999999901E-3</v>
      </c>
      <c r="J1237">
        <v>3.7013262000000001E-3</v>
      </c>
      <c r="K1237">
        <v>3.8467633000000001E-3</v>
      </c>
      <c r="L1237">
        <v>3.8505625999999999E-3</v>
      </c>
      <c r="M1237">
        <v>3.7633122000000001E-3</v>
      </c>
      <c r="N1237">
        <v>3.6410136E-3</v>
      </c>
      <c r="O1237">
        <v>0</v>
      </c>
      <c r="P1237">
        <v>0</v>
      </c>
      <c r="Q1237">
        <v>0</v>
      </c>
      <c r="R1237" t="s">
        <v>243</v>
      </c>
    </row>
    <row r="1238" spans="1:18" x14ac:dyDescent="0.3">
      <c r="A1238" t="s">
        <v>259</v>
      </c>
      <c r="B1238" t="s">
        <v>32</v>
      </c>
      <c r="C1238" t="s">
        <v>262</v>
      </c>
      <c r="D1238">
        <v>4.6248402004000003E-2</v>
      </c>
      <c r="E1238">
        <v>6.5210765799599904E-2</v>
      </c>
      <c r="F1238">
        <v>5.2219377789000002E-2</v>
      </c>
      <c r="G1238">
        <v>3.9223712010999903E-2</v>
      </c>
      <c r="H1238">
        <v>3.8174386603999903E-2</v>
      </c>
      <c r="I1238">
        <v>3.9857919821999897E-2</v>
      </c>
      <c r="J1238">
        <v>3.9968468972000001E-2</v>
      </c>
      <c r="K1238">
        <v>3.7811061569999901E-2</v>
      </c>
      <c r="L1238">
        <v>3.3264993190999903E-2</v>
      </c>
      <c r="M1238">
        <v>3.1636076372999998E-2</v>
      </c>
      <c r="N1238">
        <v>2.9905588152999901E-2</v>
      </c>
      <c r="O1238">
        <v>0</v>
      </c>
      <c r="P1238">
        <v>0</v>
      </c>
      <c r="Q1238">
        <v>0</v>
      </c>
      <c r="R1238" t="s">
        <v>243</v>
      </c>
    </row>
    <row r="1239" spans="1:18" x14ac:dyDescent="0.3">
      <c r="A1239" t="s">
        <v>259</v>
      </c>
      <c r="B1239" t="s">
        <v>32</v>
      </c>
      <c r="C1239" t="s">
        <v>263</v>
      </c>
      <c r="D1239">
        <v>3.4006489000000001E-2</v>
      </c>
      <c r="E1239">
        <v>7.3363697999999894E-2</v>
      </c>
      <c r="F1239">
        <v>6.6689499999999999E-2</v>
      </c>
      <c r="G1239">
        <v>4.8631300000000002E-2</v>
      </c>
      <c r="H1239">
        <v>4.9372250399999998E-2</v>
      </c>
      <c r="I1239">
        <v>5.731487675E-2</v>
      </c>
      <c r="J1239">
        <v>6.2842967900000005E-2</v>
      </c>
      <c r="K1239">
        <v>6.4810341879999997E-2</v>
      </c>
      <c r="L1239">
        <v>6.5390523189999994E-2</v>
      </c>
      <c r="M1239">
        <v>6.5567076320000001E-2</v>
      </c>
      <c r="N1239">
        <v>6.5215363269999896E-2</v>
      </c>
      <c r="O1239">
        <v>0</v>
      </c>
      <c r="P1239">
        <v>0</v>
      </c>
      <c r="Q1239">
        <v>0</v>
      </c>
      <c r="R1239" t="s">
        <v>243</v>
      </c>
    </row>
    <row r="1240" spans="1:18" x14ac:dyDescent="0.3">
      <c r="A1240" t="s">
        <v>259</v>
      </c>
      <c r="B1240" t="s">
        <v>32</v>
      </c>
      <c r="C1240" t="s">
        <v>264</v>
      </c>
      <c r="D1240">
        <v>3.5036904E-3</v>
      </c>
      <c r="E1240">
        <v>2.4129720999999998E-3</v>
      </c>
      <c r="F1240">
        <v>3.0152447000000001E-3</v>
      </c>
      <c r="G1240">
        <v>3.1630565000000002E-3</v>
      </c>
      <c r="H1240">
        <v>3.2950435999999999E-3</v>
      </c>
      <c r="I1240">
        <v>3.5374781999999998E-3</v>
      </c>
      <c r="J1240">
        <v>3.59104949999999E-3</v>
      </c>
      <c r="K1240">
        <v>3.6197836999999999E-3</v>
      </c>
      <c r="L1240">
        <v>3.5745947999999998E-3</v>
      </c>
      <c r="M1240">
        <v>3.4811820999999898E-3</v>
      </c>
      <c r="N1240">
        <v>3.3862243999999999E-3</v>
      </c>
      <c r="O1240">
        <v>0</v>
      </c>
      <c r="P1240">
        <v>0</v>
      </c>
      <c r="Q1240">
        <v>0</v>
      </c>
      <c r="R1240" t="s">
        <v>243</v>
      </c>
    </row>
    <row r="1241" spans="1:18" x14ac:dyDescent="0.3">
      <c r="A1241" t="s">
        <v>259</v>
      </c>
      <c r="B1241" t="s">
        <v>32</v>
      </c>
      <c r="C1241" t="s">
        <v>265</v>
      </c>
      <c r="D1241">
        <v>6.964909E-3</v>
      </c>
      <c r="E1241">
        <v>5.1794570000000002E-3</v>
      </c>
      <c r="F1241">
        <v>6.3135989999999996E-3</v>
      </c>
      <c r="G1241">
        <v>6.2701179999999999E-3</v>
      </c>
      <c r="H1241">
        <v>6.2364039999999897E-3</v>
      </c>
      <c r="I1241">
        <v>6.3499297999999897E-3</v>
      </c>
      <c r="J1241">
        <v>6.2744891999999899E-3</v>
      </c>
      <c r="K1241">
        <v>6.2640038999999996E-3</v>
      </c>
      <c r="L1241">
        <v>6.16076519999999E-3</v>
      </c>
      <c r="M1241">
        <v>5.9864347999999904E-3</v>
      </c>
      <c r="N1241">
        <v>5.8247936999999998E-3</v>
      </c>
      <c r="O1241">
        <v>0</v>
      </c>
      <c r="P1241">
        <v>0</v>
      </c>
      <c r="Q1241">
        <v>0</v>
      </c>
      <c r="R1241" t="s">
        <v>243</v>
      </c>
    </row>
    <row r="1242" spans="1:18" x14ac:dyDescent="0.3">
      <c r="A1242" t="s">
        <v>259</v>
      </c>
      <c r="B1242" t="s">
        <v>32</v>
      </c>
      <c r="C1242" t="s">
        <v>266</v>
      </c>
      <c r="D1242">
        <v>4.4171004000000003E-3</v>
      </c>
      <c r="E1242">
        <v>3.1200500000000001E-3</v>
      </c>
      <c r="F1242">
        <v>3.9367500000000001E-3</v>
      </c>
      <c r="G1242">
        <v>4.0092640000000002E-3</v>
      </c>
      <c r="H1242">
        <v>4.0352054999999902E-3</v>
      </c>
      <c r="I1242">
        <v>4.1887585999999897E-3</v>
      </c>
      <c r="J1242">
        <v>4.1833547E-3</v>
      </c>
      <c r="K1242">
        <v>4.1977663999999996E-3</v>
      </c>
      <c r="L1242">
        <v>4.1397147999999899E-3</v>
      </c>
      <c r="M1242">
        <v>4.0302862999999998E-3</v>
      </c>
      <c r="N1242">
        <v>3.9242484999999997E-3</v>
      </c>
      <c r="O1242">
        <v>0</v>
      </c>
      <c r="P1242">
        <v>0</v>
      </c>
      <c r="Q1242">
        <v>0</v>
      </c>
      <c r="R1242" t="s">
        <v>243</v>
      </c>
    </row>
    <row r="1243" spans="1:18" x14ac:dyDescent="0.3">
      <c r="A1243" t="s">
        <v>259</v>
      </c>
      <c r="B1243" t="s">
        <v>32</v>
      </c>
      <c r="C1243" t="s">
        <v>267</v>
      </c>
      <c r="D1243">
        <v>4.9043962999999998E-3</v>
      </c>
      <c r="E1243">
        <v>3.466369E-3</v>
      </c>
      <c r="F1243">
        <v>4.3390540000000002E-3</v>
      </c>
      <c r="G1243">
        <v>4.388126E-3</v>
      </c>
      <c r="H1243">
        <v>4.3705144E-3</v>
      </c>
      <c r="I1243">
        <v>4.50424089999999E-3</v>
      </c>
      <c r="J1243">
        <v>4.4765359999999997E-3</v>
      </c>
      <c r="K1243">
        <v>4.4844324000000001E-3</v>
      </c>
      <c r="L1243">
        <v>4.4182965999999997E-3</v>
      </c>
      <c r="M1243">
        <v>4.2968143999999996E-3</v>
      </c>
      <c r="N1243">
        <v>4.1802784999999997E-3</v>
      </c>
      <c r="O1243">
        <v>0</v>
      </c>
      <c r="P1243">
        <v>0</v>
      </c>
      <c r="Q1243">
        <v>0</v>
      </c>
      <c r="R1243" t="s">
        <v>243</v>
      </c>
    </row>
    <row r="1244" spans="1:18" x14ac:dyDescent="0.3">
      <c r="A1244" t="s">
        <v>259</v>
      </c>
      <c r="B1244" t="s">
        <v>32</v>
      </c>
      <c r="C1244" t="s">
        <v>268</v>
      </c>
      <c r="D1244">
        <v>5.1736350000000002E-3</v>
      </c>
      <c r="E1244">
        <v>3.6971880000000001E-3</v>
      </c>
      <c r="F1244">
        <v>4.6157400000000001E-3</v>
      </c>
      <c r="G1244">
        <v>4.6425099999999999E-3</v>
      </c>
      <c r="H1244">
        <v>4.5981859000000002E-3</v>
      </c>
      <c r="I1244">
        <v>4.7149163999999901E-3</v>
      </c>
      <c r="J1244">
        <v>4.6797130000000003E-3</v>
      </c>
      <c r="K1244">
        <v>4.6859108999999996E-3</v>
      </c>
      <c r="L1244">
        <v>4.6161570000000001E-3</v>
      </c>
      <c r="M1244">
        <v>4.4919981999999997E-3</v>
      </c>
      <c r="N1244">
        <v>4.3740174000000001E-3</v>
      </c>
      <c r="O1244">
        <v>0</v>
      </c>
      <c r="P1244">
        <v>0</v>
      </c>
      <c r="Q1244">
        <v>0</v>
      </c>
      <c r="R1244" t="s">
        <v>243</v>
      </c>
    </row>
    <row r="1245" spans="1:18" x14ac:dyDescent="0.3">
      <c r="A1245" t="s">
        <v>259</v>
      </c>
      <c r="B1245" t="s">
        <v>32</v>
      </c>
      <c r="C1245" t="s">
        <v>269</v>
      </c>
      <c r="D1245">
        <v>5.4020079999999998E-3</v>
      </c>
      <c r="E1245">
        <v>3.8948170000000001E-3</v>
      </c>
      <c r="F1245">
        <v>4.8329849999999997E-3</v>
      </c>
      <c r="G1245">
        <v>4.8554399999999999E-3</v>
      </c>
      <c r="H1245">
        <v>4.7847723999999998E-3</v>
      </c>
      <c r="I1245">
        <v>4.9006970999999899E-3</v>
      </c>
      <c r="J1245">
        <v>4.8606811999999996E-3</v>
      </c>
      <c r="K1245">
        <v>4.8654997999999904E-3</v>
      </c>
      <c r="L1245">
        <v>4.7918581E-3</v>
      </c>
      <c r="M1245">
        <v>4.6593657999999998E-3</v>
      </c>
      <c r="N1245">
        <v>4.5360755000000003E-3</v>
      </c>
      <c r="O1245">
        <v>0</v>
      </c>
      <c r="P1245">
        <v>0</v>
      </c>
      <c r="Q1245">
        <v>0</v>
      </c>
      <c r="R1245" t="s">
        <v>243</v>
      </c>
    </row>
    <row r="1246" spans="1:18" x14ac:dyDescent="0.3">
      <c r="A1246" t="s">
        <v>259</v>
      </c>
      <c r="B1246" t="s">
        <v>32</v>
      </c>
      <c r="C1246" t="s">
        <v>270</v>
      </c>
      <c r="D1246">
        <v>5.6254699999999996E-3</v>
      </c>
      <c r="E1246">
        <v>4.069652E-3</v>
      </c>
      <c r="F1246">
        <v>5.020839E-3</v>
      </c>
      <c r="G1246">
        <v>5.0395689999999998E-3</v>
      </c>
      <c r="H1246">
        <v>4.9620271000000004E-3</v>
      </c>
      <c r="I1246">
        <v>5.0772749999999896E-3</v>
      </c>
      <c r="J1246">
        <v>5.03193759999999E-3</v>
      </c>
      <c r="K1246">
        <v>5.0316507999999998E-3</v>
      </c>
      <c r="L1246">
        <v>4.9515076000000002E-3</v>
      </c>
      <c r="M1246">
        <v>4.81433649999999E-3</v>
      </c>
      <c r="N1246">
        <v>4.6862684999999897E-3</v>
      </c>
      <c r="O1246">
        <v>0</v>
      </c>
      <c r="P1246">
        <v>0</v>
      </c>
      <c r="Q1246">
        <v>0</v>
      </c>
      <c r="R1246" t="s">
        <v>243</v>
      </c>
    </row>
    <row r="1247" spans="1:18" x14ac:dyDescent="0.3">
      <c r="A1247" t="s">
        <v>259</v>
      </c>
      <c r="B1247" t="s">
        <v>32</v>
      </c>
      <c r="C1247" t="s">
        <v>271</v>
      </c>
      <c r="D1247">
        <v>5.8510539999999996E-3</v>
      </c>
      <c r="E1247">
        <v>4.2342829999999897E-3</v>
      </c>
      <c r="F1247">
        <v>5.2045729999999997E-3</v>
      </c>
      <c r="G1247">
        <v>5.2037000000000003E-3</v>
      </c>
      <c r="H1247">
        <v>5.1423158E-3</v>
      </c>
      <c r="I1247">
        <v>5.2503018999999996E-3</v>
      </c>
      <c r="J1247">
        <v>5.1984864999999898E-3</v>
      </c>
      <c r="K1247">
        <v>5.2009513999999998E-3</v>
      </c>
      <c r="L1247">
        <v>5.12150449999999E-3</v>
      </c>
      <c r="M1247">
        <v>4.9805528999999999E-3</v>
      </c>
      <c r="N1247">
        <v>4.8484527000000003E-3</v>
      </c>
      <c r="O1247">
        <v>0</v>
      </c>
      <c r="P1247">
        <v>0</v>
      </c>
      <c r="Q1247">
        <v>0</v>
      </c>
      <c r="R1247" t="s">
        <v>243</v>
      </c>
    </row>
    <row r="1248" spans="1:18" x14ac:dyDescent="0.3">
      <c r="A1248" t="s">
        <v>259</v>
      </c>
      <c r="B1248" t="s">
        <v>32</v>
      </c>
      <c r="C1248" t="s">
        <v>272</v>
      </c>
      <c r="D1248">
        <v>6.07853499999999E-3</v>
      </c>
      <c r="E1248">
        <v>4.4138179999999999E-3</v>
      </c>
      <c r="F1248">
        <v>5.4042529999999899E-3</v>
      </c>
      <c r="G1248">
        <v>5.410509E-3</v>
      </c>
      <c r="H1248">
        <v>5.3370844999999899E-3</v>
      </c>
      <c r="I1248">
        <v>5.4504999999999996E-3</v>
      </c>
      <c r="J1248">
        <v>5.39528219999999E-3</v>
      </c>
      <c r="K1248">
        <v>5.3937083999999903E-3</v>
      </c>
      <c r="L1248">
        <v>5.3089983999999998E-3</v>
      </c>
      <c r="M1248">
        <v>5.1609270999999996E-3</v>
      </c>
      <c r="N1248">
        <v>5.0231810999999899E-3</v>
      </c>
      <c r="O1248">
        <v>0</v>
      </c>
      <c r="P1248">
        <v>0</v>
      </c>
      <c r="Q1248">
        <v>0</v>
      </c>
      <c r="R1248" t="s">
        <v>243</v>
      </c>
    </row>
    <row r="1249" spans="1:18" x14ac:dyDescent="0.3">
      <c r="A1249" t="s">
        <v>259</v>
      </c>
      <c r="B1249" t="s">
        <v>32</v>
      </c>
      <c r="C1249" t="s">
        <v>273</v>
      </c>
      <c r="D1249">
        <v>6.4306279999999999E-3</v>
      </c>
      <c r="E1249">
        <v>4.6282140000000003E-3</v>
      </c>
      <c r="F1249">
        <v>5.6841699999999997E-3</v>
      </c>
      <c r="G1249">
        <v>5.6642069999999897E-3</v>
      </c>
      <c r="H1249">
        <v>5.6068291999999999E-3</v>
      </c>
      <c r="I1249">
        <v>5.7142217999999996E-3</v>
      </c>
      <c r="J1249">
        <v>5.6510429999999997E-3</v>
      </c>
      <c r="K1249">
        <v>5.6486584999999997E-3</v>
      </c>
      <c r="L1249">
        <v>5.5577695999999999E-3</v>
      </c>
      <c r="M1249">
        <v>5.4001062999999997E-3</v>
      </c>
      <c r="N1249">
        <v>5.2533735999999998E-3</v>
      </c>
      <c r="O1249">
        <v>0</v>
      </c>
      <c r="P1249">
        <v>0</v>
      </c>
      <c r="Q1249">
        <v>0</v>
      </c>
      <c r="R1249" t="s">
        <v>243</v>
      </c>
    </row>
    <row r="1250" spans="1:18" x14ac:dyDescent="0.3">
      <c r="A1250" t="s">
        <v>259</v>
      </c>
      <c r="B1250" t="s">
        <v>32</v>
      </c>
      <c r="C1250" t="s">
        <v>274</v>
      </c>
      <c r="D1250" s="8">
        <v>4.64596644999999E-6</v>
      </c>
      <c r="E1250" s="8">
        <v>4.4725982499999902E-6</v>
      </c>
      <c r="F1250" s="8">
        <v>4.9271227600000002E-6</v>
      </c>
      <c r="G1250" s="8">
        <v>4.9865164700000003E-6</v>
      </c>
      <c r="H1250" s="8">
        <v>1.0564982149999999E-5</v>
      </c>
      <c r="I1250" s="8">
        <v>1.2069424554999999E-5</v>
      </c>
      <c r="J1250" s="8">
        <v>1.2866466438E-5</v>
      </c>
      <c r="K1250" s="8">
        <v>1.3963163347999999E-5</v>
      </c>
      <c r="L1250" s="8">
        <v>1.4611919497000001E-5</v>
      </c>
      <c r="M1250" s="8">
        <v>1.4843965824999901E-5</v>
      </c>
      <c r="N1250" s="8">
        <v>1.4798333669999901E-5</v>
      </c>
      <c r="O1250">
        <v>0</v>
      </c>
      <c r="P1250">
        <v>0</v>
      </c>
      <c r="Q1250">
        <v>0</v>
      </c>
      <c r="R1250" t="s">
        <v>243</v>
      </c>
    </row>
    <row r="1251" spans="1:18" x14ac:dyDescent="0.3">
      <c r="A1251" t="s">
        <v>259</v>
      </c>
      <c r="B1251" t="s">
        <v>32</v>
      </c>
      <c r="C1251" t="s">
        <v>275</v>
      </c>
      <c r="D1251" s="8">
        <v>4.7826354700000002E-5</v>
      </c>
      <c r="E1251" s="8">
        <v>6.3334855699999994E-5</v>
      </c>
      <c r="F1251" s="8">
        <v>6.0891745299999901E-5</v>
      </c>
      <c r="G1251" s="8">
        <v>5.6310826299999901E-5</v>
      </c>
      <c r="H1251" s="8">
        <v>8.5719286399999999E-5</v>
      </c>
      <c r="I1251" s="8">
        <v>9.264274904E-5</v>
      </c>
      <c r="J1251" s="8">
        <v>9.3749746169999906E-5</v>
      </c>
      <c r="K1251" s="8">
        <v>9.4498471479999996E-5</v>
      </c>
      <c r="L1251" s="8">
        <v>9.2951698029999997E-5</v>
      </c>
      <c r="M1251" s="8">
        <v>8.9465744559999997E-5</v>
      </c>
      <c r="N1251" s="8">
        <v>8.5370173509999897E-5</v>
      </c>
      <c r="O1251">
        <v>0</v>
      </c>
      <c r="P1251">
        <v>0</v>
      </c>
      <c r="Q1251">
        <v>0</v>
      </c>
      <c r="R1251" t="s">
        <v>243</v>
      </c>
    </row>
    <row r="1252" spans="1:18" x14ac:dyDescent="0.3">
      <c r="A1252" t="s">
        <v>259</v>
      </c>
      <c r="B1252" t="s">
        <v>32</v>
      </c>
      <c r="C1252" t="s">
        <v>276</v>
      </c>
      <c r="D1252" s="8">
        <v>7.9370386100000005E-6</v>
      </c>
      <c r="E1252" s="8">
        <v>8.3559103600000002E-6</v>
      </c>
      <c r="F1252" s="8">
        <v>9.3613711699999992E-6</v>
      </c>
      <c r="G1252" s="8">
        <v>9.4061300499999907E-6</v>
      </c>
      <c r="H1252" s="8">
        <v>1.7692105769999902E-5</v>
      </c>
      <c r="I1252" s="8">
        <v>2.0024101229999999E-5</v>
      </c>
      <c r="J1252" s="8">
        <v>2.1381344174E-5</v>
      </c>
      <c r="K1252" s="8">
        <v>2.3167369826000001E-5</v>
      </c>
      <c r="L1252" s="8">
        <v>2.4229662483999998E-5</v>
      </c>
      <c r="M1252" s="8">
        <v>2.4639745749999899E-5</v>
      </c>
      <c r="N1252" s="8">
        <v>2.4630092399999899E-5</v>
      </c>
      <c r="O1252">
        <v>0</v>
      </c>
      <c r="P1252">
        <v>0</v>
      </c>
      <c r="Q1252">
        <v>0</v>
      </c>
      <c r="R1252" t="s">
        <v>243</v>
      </c>
    </row>
    <row r="1253" spans="1:18" x14ac:dyDescent="0.3">
      <c r="A1253" t="s">
        <v>259</v>
      </c>
      <c r="B1253" t="s">
        <v>32</v>
      </c>
      <c r="C1253" t="s">
        <v>277</v>
      </c>
      <c r="D1253" s="8">
        <v>1.086018495E-5</v>
      </c>
      <c r="E1253" s="8">
        <v>1.1724597509999999E-5</v>
      </c>
      <c r="F1253" s="8">
        <v>1.2768293649999901E-5</v>
      </c>
      <c r="G1253" s="8">
        <v>1.2857608849999999E-5</v>
      </c>
      <c r="H1253" s="8">
        <v>2.2878299529999999E-5</v>
      </c>
      <c r="I1253" s="8">
        <v>2.592166774E-5</v>
      </c>
      <c r="J1253" s="8">
        <v>2.7506738290000001E-5</v>
      </c>
      <c r="K1253" s="8">
        <v>2.9627764446E-5</v>
      </c>
      <c r="L1253" s="8">
        <v>3.0827368968000001E-5</v>
      </c>
      <c r="M1253" s="8">
        <v>3.1165463521999901E-5</v>
      </c>
      <c r="N1253" s="8">
        <v>3.0983942262999998E-5</v>
      </c>
      <c r="O1253">
        <v>0</v>
      </c>
      <c r="P1253">
        <v>0</v>
      </c>
      <c r="Q1253">
        <v>0</v>
      </c>
      <c r="R1253" t="s">
        <v>243</v>
      </c>
    </row>
    <row r="1254" spans="1:18" x14ac:dyDescent="0.3">
      <c r="A1254" t="s">
        <v>259</v>
      </c>
      <c r="B1254" t="s">
        <v>32</v>
      </c>
      <c r="C1254" t="s">
        <v>278</v>
      </c>
      <c r="D1254" s="8">
        <v>1.3078905530000001E-5</v>
      </c>
      <c r="E1254" s="8">
        <v>1.4890319859999999E-5</v>
      </c>
      <c r="F1254" s="8">
        <v>1.6008937209999999E-5</v>
      </c>
      <c r="G1254" s="8">
        <v>1.5962939300000001E-5</v>
      </c>
      <c r="H1254" s="8">
        <v>2.7367389590000001E-5</v>
      </c>
      <c r="I1254" s="8">
        <v>3.0741954419999998E-5</v>
      </c>
      <c r="J1254" s="8">
        <v>3.2567988560000001E-5</v>
      </c>
      <c r="K1254" s="8">
        <v>3.4967095059999998E-5</v>
      </c>
      <c r="L1254" s="8">
        <v>3.628496903E-5</v>
      </c>
      <c r="M1254" s="8">
        <v>3.6684871163999998E-5</v>
      </c>
      <c r="N1254" s="8">
        <v>3.6501323955999899E-5</v>
      </c>
      <c r="O1254">
        <v>0</v>
      </c>
      <c r="P1254">
        <v>0</v>
      </c>
      <c r="Q1254">
        <v>0</v>
      </c>
      <c r="R1254" t="s">
        <v>243</v>
      </c>
    </row>
    <row r="1255" spans="1:18" x14ac:dyDescent="0.3">
      <c r="A1255" t="s">
        <v>259</v>
      </c>
      <c r="B1255" t="s">
        <v>32</v>
      </c>
      <c r="C1255" t="s">
        <v>279</v>
      </c>
      <c r="D1255" s="8">
        <v>1.5415885820000001E-5</v>
      </c>
      <c r="E1255" s="8">
        <v>1.8349564829999998E-5</v>
      </c>
      <c r="F1255" s="8">
        <v>1.9205162320000001E-5</v>
      </c>
      <c r="G1255" s="8">
        <v>1.9132797439999998E-5</v>
      </c>
      <c r="H1255" s="8">
        <v>3.1686541609999899E-5</v>
      </c>
      <c r="I1255" s="8">
        <v>3.5614195029999903E-5</v>
      </c>
      <c r="J1255" s="8">
        <v>3.76781370399999E-5</v>
      </c>
      <c r="K1255" s="8">
        <v>4.0319780878000003E-5</v>
      </c>
      <c r="L1255" s="8">
        <v>4.1695302879999997E-5</v>
      </c>
      <c r="M1255" s="8">
        <v>4.1929738759999997E-5</v>
      </c>
      <c r="N1255" s="8">
        <v>4.1586532297E-5</v>
      </c>
      <c r="O1255">
        <v>0</v>
      </c>
      <c r="P1255">
        <v>0</v>
      </c>
      <c r="Q1255">
        <v>0</v>
      </c>
      <c r="R1255" t="s">
        <v>243</v>
      </c>
    </row>
    <row r="1256" spans="1:18" x14ac:dyDescent="0.3">
      <c r="A1256" t="s">
        <v>259</v>
      </c>
      <c r="B1256" t="s">
        <v>32</v>
      </c>
      <c r="C1256" t="s">
        <v>280</v>
      </c>
      <c r="D1256" s="8">
        <v>1.818508437E-5</v>
      </c>
      <c r="E1256" s="8">
        <v>2.2064216450000001E-5</v>
      </c>
      <c r="F1256" s="8">
        <v>2.2491524860000001E-5</v>
      </c>
      <c r="G1256" s="8">
        <v>2.2330367430000001E-5</v>
      </c>
      <c r="H1256" s="8">
        <v>3.6365454169999997E-5</v>
      </c>
      <c r="I1256" s="8">
        <v>4.0811986149999997E-5</v>
      </c>
      <c r="J1256" s="8">
        <v>4.3042576219999997E-5</v>
      </c>
      <c r="K1256" s="8">
        <v>4.5746890830000002E-5</v>
      </c>
      <c r="L1256" s="8">
        <v>4.7027208719999999E-5</v>
      </c>
      <c r="M1256" s="8">
        <v>4.7148062470000001E-5</v>
      </c>
      <c r="N1256" s="8">
        <v>4.6609664108999998E-5</v>
      </c>
      <c r="O1256">
        <v>0</v>
      </c>
      <c r="P1256">
        <v>0</v>
      </c>
      <c r="Q1256">
        <v>0</v>
      </c>
      <c r="R1256" t="s">
        <v>243</v>
      </c>
    </row>
    <row r="1257" spans="1:18" x14ac:dyDescent="0.3">
      <c r="A1257" t="s">
        <v>259</v>
      </c>
      <c r="B1257" t="s">
        <v>32</v>
      </c>
      <c r="C1257" t="s">
        <v>281</v>
      </c>
      <c r="D1257" s="8">
        <v>2.1528172800000001E-5</v>
      </c>
      <c r="E1257" s="8">
        <v>2.6174233299999999E-5</v>
      </c>
      <c r="F1257" s="8">
        <v>2.6212467500000001E-5</v>
      </c>
      <c r="G1257" s="8">
        <v>2.5560851499999998E-5</v>
      </c>
      <c r="H1257" s="8">
        <v>4.1727517120000001E-5</v>
      </c>
      <c r="I1257" s="8">
        <v>4.6464317259999997E-5</v>
      </c>
      <c r="J1257" s="8">
        <v>4.8761636949999901E-5</v>
      </c>
      <c r="K1257" s="8">
        <v>5.1737044799999901E-5</v>
      </c>
      <c r="L1257" s="8">
        <v>5.3125726880000001E-5</v>
      </c>
      <c r="M1257" s="8">
        <v>5.3108885239999997E-5</v>
      </c>
      <c r="N1257" s="8">
        <v>5.2343039719999998E-5</v>
      </c>
      <c r="O1257">
        <v>0</v>
      </c>
      <c r="P1257">
        <v>0</v>
      </c>
      <c r="Q1257">
        <v>0</v>
      </c>
      <c r="R1257" t="s">
        <v>243</v>
      </c>
    </row>
    <row r="1258" spans="1:18" x14ac:dyDescent="0.3">
      <c r="A1258" t="s">
        <v>259</v>
      </c>
      <c r="B1258" t="s">
        <v>32</v>
      </c>
      <c r="C1258" t="s">
        <v>282</v>
      </c>
      <c r="D1258" s="8">
        <v>2.55093834999999E-5</v>
      </c>
      <c r="E1258" s="8">
        <v>3.1388211199999999E-5</v>
      </c>
      <c r="F1258" s="8">
        <v>3.0860494500000002E-5</v>
      </c>
      <c r="G1258" s="8">
        <v>3.0171426899999999E-5</v>
      </c>
      <c r="H1258" s="8">
        <v>4.8128779999999998E-5</v>
      </c>
      <c r="I1258" s="8">
        <v>5.3621095019999898E-5</v>
      </c>
      <c r="J1258" s="8">
        <v>5.6092068589999997E-5</v>
      </c>
      <c r="K1258" s="8">
        <v>5.9042826279999901E-5</v>
      </c>
      <c r="L1258" s="8">
        <v>6.02290722399999E-5</v>
      </c>
      <c r="M1258" s="8">
        <v>5.984523925E-5</v>
      </c>
      <c r="N1258" s="8">
        <v>5.8691230450000002E-5</v>
      </c>
      <c r="O1258">
        <v>0</v>
      </c>
      <c r="P1258">
        <v>0</v>
      </c>
      <c r="Q1258">
        <v>0</v>
      </c>
      <c r="R1258" t="s">
        <v>243</v>
      </c>
    </row>
    <row r="1259" spans="1:18" x14ac:dyDescent="0.3">
      <c r="A1259" t="s">
        <v>259</v>
      </c>
      <c r="B1259" t="s">
        <v>32</v>
      </c>
      <c r="C1259" t="s">
        <v>283</v>
      </c>
      <c r="D1259" s="8">
        <v>3.2996564999999999E-5</v>
      </c>
      <c r="E1259" s="8">
        <v>3.8695563599999998E-5</v>
      </c>
      <c r="F1259" s="8">
        <v>3.8506764699999998E-5</v>
      </c>
      <c r="G1259" s="8">
        <v>3.6698123299999998E-5</v>
      </c>
      <c r="H1259" s="8">
        <v>5.8150864150000001E-5</v>
      </c>
      <c r="I1259" s="8">
        <v>6.4104433229999897E-5</v>
      </c>
      <c r="J1259" s="8">
        <v>6.6488650249999995E-5</v>
      </c>
      <c r="K1259" s="8">
        <v>6.934118279E-5</v>
      </c>
      <c r="L1259" s="8">
        <v>7.0078455930000001E-5</v>
      </c>
      <c r="M1259" s="8">
        <v>6.9008222920000005E-5</v>
      </c>
      <c r="N1259" s="8">
        <v>6.7126568969999906E-5</v>
      </c>
      <c r="O1259">
        <v>0</v>
      </c>
      <c r="P1259">
        <v>0</v>
      </c>
      <c r="Q1259">
        <v>0</v>
      </c>
      <c r="R1259" t="s">
        <v>243</v>
      </c>
    </row>
    <row r="1260" spans="1:18" x14ac:dyDescent="0.3">
      <c r="A1260" t="s">
        <v>259</v>
      </c>
      <c r="B1260" t="s">
        <v>32</v>
      </c>
      <c r="C1260" t="s">
        <v>334</v>
      </c>
      <c r="D1260">
        <v>2.0520799999999999E-2</v>
      </c>
      <c r="E1260">
        <v>3.3233400000000001E-3</v>
      </c>
      <c r="F1260">
        <v>1.9952500000000001E-3</v>
      </c>
      <c r="G1260">
        <v>1.2610799999999999E-3</v>
      </c>
      <c r="H1260">
        <v>1.321341E-3</v>
      </c>
      <c r="I1260">
        <v>1.3694989999999999E-3</v>
      </c>
      <c r="J1260">
        <v>1.3702649999999901E-3</v>
      </c>
      <c r="K1260">
        <v>1.3735499999999901E-3</v>
      </c>
      <c r="L1260">
        <v>1.3691199999999999E-3</v>
      </c>
      <c r="M1260">
        <v>1.3560689999999999E-3</v>
      </c>
      <c r="N1260">
        <v>1.3415020000000001E-3</v>
      </c>
      <c r="O1260">
        <v>0</v>
      </c>
      <c r="P1260">
        <v>0</v>
      </c>
      <c r="Q1260">
        <v>0</v>
      </c>
      <c r="R1260" t="s">
        <v>243</v>
      </c>
    </row>
    <row r="1261" spans="1:18" x14ac:dyDescent="0.3">
      <c r="A1261" t="s">
        <v>259</v>
      </c>
      <c r="B1261" t="s">
        <v>32</v>
      </c>
      <c r="C1261" t="s">
        <v>335</v>
      </c>
      <c r="D1261">
        <v>1.4504400000000001E-3</v>
      </c>
      <c r="E1261" s="8">
        <v>1.4866900000000001E-4</v>
      </c>
      <c r="F1261" s="8">
        <v>1.05141E-4</v>
      </c>
      <c r="G1261" s="8">
        <v>7.0966100000000005E-5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243</v>
      </c>
    </row>
    <row r="1262" spans="1:18" x14ac:dyDescent="0.3">
      <c r="A1262" t="s">
        <v>259</v>
      </c>
      <c r="B1262" t="s">
        <v>32</v>
      </c>
      <c r="C1262" t="s">
        <v>336</v>
      </c>
      <c r="D1262">
        <v>1.20445E-2</v>
      </c>
      <c r="E1262">
        <v>1.80919E-3</v>
      </c>
      <c r="F1262">
        <v>1.0620499999999999E-3</v>
      </c>
      <c r="G1262" s="8">
        <v>6.7451200000000005E-4</v>
      </c>
      <c r="H1262" s="8">
        <v>6.9212799999999997E-4</v>
      </c>
      <c r="I1262" s="8">
        <v>7.1256499999999996E-4</v>
      </c>
      <c r="J1262" s="8">
        <v>7.1152299999999895E-4</v>
      </c>
      <c r="K1262" s="8">
        <v>7.1284539999999996E-4</v>
      </c>
      <c r="L1262" s="8">
        <v>7.1076499999999905E-4</v>
      </c>
      <c r="M1262" s="8">
        <v>7.0463999999999998E-4</v>
      </c>
      <c r="N1262" s="8">
        <v>6.9816599999999996E-4</v>
      </c>
      <c r="O1262">
        <v>0</v>
      </c>
      <c r="P1262">
        <v>0</v>
      </c>
      <c r="Q1262">
        <v>0</v>
      </c>
      <c r="R1262" t="s">
        <v>243</v>
      </c>
    </row>
    <row r="1263" spans="1:18" x14ac:dyDescent="0.3">
      <c r="A1263" t="s">
        <v>259</v>
      </c>
      <c r="B1263" t="s">
        <v>32</v>
      </c>
      <c r="C1263" t="s">
        <v>337</v>
      </c>
      <c r="D1263">
        <v>8.6705600000000008E-3</v>
      </c>
      <c r="E1263">
        <v>1.2712299999999999E-3</v>
      </c>
      <c r="F1263" s="8">
        <v>7.6597700000000004E-4</v>
      </c>
      <c r="G1263" s="8">
        <v>4.8382500000000001E-4</v>
      </c>
      <c r="H1263" s="8">
        <v>4.92184E-4</v>
      </c>
      <c r="I1263" s="8">
        <v>5.0611600000000003E-4</v>
      </c>
      <c r="J1263" s="8">
        <v>5.0413699999999999E-4</v>
      </c>
      <c r="K1263" s="8">
        <v>5.0445310000000001E-4</v>
      </c>
      <c r="L1263" s="8">
        <v>5.0258400000000004E-4</v>
      </c>
      <c r="M1263" s="8">
        <v>4.9777090000000001E-4</v>
      </c>
      <c r="N1263" s="8">
        <v>4.9280089999999895E-4</v>
      </c>
      <c r="O1263">
        <v>0</v>
      </c>
      <c r="P1263">
        <v>0</v>
      </c>
      <c r="Q1263">
        <v>0</v>
      </c>
      <c r="R1263" t="s">
        <v>243</v>
      </c>
    </row>
    <row r="1264" spans="1:18" x14ac:dyDescent="0.3">
      <c r="A1264" t="s">
        <v>259</v>
      </c>
      <c r="B1264" t="s">
        <v>32</v>
      </c>
      <c r="C1264" t="s">
        <v>338</v>
      </c>
      <c r="D1264">
        <v>7.0897499999999997E-3</v>
      </c>
      <c r="E1264" s="8">
        <v>9.8003400000000007E-4</v>
      </c>
      <c r="F1264" s="8">
        <v>5.9752199999999996E-4</v>
      </c>
      <c r="G1264" s="8">
        <v>3.8035400000000001E-4</v>
      </c>
      <c r="H1264" s="8">
        <v>3.8487999999999999E-4</v>
      </c>
      <c r="I1264" s="8">
        <v>3.9457199999999999E-4</v>
      </c>
      <c r="J1264" s="8">
        <v>3.9276619999999997E-4</v>
      </c>
      <c r="K1264" s="8">
        <v>3.9287220000000002E-4</v>
      </c>
      <c r="L1264" s="8">
        <v>3.913713E-4</v>
      </c>
      <c r="M1264" s="8">
        <v>3.8788089999999999E-4</v>
      </c>
      <c r="N1264" s="8">
        <v>3.8434279999999998E-4</v>
      </c>
      <c r="O1264">
        <v>0</v>
      </c>
      <c r="P1264">
        <v>0</v>
      </c>
      <c r="Q1264">
        <v>0</v>
      </c>
      <c r="R1264" t="s">
        <v>243</v>
      </c>
    </row>
    <row r="1265" spans="1:18" x14ac:dyDescent="0.3">
      <c r="A1265" t="s">
        <v>259</v>
      </c>
      <c r="B1265" t="s">
        <v>32</v>
      </c>
      <c r="C1265" t="s">
        <v>339</v>
      </c>
      <c r="D1265">
        <v>5.9081400000000001E-3</v>
      </c>
      <c r="E1265" s="8">
        <v>7.7419800000000003E-4</v>
      </c>
      <c r="F1265" s="8">
        <v>4.8588800000000002E-4</v>
      </c>
      <c r="G1265" s="8">
        <v>3.0859600000000001E-4</v>
      </c>
      <c r="H1265" s="8">
        <v>3.10668E-4</v>
      </c>
      <c r="I1265" s="8">
        <v>3.1839120000000002E-4</v>
      </c>
      <c r="J1265" s="8">
        <v>3.1679629999999999E-4</v>
      </c>
      <c r="K1265" s="8">
        <v>3.1678609999999998E-4</v>
      </c>
      <c r="L1265" s="8">
        <v>3.1550010000000001E-4</v>
      </c>
      <c r="M1265" s="8">
        <v>3.124453E-4</v>
      </c>
      <c r="N1265" s="8">
        <v>1.541631E-4</v>
      </c>
      <c r="O1265">
        <v>0</v>
      </c>
      <c r="P1265">
        <v>0</v>
      </c>
      <c r="Q1265">
        <v>0</v>
      </c>
      <c r="R1265" t="s">
        <v>243</v>
      </c>
    </row>
    <row r="1266" spans="1:18" x14ac:dyDescent="0.3">
      <c r="A1266" t="s">
        <v>259</v>
      </c>
      <c r="B1266" t="s">
        <v>32</v>
      </c>
      <c r="C1266" t="s">
        <v>340</v>
      </c>
      <c r="D1266">
        <v>4.8974400000000003E-3</v>
      </c>
      <c r="E1266" s="8">
        <v>6.2420300000000004E-4</v>
      </c>
      <c r="F1266" s="8">
        <v>4.0378300000000001E-4</v>
      </c>
      <c r="G1266" s="8">
        <v>2.5659000000000001E-4</v>
      </c>
      <c r="H1266" s="8">
        <v>2.58084E-4</v>
      </c>
      <c r="I1266" s="8">
        <v>2.6432540000000002E-4</v>
      </c>
      <c r="J1266" s="8">
        <v>2.6281889999999999E-4</v>
      </c>
      <c r="K1266" s="8">
        <v>2.625336E-4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243</v>
      </c>
    </row>
    <row r="1267" spans="1:18" x14ac:dyDescent="0.3">
      <c r="A1267" t="s">
        <v>259</v>
      </c>
      <c r="B1267" t="s">
        <v>32</v>
      </c>
      <c r="C1267" t="s">
        <v>341</v>
      </c>
      <c r="D1267">
        <v>4.0231800000000003E-3</v>
      </c>
      <c r="E1267" s="8">
        <v>5.0775199999999999E-4</v>
      </c>
      <c r="F1267" s="8">
        <v>3.3561499999999999E-4</v>
      </c>
      <c r="G1267" s="8">
        <v>2.17223E-4</v>
      </c>
      <c r="H1267" s="8">
        <v>2.1931669999999999E-4</v>
      </c>
      <c r="I1267" s="8">
        <v>2.2413970000000001E-4</v>
      </c>
      <c r="J1267" s="8">
        <v>1.139585E-4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243</v>
      </c>
    </row>
    <row r="1268" spans="1:18" x14ac:dyDescent="0.3">
      <c r="A1268" t="s">
        <v>259</v>
      </c>
      <c r="B1268" t="s">
        <v>32</v>
      </c>
      <c r="C1268" t="s">
        <v>342</v>
      </c>
      <c r="D1268">
        <v>3.2828200000000001E-3</v>
      </c>
      <c r="E1268" s="8">
        <v>4.0424800000000001E-4</v>
      </c>
      <c r="F1268" s="8">
        <v>2.73694E-4</v>
      </c>
      <c r="G1268" s="8">
        <v>1.7571399999999999E-4</v>
      </c>
      <c r="H1268" s="8">
        <v>1.7707749999999999E-4</v>
      </c>
      <c r="I1268" s="8">
        <v>1.810278E-4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243</v>
      </c>
    </row>
    <row r="1269" spans="1:18" x14ac:dyDescent="0.3">
      <c r="A1269" t="s">
        <v>259</v>
      </c>
      <c r="B1269" t="s">
        <v>32</v>
      </c>
      <c r="C1269" t="s">
        <v>343</v>
      </c>
      <c r="D1269">
        <v>2.38186E-3</v>
      </c>
      <c r="E1269" s="8">
        <v>3.0694199999999999E-4</v>
      </c>
      <c r="F1269" s="8">
        <v>2.0484600000000001E-4</v>
      </c>
      <c r="G1269" s="8">
        <v>1.35055E-4</v>
      </c>
      <c r="H1269" s="8">
        <v>1.365982E-4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243</v>
      </c>
    </row>
    <row r="1270" spans="1:18" x14ac:dyDescent="0.3">
      <c r="A1270" t="s">
        <v>259</v>
      </c>
      <c r="B1270" t="s">
        <v>32</v>
      </c>
      <c r="C1270" t="s">
        <v>284</v>
      </c>
      <c r="D1270">
        <v>6.6903677724999997E-3</v>
      </c>
      <c r="E1270">
        <v>1.12467535938E-2</v>
      </c>
      <c r="F1270">
        <v>1.03362339243E-2</v>
      </c>
      <c r="G1270">
        <v>9.2060025750000003E-3</v>
      </c>
      <c r="H1270">
        <v>9.0257282109999903E-3</v>
      </c>
      <c r="I1270">
        <v>9.3468866352999901E-3</v>
      </c>
      <c r="J1270">
        <v>9.2331495925999894E-3</v>
      </c>
      <c r="K1270">
        <v>8.8536101231999897E-3</v>
      </c>
      <c r="L1270">
        <v>8.5702166114000004E-3</v>
      </c>
      <c r="M1270">
        <v>8.2496117780999998E-3</v>
      </c>
      <c r="N1270">
        <v>7.8855777121999999E-3</v>
      </c>
      <c r="O1270">
        <v>0</v>
      </c>
      <c r="P1270">
        <v>0</v>
      </c>
      <c r="Q1270">
        <v>0</v>
      </c>
      <c r="R1270" t="s">
        <v>243</v>
      </c>
    </row>
    <row r="1271" spans="1:18" x14ac:dyDescent="0.3">
      <c r="A1271" t="s">
        <v>259</v>
      </c>
      <c r="B1271" t="s">
        <v>32</v>
      </c>
      <c r="C1271" t="s">
        <v>285</v>
      </c>
      <c r="D1271">
        <v>1.29984797694999E-2</v>
      </c>
      <c r="E1271">
        <v>2.36212444879999E-2</v>
      </c>
      <c r="F1271">
        <v>2.1402451598999998E-2</v>
      </c>
      <c r="G1271">
        <v>1.8230214003000001E-2</v>
      </c>
      <c r="H1271">
        <v>1.7238666063999999E-2</v>
      </c>
      <c r="I1271">
        <v>1.6934997109E-2</v>
      </c>
      <c r="J1271">
        <v>1.6160078392E-2</v>
      </c>
      <c r="K1271">
        <v>1.510171798E-2</v>
      </c>
      <c r="L1271">
        <v>1.4381872250699999E-2</v>
      </c>
      <c r="M1271">
        <v>1.3638879011999901E-2</v>
      </c>
      <c r="N1271">
        <v>1.2851196877999901E-2</v>
      </c>
      <c r="O1271">
        <v>0</v>
      </c>
      <c r="P1271">
        <v>0</v>
      </c>
      <c r="Q1271">
        <v>0</v>
      </c>
      <c r="R1271" t="s">
        <v>243</v>
      </c>
    </row>
    <row r="1272" spans="1:18" x14ac:dyDescent="0.3">
      <c r="A1272" t="s">
        <v>259</v>
      </c>
      <c r="B1272" t="s">
        <v>32</v>
      </c>
      <c r="C1272" t="s">
        <v>286</v>
      </c>
      <c r="D1272">
        <v>8.3332842864700003E-3</v>
      </c>
      <c r="E1272">
        <v>1.43433154255999E-2</v>
      </c>
      <c r="F1272">
        <v>1.34007118012E-2</v>
      </c>
      <c r="G1272">
        <v>1.166049551E-2</v>
      </c>
      <c r="H1272">
        <v>1.1061970561000001E-2</v>
      </c>
      <c r="I1272">
        <v>1.11289964826E-2</v>
      </c>
      <c r="J1272">
        <v>1.08143497056999E-2</v>
      </c>
      <c r="K1272">
        <v>1.026202449E-2</v>
      </c>
      <c r="L1272">
        <v>9.8881145994000001E-3</v>
      </c>
      <c r="M1272">
        <v>9.4822610709999998E-3</v>
      </c>
      <c r="N1272">
        <v>9.0346489049999892E-3</v>
      </c>
      <c r="O1272">
        <v>0</v>
      </c>
      <c r="P1272">
        <v>0</v>
      </c>
      <c r="Q1272">
        <v>0</v>
      </c>
      <c r="R1272" t="s">
        <v>243</v>
      </c>
    </row>
    <row r="1273" spans="1:18" x14ac:dyDescent="0.3">
      <c r="A1273" t="s">
        <v>259</v>
      </c>
      <c r="B1273" t="s">
        <v>32</v>
      </c>
      <c r="C1273" t="s">
        <v>287</v>
      </c>
      <c r="D1273">
        <v>9.2034347413000005E-3</v>
      </c>
      <c r="E1273">
        <v>1.5860447765999999E-2</v>
      </c>
      <c r="F1273">
        <v>1.47368893848E-2</v>
      </c>
      <c r="G1273">
        <v>1.2759882211000001E-2</v>
      </c>
      <c r="H1273">
        <v>1.1993999961E-2</v>
      </c>
      <c r="I1273">
        <v>1.1987926622E-2</v>
      </c>
      <c r="J1273">
        <v>1.15816947466999E-2</v>
      </c>
      <c r="K1273">
        <v>1.09484779129999E-2</v>
      </c>
      <c r="L1273">
        <v>1.05253354668E-2</v>
      </c>
      <c r="M1273">
        <v>1.00680673159999E-2</v>
      </c>
      <c r="N1273">
        <v>9.5685998200000007E-3</v>
      </c>
      <c r="O1273">
        <v>0</v>
      </c>
      <c r="P1273">
        <v>0</v>
      </c>
      <c r="Q1273">
        <v>0</v>
      </c>
      <c r="R1273" t="s">
        <v>243</v>
      </c>
    </row>
    <row r="1274" spans="1:18" x14ac:dyDescent="0.3">
      <c r="A1274" t="s">
        <v>259</v>
      </c>
      <c r="B1274" t="s">
        <v>32</v>
      </c>
      <c r="C1274" t="s">
        <v>288</v>
      </c>
      <c r="D1274">
        <v>9.6869154162599995E-3</v>
      </c>
      <c r="E1274">
        <v>1.6884628882799999E-2</v>
      </c>
      <c r="F1274">
        <v>1.56606969692E-2</v>
      </c>
      <c r="G1274">
        <v>1.3498659725999999E-2</v>
      </c>
      <c r="H1274">
        <v>1.2630045641000001E-2</v>
      </c>
      <c r="I1274">
        <v>1.255620176E-2</v>
      </c>
      <c r="J1274">
        <v>1.2104947844E-2</v>
      </c>
      <c r="K1274">
        <v>1.1422456246999901E-2</v>
      </c>
      <c r="L1274">
        <v>1.0968721332099999E-2</v>
      </c>
      <c r="M1274">
        <v>1.04885449472E-2</v>
      </c>
      <c r="N1274">
        <v>9.9652131259999992E-3</v>
      </c>
      <c r="O1274">
        <v>0</v>
      </c>
      <c r="P1274">
        <v>0</v>
      </c>
      <c r="Q1274">
        <v>0</v>
      </c>
      <c r="R1274" t="s">
        <v>243</v>
      </c>
    </row>
    <row r="1275" spans="1:18" x14ac:dyDescent="0.3">
      <c r="A1275" t="s">
        <v>259</v>
      </c>
      <c r="B1275" t="s">
        <v>32</v>
      </c>
      <c r="C1275" t="s">
        <v>289</v>
      </c>
      <c r="D1275">
        <v>1.0100365922439999E-2</v>
      </c>
      <c r="E1275">
        <v>1.77720507454E-2</v>
      </c>
      <c r="F1275">
        <v>1.6389941566599901E-2</v>
      </c>
      <c r="G1275">
        <v>1.4117337811E-2</v>
      </c>
      <c r="H1275">
        <v>1.3154358554E-2</v>
      </c>
      <c r="I1275">
        <v>1.3058941691E-2</v>
      </c>
      <c r="J1275">
        <v>1.2573851004799999E-2</v>
      </c>
      <c r="K1275">
        <v>1.1850648756000001E-2</v>
      </c>
      <c r="L1275">
        <v>1.13694840658E-2</v>
      </c>
      <c r="M1275">
        <v>1.08551953784999E-2</v>
      </c>
      <c r="N1275">
        <v>1.0302674813E-2</v>
      </c>
      <c r="O1275">
        <v>0</v>
      </c>
      <c r="P1275">
        <v>0</v>
      </c>
      <c r="Q1275">
        <v>0</v>
      </c>
      <c r="R1275" t="s">
        <v>243</v>
      </c>
    </row>
    <row r="1276" spans="1:18" x14ac:dyDescent="0.3">
      <c r="A1276" t="s">
        <v>259</v>
      </c>
      <c r="B1276" t="s">
        <v>32</v>
      </c>
      <c r="C1276" t="s">
        <v>290</v>
      </c>
      <c r="D1276">
        <v>1.0508606323499901E-2</v>
      </c>
      <c r="E1276">
        <v>1.85633176744E-2</v>
      </c>
      <c r="F1276">
        <v>1.70232258261E-2</v>
      </c>
      <c r="G1276">
        <v>1.4652540807E-2</v>
      </c>
      <c r="H1276">
        <v>1.3653427929999899E-2</v>
      </c>
      <c r="I1276">
        <v>1.3534687823E-2</v>
      </c>
      <c r="J1276">
        <v>1.30137346846999E-2</v>
      </c>
      <c r="K1276">
        <v>1.2242341386E-2</v>
      </c>
      <c r="L1276">
        <v>1.17270654758E-2</v>
      </c>
      <c r="M1276">
        <v>1.11877277889999E-2</v>
      </c>
      <c r="N1276">
        <v>1.0607720407999901E-2</v>
      </c>
      <c r="O1276">
        <v>0</v>
      </c>
      <c r="P1276">
        <v>0</v>
      </c>
      <c r="Q1276">
        <v>0</v>
      </c>
      <c r="R1276" t="s">
        <v>243</v>
      </c>
    </row>
    <row r="1277" spans="1:18" x14ac:dyDescent="0.3">
      <c r="A1277" t="s">
        <v>259</v>
      </c>
      <c r="B1277" t="s">
        <v>32</v>
      </c>
      <c r="C1277" t="s">
        <v>291</v>
      </c>
      <c r="D1277">
        <v>1.09241937317E-2</v>
      </c>
      <c r="E1277">
        <v>1.9311743739399999E-2</v>
      </c>
      <c r="F1277">
        <v>1.7644166009000001E-2</v>
      </c>
      <c r="G1277">
        <v>1.5129677165999901E-2</v>
      </c>
      <c r="H1277">
        <v>1.41629881559999E-2</v>
      </c>
      <c r="I1277">
        <v>1.400142446E-2</v>
      </c>
      <c r="J1277">
        <v>1.3441382494699901E-2</v>
      </c>
      <c r="K1277">
        <v>1.2643525053999899E-2</v>
      </c>
      <c r="L1277">
        <v>1.2111108423E-2</v>
      </c>
      <c r="M1277">
        <v>1.15486577993E-2</v>
      </c>
      <c r="N1277">
        <v>1.09430985819999E-2</v>
      </c>
      <c r="O1277">
        <v>0</v>
      </c>
      <c r="P1277">
        <v>0</v>
      </c>
      <c r="Q1277">
        <v>0</v>
      </c>
      <c r="R1277" t="s">
        <v>243</v>
      </c>
    </row>
    <row r="1278" spans="1:18" x14ac:dyDescent="0.3">
      <c r="A1278" t="s">
        <v>259</v>
      </c>
      <c r="B1278" t="s">
        <v>32</v>
      </c>
      <c r="C1278" t="s">
        <v>292</v>
      </c>
      <c r="D1278">
        <v>1.1345949146099999E-2</v>
      </c>
      <c r="E1278">
        <v>2.0129774204799999E-2</v>
      </c>
      <c r="F1278">
        <v>1.83202694361E-2</v>
      </c>
      <c r="G1278">
        <v>1.5730959342E-2</v>
      </c>
      <c r="H1278">
        <v>1.4710456614E-2</v>
      </c>
      <c r="I1278">
        <v>1.4537067575E-2</v>
      </c>
      <c r="J1278">
        <v>1.39417044333999E-2</v>
      </c>
      <c r="K1278">
        <v>1.30922768979999E-2</v>
      </c>
      <c r="L1278">
        <v>1.2524856092499899E-2</v>
      </c>
      <c r="M1278">
        <v>1.19277048599999E-2</v>
      </c>
      <c r="N1278">
        <v>1.12889466249999E-2</v>
      </c>
      <c r="O1278">
        <v>0</v>
      </c>
      <c r="P1278">
        <v>0</v>
      </c>
      <c r="Q1278">
        <v>0</v>
      </c>
      <c r="R1278" t="s">
        <v>243</v>
      </c>
    </row>
    <row r="1279" spans="1:18" x14ac:dyDescent="0.3">
      <c r="A1279" t="s">
        <v>259</v>
      </c>
      <c r="B1279" t="s">
        <v>32</v>
      </c>
      <c r="C1279" t="s">
        <v>293</v>
      </c>
      <c r="D1279">
        <v>1.20016007902E-2</v>
      </c>
      <c r="E1279">
        <v>2.11072848832E-2</v>
      </c>
      <c r="F1279">
        <v>1.9268839559099998E-2</v>
      </c>
      <c r="G1279">
        <v>1.6468532968999999E-2</v>
      </c>
      <c r="H1279">
        <v>1.54709511379999E-2</v>
      </c>
      <c r="I1279">
        <v>1.52439157669999E-2</v>
      </c>
      <c r="J1279">
        <v>1.45922448447E-2</v>
      </c>
      <c r="K1279">
        <v>1.3687604843999999E-2</v>
      </c>
      <c r="L1279">
        <v>1.3074958447599899E-2</v>
      </c>
      <c r="M1279">
        <v>1.2432228731E-2</v>
      </c>
      <c r="N1279">
        <v>1.17467384669999E-2</v>
      </c>
      <c r="O1279">
        <v>0</v>
      </c>
      <c r="P1279">
        <v>0</v>
      </c>
      <c r="Q1279">
        <v>0</v>
      </c>
      <c r="R1279" t="s">
        <v>243</v>
      </c>
    </row>
    <row r="1280" spans="1:18" x14ac:dyDescent="0.3">
      <c r="A1280" t="s">
        <v>259</v>
      </c>
      <c r="B1280" t="s">
        <v>32</v>
      </c>
      <c r="C1280" t="s">
        <v>294</v>
      </c>
      <c r="D1280">
        <v>1.3265534299999901E-3</v>
      </c>
      <c r="E1280">
        <v>1.5114187899999999E-3</v>
      </c>
      <c r="F1280">
        <v>1.34804E-3</v>
      </c>
      <c r="G1280">
        <v>1.2295106000000001E-3</v>
      </c>
      <c r="H1280">
        <v>1.3565136099999999E-3</v>
      </c>
      <c r="I1280">
        <v>1.5443508160000001E-3</v>
      </c>
      <c r="J1280">
        <v>1.6776223410000001E-3</v>
      </c>
      <c r="K1280">
        <v>1.7514905249999999E-3</v>
      </c>
      <c r="L1280">
        <v>1.789538976E-3</v>
      </c>
      <c r="M1280">
        <v>1.813474986E-3</v>
      </c>
      <c r="N1280">
        <v>1.8221217569999999E-3</v>
      </c>
      <c r="O1280">
        <v>0</v>
      </c>
      <c r="P1280">
        <v>0</v>
      </c>
      <c r="Q1280">
        <v>0</v>
      </c>
      <c r="R1280" t="s">
        <v>243</v>
      </c>
    </row>
    <row r="1281" spans="1:18" x14ac:dyDescent="0.3">
      <c r="A1281" t="s">
        <v>259</v>
      </c>
      <c r="B1281" t="s">
        <v>32</v>
      </c>
      <c r="C1281" t="s">
        <v>295</v>
      </c>
      <c r="D1281">
        <v>5.0470248999999997E-3</v>
      </c>
      <c r="E1281">
        <v>5.8027584999999996E-3</v>
      </c>
      <c r="F1281">
        <v>5.1538034999999999E-3</v>
      </c>
      <c r="G1281">
        <v>4.2855087999999998E-3</v>
      </c>
      <c r="H1281">
        <v>4.2746438699999998E-3</v>
      </c>
      <c r="I1281">
        <v>4.3124935500000001E-3</v>
      </c>
      <c r="J1281">
        <v>4.2469605699999996E-3</v>
      </c>
      <c r="K1281">
        <v>4.179427078E-3</v>
      </c>
      <c r="L1281">
        <v>4.12983894E-3</v>
      </c>
      <c r="M1281">
        <v>4.0613747029999998E-3</v>
      </c>
      <c r="N1281">
        <v>3.9946229329999904E-3</v>
      </c>
      <c r="O1281">
        <v>0</v>
      </c>
      <c r="P1281">
        <v>0</v>
      </c>
      <c r="Q1281">
        <v>0</v>
      </c>
      <c r="R1281" t="s">
        <v>243</v>
      </c>
    </row>
    <row r="1282" spans="1:18" x14ac:dyDescent="0.3">
      <c r="A1282" t="s">
        <v>259</v>
      </c>
      <c r="B1282" t="s">
        <v>32</v>
      </c>
      <c r="C1282" t="s">
        <v>296</v>
      </c>
      <c r="D1282">
        <v>2.0159463999999999E-3</v>
      </c>
      <c r="E1282">
        <v>2.4123995499999999E-3</v>
      </c>
      <c r="F1282">
        <v>2.1923717000000001E-3</v>
      </c>
      <c r="G1282">
        <v>1.9590902999999998E-3</v>
      </c>
      <c r="H1282">
        <v>2.0349035399999998E-3</v>
      </c>
      <c r="I1282">
        <v>2.23191612999999E-3</v>
      </c>
      <c r="J1282">
        <v>2.3590342449999898E-3</v>
      </c>
      <c r="K1282">
        <v>2.4240943229999999E-3</v>
      </c>
      <c r="L1282">
        <v>2.4549871429999999E-3</v>
      </c>
      <c r="M1282">
        <v>2.4667870100000002E-3</v>
      </c>
      <c r="N1282">
        <v>2.464079574E-3</v>
      </c>
      <c r="O1282">
        <v>0</v>
      </c>
      <c r="P1282">
        <v>0</v>
      </c>
      <c r="Q1282">
        <v>0</v>
      </c>
      <c r="R1282" t="s">
        <v>243</v>
      </c>
    </row>
    <row r="1283" spans="1:18" x14ac:dyDescent="0.3">
      <c r="A1283" t="s">
        <v>259</v>
      </c>
      <c r="B1283" t="s">
        <v>32</v>
      </c>
      <c r="C1283" t="s">
        <v>297</v>
      </c>
      <c r="D1283">
        <v>2.5141640999999902E-3</v>
      </c>
      <c r="E1283">
        <v>3.0064970999999999E-3</v>
      </c>
      <c r="F1283">
        <v>2.6932214000000001E-3</v>
      </c>
      <c r="G1283">
        <v>2.3874954E-3</v>
      </c>
      <c r="H1283">
        <v>2.4232890999999999E-3</v>
      </c>
      <c r="I1283">
        <v>2.6169244300000001E-3</v>
      </c>
      <c r="J1283">
        <v>2.7143840829999999E-3</v>
      </c>
      <c r="K1283">
        <v>2.7565739309999898E-3</v>
      </c>
      <c r="L1283">
        <v>2.7710298909999899E-3</v>
      </c>
      <c r="M1283">
        <v>2.76296469199999E-3</v>
      </c>
      <c r="N1283">
        <v>2.7427614709999901E-3</v>
      </c>
      <c r="O1283">
        <v>0</v>
      </c>
      <c r="P1283">
        <v>0</v>
      </c>
      <c r="Q1283">
        <v>0</v>
      </c>
      <c r="R1283" t="s">
        <v>243</v>
      </c>
    </row>
    <row r="1284" spans="1:18" x14ac:dyDescent="0.3">
      <c r="A1284" t="s">
        <v>259</v>
      </c>
      <c r="B1284" t="s">
        <v>32</v>
      </c>
      <c r="C1284" t="s">
        <v>298</v>
      </c>
      <c r="D1284">
        <v>2.8363018000000001E-3</v>
      </c>
      <c r="E1284">
        <v>3.4515161E-3</v>
      </c>
      <c r="F1284">
        <v>3.0823367E-3</v>
      </c>
      <c r="G1284">
        <v>2.6971235999999899E-3</v>
      </c>
      <c r="H1284">
        <v>2.70274063E-3</v>
      </c>
      <c r="I1284">
        <v>2.87283125E-3</v>
      </c>
      <c r="J1284">
        <v>2.9478435010000001E-3</v>
      </c>
      <c r="K1284">
        <v>2.9722335050000001E-3</v>
      </c>
      <c r="L1284">
        <v>2.975131708E-3</v>
      </c>
      <c r="M1284">
        <v>2.9577618419999998E-3</v>
      </c>
      <c r="N1284">
        <v>2.9305391929999999E-3</v>
      </c>
      <c r="O1284">
        <v>0</v>
      </c>
      <c r="P1284">
        <v>0</v>
      </c>
      <c r="Q1284">
        <v>0</v>
      </c>
      <c r="R1284" t="s">
        <v>243</v>
      </c>
    </row>
    <row r="1285" spans="1:18" x14ac:dyDescent="0.3">
      <c r="A1285" t="s">
        <v>259</v>
      </c>
      <c r="B1285" t="s">
        <v>32</v>
      </c>
      <c r="C1285" t="s">
        <v>299</v>
      </c>
      <c r="D1285">
        <v>3.1326729999999999E-3</v>
      </c>
      <c r="E1285">
        <v>3.8439193999999901E-3</v>
      </c>
      <c r="F1285">
        <v>3.4011185E-3</v>
      </c>
      <c r="G1285">
        <v>2.9567675000000001E-3</v>
      </c>
      <c r="H1285">
        <v>2.9311830099999999E-3</v>
      </c>
      <c r="I1285">
        <v>3.0883705300000001E-3</v>
      </c>
      <c r="J1285">
        <v>3.1410716819999999E-3</v>
      </c>
      <c r="K1285">
        <v>3.1483211819999901E-3</v>
      </c>
      <c r="L1285">
        <v>3.14002736299999E-3</v>
      </c>
      <c r="M1285">
        <v>3.109009617E-3</v>
      </c>
      <c r="N1285">
        <v>3.0725189929999902E-3</v>
      </c>
      <c r="O1285">
        <v>0</v>
      </c>
      <c r="P1285">
        <v>0</v>
      </c>
      <c r="Q1285">
        <v>0</v>
      </c>
      <c r="R1285" t="s">
        <v>243</v>
      </c>
    </row>
    <row r="1286" spans="1:18" x14ac:dyDescent="0.3">
      <c r="A1286" t="s">
        <v>259</v>
      </c>
      <c r="B1286" t="s">
        <v>32</v>
      </c>
      <c r="C1286" t="s">
        <v>300</v>
      </c>
      <c r="D1286">
        <v>3.4362657999999998E-3</v>
      </c>
      <c r="E1286">
        <v>4.1830569E-3</v>
      </c>
      <c r="F1286">
        <v>3.6757641999999899E-3</v>
      </c>
      <c r="G1286">
        <v>3.1738005999999998E-3</v>
      </c>
      <c r="H1286">
        <v>3.1405417399999998E-3</v>
      </c>
      <c r="I1286">
        <v>3.2802688599999998E-3</v>
      </c>
      <c r="J1286">
        <v>3.30939644E-3</v>
      </c>
      <c r="K1286">
        <v>3.2974827829999899E-3</v>
      </c>
      <c r="L1286">
        <v>3.2770967149999899E-3</v>
      </c>
      <c r="M1286">
        <v>3.2374908089999998E-3</v>
      </c>
      <c r="N1286">
        <v>3.1937369979999999E-3</v>
      </c>
      <c r="O1286">
        <v>0</v>
      </c>
      <c r="P1286">
        <v>0</v>
      </c>
      <c r="Q1286">
        <v>0</v>
      </c>
      <c r="R1286" t="s">
        <v>243</v>
      </c>
    </row>
    <row r="1287" spans="1:18" x14ac:dyDescent="0.3">
      <c r="A1287" t="s">
        <v>259</v>
      </c>
      <c r="B1287" t="s">
        <v>32</v>
      </c>
      <c r="C1287" t="s">
        <v>301</v>
      </c>
      <c r="D1287">
        <v>3.7464479999999999E-3</v>
      </c>
      <c r="E1287">
        <v>4.4845942999999899E-3</v>
      </c>
      <c r="F1287">
        <v>3.9352893999999999E-3</v>
      </c>
      <c r="G1287">
        <v>3.3573457000000001E-3</v>
      </c>
      <c r="H1287">
        <v>3.3412396299999998E-3</v>
      </c>
      <c r="I1287">
        <v>3.4542701399999901E-3</v>
      </c>
      <c r="J1287">
        <v>3.4596954999999898E-3</v>
      </c>
      <c r="K1287">
        <v>3.4371897860000001E-3</v>
      </c>
      <c r="L1287">
        <v>3.4116681489999999E-3</v>
      </c>
      <c r="M1287">
        <v>3.36538397499999E-3</v>
      </c>
      <c r="N1287">
        <v>3.3162502849999999E-3</v>
      </c>
      <c r="O1287">
        <v>0</v>
      </c>
      <c r="P1287">
        <v>0</v>
      </c>
      <c r="Q1287">
        <v>0</v>
      </c>
      <c r="R1287" t="s">
        <v>243</v>
      </c>
    </row>
    <row r="1288" spans="1:18" x14ac:dyDescent="0.3">
      <c r="A1288" t="s">
        <v>259</v>
      </c>
      <c r="B1288" t="s">
        <v>32</v>
      </c>
      <c r="C1288" t="s">
        <v>302</v>
      </c>
      <c r="D1288">
        <v>4.0519956999999999E-3</v>
      </c>
      <c r="E1288">
        <v>4.7869767999999899E-3</v>
      </c>
      <c r="F1288">
        <v>4.2004935999999998E-3</v>
      </c>
      <c r="G1288">
        <v>3.5721871000000001E-3</v>
      </c>
      <c r="H1288">
        <v>3.5418413499999999E-3</v>
      </c>
      <c r="I1288">
        <v>3.63809349E-3</v>
      </c>
      <c r="J1288">
        <v>3.6222623199999998E-3</v>
      </c>
      <c r="K1288">
        <v>3.583950705E-3</v>
      </c>
      <c r="L1288">
        <v>3.5500042690000001E-3</v>
      </c>
      <c r="M1288">
        <v>3.4961852039999998E-3</v>
      </c>
      <c r="N1288">
        <v>3.4418252840000001E-3</v>
      </c>
      <c r="O1288">
        <v>0</v>
      </c>
      <c r="P1288">
        <v>0</v>
      </c>
      <c r="Q1288">
        <v>0</v>
      </c>
      <c r="R1288" t="s">
        <v>243</v>
      </c>
    </row>
    <row r="1289" spans="1:18" x14ac:dyDescent="0.3">
      <c r="A1289" t="s">
        <v>259</v>
      </c>
      <c r="B1289" t="s">
        <v>32</v>
      </c>
      <c r="C1289" t="s">
        <v>303</v>
      </c>
      <c r="D1289">
        <v>4.4899530999999897E-3</v>
      </c>
      <c r="E1289">
        <v>5.1100150999999899E-3</v>
      </c>
      <c r="F1289">
        <v>4.5360959999999999E-3</v>
      </c>
      <c r="G1289">
        <v>3.8095273999999902E-3</v>
      </c>
      <c r="H1289">
        <v>3.7902905299999901E-3</v>
      </c>
      <c r="I1289">
        <v>3.8553785100000001E-3</v>
      </c>
      <c r="J1289">
        <v>3.8152144599999998E-3</v>
      </c>
      <c r="K1289">
        <v>3.7648905419999999E-3</v>
      </c>
      <c r="L1289">
        <v>3.7235396119999998E-3</v>
      </c>
      <c r="M1289">
        <v>3.6625466130000002E-3</v>
      </c>
      <c r="N1289">
        <v>3.602210705E-3</v>
      </c>
      <c r="O1289">
        <v>0</v>
      </c>
      <c r="P1289">
        <v>0</v>
      </c>
      <c r="Q1289">
        <v>0</v>
      </c>
      <c r="R1289" t="s">
        <v>243</v>
      </c>
    </row>
    <row r="1290" spans="1:18" x14ac:dyDescent="0.3">
      <c r="A1290" t="s">
        <v>259</v>
      </c>
      <c r="B1290" t="s">
        <v>32</v>
      </c>
      <c r="C1290" t="s">
        <v>304</v>
      </c>
      <c r="D1290" s="8">
        <v>6.7482299999999996E-4</v>
      </c>
      <c r="E1290" s="8">
        <v>7.6845699999999995E-4</v>
      </c>
      <c r="F1290" s="8">
        <v>8.1452900000000003E-4</v>
      </c>
      <c r="G1290" s="8">
        <v>8.5003399999999995E-4</v>
      </c>
      <c r="H1290">
        <v>1.1687889999999999E-3</v>
      </c>
      <c r="I1290">
        <v>1.2807599999999999E-3</v>
      </c>
      <c r="J1290">
        <v>1.3531960000000001E-3</v>
      </c>
      <c r="K1290">
        <v>1.435986E-3</v>
      </c>
      <c r="L1290">
        <v>1.484006E-3</v>
      </c>
      <c r="M1290">
        <v>1.509626E-3</v>
      </c>
      <c r="N1290">
        <v>1.5202670000000001E-3</v>
      </c>
      <c r="O1290">
        <v>0</v>
      </c>
      <c r="P1290">
        <v>0</v>
      </c>
      <c r="Q1290">
        <v>0</v>
      </c>
      <c r="R1290" t="s">
        <v>243</v>
      </c>
    </row>
    <row r="1291" spans="1:18" x14ac:dyDescent="0.3">
      <c r="A1291" t="s">
        <v>259</v>
      </c>
      <c r="B1291" t="s">
        <v>32</v>
      </c>
      <c r="C1291" t="s">
        <v>305</v>
      </c>
      <c r="D1291">
        <v>2.6940499999999999E-3</v>
      </c>
      <c r="E1291">
        <v>3.18287E-3</v>
      </c>
      <c r="F1291">
        <v>3.1423900000000001E-3</v>
      </c>
      <c r="G1291">
        <v>2.9162699999999999E-3</v>
      </c>
      <c r="H1291">
        <v>2.9629499999999998E-3</v>
      </c>
      <c r="I1291">
        <v>3.00877E-3</v>
      </c>
      <c r="J1291">
        <v>2.9777479999999901E-3</v>
      </c>
      <c r="K1291">
        <v>2.9705909999999999E-3</v>
      </c>
      <c r="L1291">
        <v>2.952414E-3</v>
      </c>
      <c r="M1291">
        <v>2.9228100000000001E-3</v>
      </c>
      <c r="N1291">
        <v>2.8943679999999901E-3</v>
      </c>
      <c r="O1291">
        <v>0</v>
      </c>
      <c r="P1291">
        <v>0</v>
      </c>
      <c r="Q1291">
        <v>0</v>
      </c>
      <c r="R1291" t="s">
        <v>243</v>
      </c>
    </row>
    <row r="1292" spans="1:18" x14ac:dyDescent="0.3">
      <c r="A1292" t="s">
        <v>259</v>
      </c>
      <c r="B1292" t="s">
        <v>32</v>
      </c>
      <c r="C1292" t="s">
        <v>306</v>
      </c>
      <c r="D1292">
        <v>1.03378E-3</v>
      </c>
      <c r="E1292">
        <v>1.24591E-3</v>
      </c>
      <c r="F1292">
        <v>1.3273200000000001E-3</v>
      </c>
      <c r="G1292">
        <v>1.3491600000000001E-3</v>
      </c>
      <c r="H1292">
        <v>1.644735E-3</v>
      </c>
      <c r="I1292">
        <v>1.7495219999999899E-3</v>
      </c>
      <c r="J1292">
        <v>1.807585E-3</v>
      </c>
      <c r="K1292">
        <v>1.8707979999999999E-3</v>
      </c>
      <c r="L1292">
        <v>1.8996339999999899E-3</v>
      </c>
      <c r="M1292">
        <v>1.907527E-3</v>
      </c>
      <c r="N1292">
        <v>1.9044279999999999E-3</v>
      </c>
      <c r="O1292">
        <v>0</v>
      </c>
      <c r="P1292">
        <v>0</v>
      </c>
      <c r="Q1292">
        <v>0</v>
      </c>
      <c r="R1292" t="s">
        <v>243</v>
      </c>
    </row>
    <row r="1293" spans="1:18" x14ac:dyDescent="0.3">
      <c r="A1293" t="s">
        <v>259</v>
      </c>
      <c r="B1293" t="s">
        <v>32</v>
      </c>
      <c r="C1293" t="s">
        <v>307</v>
      </c>
      <c r="D1293">
        <v>1.2970200000000001E-3</v>
      </c>
      <c r="E1293">
        <v>1.56974E-3</v>
      </c>
      <c r="F1293">
        <v>1.6325300000000001E-3</v>
      </c>
      <c r="G1293">
        <v>1.6402599999999999E-3</v>
      </c>
      <c r="H1293">
        <v>1.889066E-3</v>
      </c>
      <c r="I1293">
        <v>1.987351E-3</v>
      </c>
      <c r="J1293">
        <v>2.0240929999999998E-3</v>
      </c>
      <c r="K1293">
        <v>2.0662520000000002E-3</v>
      </c>
      <c r="L1293">
        <v>2.0790689999999998E-3</v>
      </c>
      <c r="M1293">
        <v>2.0730899999999901E-3</v>
      </c>
      <c r="N1293">
        <v>2.0596339999999999E-3</v>
      </c>
      <c r="O1293">
        <v>0</v>
      </c>
      <c r="P1293">
        <v>0</v>
      </c>
      <c r="Q1293">
        <v>0</v>
      </c>
      <c r="R1293" t="s">
        <v>243</v>
      </c>
    </row>
    <row r="1294" spans="1:18" x14ac:dyDescent="0.3">
      <c r="A1294" t="s">
        <v>259</v>
      </c>
      <c r="B1294" t="s">
        <v>32</v>
      </c>
      <c r="C1294" t="s">
        <v>308</v>
      </c>
      <c r="D1294">
        <v>1.46911E-3</v>
      </c>
      <c r="E1294">
        <v>1.8176100000000001E-3</v>
      </c>
      <c r="F1294">
        <v>1.87025E-3</v>
      </c>
      <c r="G1294">
        <v>1.8496599999999999E-3</v>
      </c>
      <c r="H1294">
        <v>2.0537619999999898E-3</v>
      </c>
      <c r="I1294">
        <v>2.1370460000000001E-3</v>
      </c>
      <c r="J1294">
        <v>2.160515E-3</v>
      </c>
      <c r="K1294">
        <v>2.1894250000000001E-3</v>
      </c>
      <c r="L1294">
        <v>2.1933170000000002E-3</v>
      </c>
      <c r="M1294">
        <v>2.1823900000000002E-3</v>
      </c>
      <c r="N1294">
        <v>2.1664319999999998E-3</v>
      </c>
      <c r="O1294">
        <v>0</v>
      </c>
      <c r="P1294">
        <v>0</v>
      </c>
      <c r="Q1294">
        <v>0</v>
      </c>
      <c r="R1294" t="s">
        <v>243</v>
      </c>
    </row>
    <row r="1295" spans="1:18" x14ac:dyDescent="0.3">
      <c r="A1295" t="s">
        <v>259</v>
      </c>
      <c r="B1295" t="s">
        <v>32</v>
      </c>
      <c r="C1295" t="s">
        <v>309</v>
      </c>
      <c r="D1295">
        <v>1.6288400000000001E-3</v>
      </c>
      <c r="E1295">
        <v>2.0402699999999998E-3</v>
      </c>
      <c r="F1295">
        <v>2.0653899999999998E-3</v>
      </c>
      <c r="G1295">
        <v>2.02461E-3</v>
      </c>
      <c r="H1295">
        <v>2.1825490000000002E-3</v>
      </c>
      <c r="I1295">
        <v>2.2594799999999999E-3</v>
      </c>
      <c r="J1295">
        <v>2.2716860000000002E-3</v>
      </c>
      <c r="K1295">
        <v>2.2902679999999998E-3</v>
      </c>
      <c r="L1295">
        <v>2.2874799999999902E-3</v>
      </c>
      <c r="M1295">
        <v>2.2703369999999999E-3</v>
      </c>
      <c r="N1295">
        <v>2.2511639999999999E-3</v>
      </c>
      <c r="O1295">
        <v>0</v>
      </c>
      <c r="P1295">
        <v>0</v>
      </c>
      <c r="Q1295">
        <v>0</v>
      </c>
      <c r="R1295" t="s">
        <v>243</v>
      </c>
    </row>
    <row r="1296" spans="1:18" x14ac:dyDescent="0.3">
      <c r="A1296" t="s">
        <v>259</v>
      </c>
      <c r="B1296" t="s">
        <v>32</v>
      </c>
      <c r="C1296" t="s">
        <v>310</v>
      </c>
      <c r="D1296">
        <v>1.7939399999999999E-3</v>
      </c>
      <c r="E1296">
        <v>2.2359200000000002E-3</v>
      </c>
      <c r="F1296">
        <v>2.2338100000000001E-3</v>
      </c>
      <c r="G1296">
        <v>2.1704099999999998E-3</v>
      </c>
      <c r="H1296">
        <v>2.2975649999999901E-3</v>
      </c>
      <c r="I1296">
        <v>2.3672680000000001E-3</v>
      </c>
      <c r="J1296">
        <v>2.3689330000000001E-3</v>
      </c>
      <c r="K1296">
        <v>2.3776939999999901E-3</v>
      </c>
      <c r="L1296">
        <v>2.3688720000000002E-3</v>
      </c>
      <c r="M1296">
        <v>2.3488239999999998E-3</v>
      </c>
      <c r="N1296">
        <v>2.3275650000000002E-3</v>
      </c>
      <c r="O1296">
        <v>0</v>
      </c>
      <c r="P1296">
        <v>0</v>
      </c>
      <c r="Q1296">
        <v>0</v>
      </c>
      <c r="R1296" t="s">
        <v>243</v>
      </c>
    </row>
    <row r="1297" spans="1:18" x14ac:dyDescent="0.3">
      <c r="A1297" t="s">
        <v>259</v>
      </c>
      <c r="B1297" t="s">
        <v>32</v>
      </c>
      <c r="C1297" t="s">
        <v>311</v>
      </c>
      <c r="D1297">
        <v>1.9642599999999998E-3</v>
      </c>
      <c r="E1297">
        <v>2.41223E-3</v>
      </c>
      <c r="F1297">
        <v>2.3932100000000002E-3</v>
      </c>
      <c r="G1297">
        <v>2.2934399999999999E-3</v>
      </c>
      <c r="H1297">
        <v>2.40669E-3</v>
      </c>
      <c r="I1297">
        <v>2.46561E-3</v>
      </c>
      <c r="J1297">
        <v>2.4576099999999998E-3</v>
      </c>
      <c r="K1297">
        <v>2.462789E-3</v>
      </c>
      <c r="L1297">
        <v>2.4528699999999998E-3</v>
      </c>
      <c r="M1297">
        <v>2.431243E-3</v>
      </c>
      <c r="N1297">
        <v>2.4089110000000001E-3</v>
      </c>
      <c r="O1297">
        <v>0</v>
      </c>
      <c r="P1297">
        <v>0</v>
      </c>
      <c r="Q1297">
        <v>0</v>
      </c>
      <c r="R1297" t="s">
        <v>243</v>
      </c>
    </row>
    <row r="1298" spans="1:18" x14ac:dyDescent="0.3">
      <c r="A1298" t="s">
        <v>259</v>
      </c>
      <c r="B1298" t="s">
        <v>32</v>
      </c>
      <c r="C1298" t="s">
        <v>312</v>
      </c>
      <c r="D1298">
        <v>2.1337000000000001E-3</v>
      </c>
      <c r="E1298">
        <v>2.59078E-3</v>
      </c>
      <c r="F1298">
        <v>2.5563000000000001E-3</v>
      </c>
      <c r="G1298">
        <v>2.4372399999999998E-3</v>
      </c>
      <c r="H1298">
        <v>2.5158999999999902E-3</v>
      </c>
      <c r="I1298">
        <v>2.5717769999999999E-3</v>
      </c>
      <c r="J1298">
        <v>2.5568839999999902E-3</v>
      </c>
      <c r="K1298">
        <v>2.5566230000000001E-3</v>
      </c>
      <c r="L1298">
        <v>2.5438040000000002E-3</v>
      </c>
      <c r="M1298">
        <v>2.5197219999999998E-3</v>
      </c>
      <c r="N1298">
        <v>2.495957E-3</v>
      </c>
      <c r="O1298">
        <v>0</v>
      </c>
      <c r="P1298">
        <v>0</v>
      </c>
      <c r="Q1298">
        <v>0</v>
      </c>
      <c r="R1298" t="s">
        <v>243</v>
      </c>
    </row>
    <row r="1299" spans="1:18" x14ac:dyDescent="0.3">
      <c r="A1299" t="s">
        <v>259</v>
      </c>
      <c r="B1299" t="s">
        <v>32</v>
      </c>
      <c r="C1299" t="s">
        <v>313</v>
      </c>
      <c r="D1299">
        <v>2.3792700000000002E-3</v>
      </c>
      <c r="E1299">
        <v>2.7821399999999998E-3</v>
      </c>
      <c r="F1299">
        <v>2.7628599999999998E-3</v>
      </c>
      <c r="G1299">
        <v>2.5960800000000002E-3</v>
      </c>
      <c r="H1299">
        <v>2.65672E-3</v>
      </c>
      <c r="I1299">
        <v>2.703975E-3</v>
      </c>
      <c r="J1299">
        <v>2.6811510000000001E-3</v>
      </c>
      <c r="K1299">
        <v>2.6785400000000001E-3</v>
      </c>
      <c r="L1299">
        <v>2.663374E-3</v>
      </c>
      <c r="M1299">
        <v>2.6365550000000001E-3</v>
      </c>
      <c r="N1299">
        <v>2.6103900000000002E-3</v>
      </c>
      <c r="O1299">
        <v>0</v>
      </c>
      <c r="P1299">
        <v>0</v>
      </c>
      <c r="Q1299">
        <v>0</v>
      </c>
      <c r="R1299" t="s">
        <v>243</v>
      </c>
    </row>
    <row r="1300" spans="1:18" x14ac:dyDescent="0.3">
      <c r="A1300" t="s">
        <v>259</v>
      </c>
      <c r="B1300" t="s">
        <v>32</v>
      </c>
      <c r="C1300" t="s">
        <v>314</v>
      </c>
      <c r="D1300" s="8">
        <v>2.6337499999999999E-4</v>
      </c>
      <c r="E1300" s="8">
        <v>3.1178400000000001E-4</v>
      </c>
      <c r="F1300" s="8">
        <v>3.2631499999999998E-4</v>
      </c>
      <c r="G1300" s="8">
        <v>3.3274800000000001E-4</v>
      </c>
      <c r="H1300" s="8">
        <v>3.7863399999999998E-4</v>
      </c>
      <c r="I1300" s="8">
        <v>3.9108900000000001E-4</v>
      </c>
      <c r="J1300" s="8">
        <v>3.9500100000000002E-4</v>
      </c>
      <c r="K1300" s="8">
        <v>3.9512500000000002E-4</v>
      </c>
      <c r="L1300" s="8">
        <v>3.9087600000000002E-4</v>
      </c>
      <c r="M1300" s="8">
        <v>3.8483400000000002E-4</v>
      </c>
      <c r="N1300" s="8">
        <v>3.7723999999999999E-4</v>
      </c>
      <c r="O1300">
        <v>0</v>
      </c>
      <c r="P1300">
        <v>0</v>
      </c>
      <c r="Q1300">
        <v>0</v>
      </c>
      <c r="R1300" t="s">
        <v>243</v>
      </c>
    </row>
    <row r="1301" spans="1:18" x14ac:dyDescent="0.3">
      <c r="A1301" t="s">
        <v>259</v>
      </c>
      <c r="B1301" t="s">
        <v>32</v>
      </c>
      <c r="C1301" t="s">
        <v>315</v>
      </c>
      <c r="D1301" s="8">
        <v>6.0482699999999995E-4</v>
      </c>
      <c r="E1301" s="8">
        <v>7.4606100000000001E-4</v>
      </c>
      <c r="F1301" s="8">
        <v>7.3777499999999998E-4</v>
      </c>
      <c r="G1301" s="8">
        <v>7.02851E-4</v>
      </c>
      <c r="H1301" s="8">
        <v>6.9911699999999997E-4</v>
      </c>
      <c r="I1301" s="8">
        <v>7.0010099999999996E-4</v>
      </c>
      <c r="J1301" s="8">
        <v>6.9408000000000002E-4</v>
      </c>
      <c r="K1301" s="8">
        <v>6.8414300000000001E-4</v>
      </c>
      <c r="L1301" s="8">
        <v>6.7240699999999997E-4</v>
      </c>
      <c r="M1301" s="8">
        <v>6.6022300000000004E-4</v>
      </c>
      <c r="N1301" s="8">
        <v>6.4701199999999998E-4</v>
      </c>
      <c r="O1301">
        <v>0</v>
      </c>
      <c r="P1301">
        <v>0</v>
      </c>
      <c r="Q1301">
        <v>0</v>
      </c>
      <c r="R1301" t="s">
        <v>243</v>
      </c>
    </row>
    <row r="1302" spans="1:18" x14ac:dyDescent="0.3">
      <c r="A1302" t="s">
        <v>259</v>
      </c>
      <c r="B1302" t="s">
        <v>32</v>
      </c>
      <c r="C1302" t="s">
        <v>316</v>
      </c>
      <c r="D1302" s="8">
        <v>3.5333899999999999E-4</v>
      </c>
      <c r="E1302" s="8">
        <v>4.2752799999999999E-4</v>
      </c>
      <c r="F1302" s="8">
        <v>4.44964E-4</v>
      </c>
      <c r="G1302" s="8">
        <v>4.3924300000000002E-4</v>
      </c>
      <c r="H1302" s="8">
        <v>4.5540700000000001E-4</v>
      </c>
      <c r="I1302" s="8">
        <v>4.6221700000000001E-4</v>
      </c>
      <c r="J1302" s="8">
        <v>4.6239499999999999E-4</v>
      </c>
      <c r="K1302" s="8">
        <v>4.5847100000000001E-4</v>
      </c>
      <c r="L1302" s="8">
        <v>4.5194099999999997E-4</v>
      </c>
      <c r="M1302" s="8">
        <v>4.4452899999999999E-4</v>
      </c>
      <c r="N1302" s="8">
        <v>4.3595899999999998E-4</v>
      </c>
      <c r="O1302">
        <v>0</v>
      </c>
      <c r="P1302">
        <v>0</v>
      </c>
      <c r="Q1302">
        <v>0</v>
      </c>
      <c r="R1302" t="s">
        <v>243</v>
      </c>
    </row>
    <row r="1303" spans="1:18" x14ac:dyDescent="0.3">
      <c r="A1303" t="s">
        <v>259</v>
      </c>
      <c r="B1303" t="s">
        <v>32</v>
      </c>
      <c r="C1303" t="s">
        <v>317</v>
      </c>
      <c r="D1303" s="8">
        <v>4.0529299999999998E-4</v>
      </c>
      <c r="E1303" s="8">
        <v>4.86892E-4</v>
      </c>
      <c r="F1303" s="8">
        <v>4.9836800000000001E-4</v>
      </c>
      <c r="G1303" s="8">
        <v>4.8695699999999999E-4</v>
      </c>
      <c r="H1303" s="8">
        <v>4.9106499999999995E-4</v>
      </c>
      <c r="I1303" s="8">
        <v>4.9677900000000004E-4</v>
      </c>
      <c r="J1303" s="8">
        <v>4.9510600000000004E-4</v>
      </c>
      <c r="K1303" s="8">
        <v>4.8978699999999999E-4</v>
      </c>
      <c r="L1303" s="8">
        <v>4.8228300000000002E-4</v>
      </c>
      <c r="M1303" s="8">
        <v>4.7387699999999999E-4</v>
      </c>
      <c r="N1303" s="8">
        <v>4.6434100000000001E-4</v>
      </c>
      <c r="O1303">
        <v>0</v>
      </c>
      <c r="P1303">
        <v>0</v>
      </c>
      <c r="Q1303">
        <v>0</v>
      </c>
      <c r="R1303" t="s">
        <v>243</v>
      </c>
    </row>
    <row r="1304" spans="1:18" x14ac:dyDescent="0.3">
      <c r="A1304" t="s">
        <v>259</v>
      </c>
      <c r="B1304" t="s">
        <v>32</v>
      </c>
      <c r="C1304" t="s">
        <v>318</v>
      </c>
      <c r="D1304" s="8">
        <v>4.3441299999999998E-4</v>
      </c>
      <c r="E1304" s="8">
        <v>5.2564899999999999E-4</v>
      </c>
      <c r="F1304" s="8">
        <v>5.3449699999999999E-4</v>
      </c>
      <c r="G1304" s="8">
        <v>5.1795599999999997E-4</v>
      </c>
      <c r="H1304" s="8">
        <v>5.1580099999999998E-4</v>
      </c>
      <c r="I1304" s="8">
        <v>5.1984999999999998E-4</v>
      </c>
      <c r="J1304" s="8">
        <v>5.1764599999999997E-4</v>
      </c>
      <c r="K1304" s="8">
        <v>5.1178900000000002E-4</v>
      </c>
      <c r="L1304" s="8">
        <v>5.0385600000000001E-4</v>
      </c>
      <c r="M1304" s="8">
        <v>4.9541500000000003E-4</v>
      </c>
      <c r="N1304" s="8">
        <v>4.8586499999999998E-4</v>
      </c>
      <c r="O1304">
        <v>0</v>
      </c>
      <c r="P1304">
        <v>0</v>
      </c>
      <c r="Q1304">
        <v>0</v>
      </c>
      <c r="R1304" t="s">
        <v>243</v>
      </c>
    </row>
    <row r="1305" spans="1:18" x14ac:dyDescent="0.3">
      <c r="A1305" t="s">
        <v>259</v>
      </c>
      <c r="B1305" t="s">
        <v>32</v>
      </c>
      <c r="C1305" t="s">
        <v>319</v>
      </c>
      <c r="D1305" s="8">
        <v>4.5878800000000001E-4</v>
      </c>
      <c r="E1305" s="8">
        <v>5.5751499999999996E-4</v>
      </c>
      <c r="F1305" s="8">
        <v>5.6208300000000001E-4</v>
      </c>
      <c r="G1305" s="8">
        <v>5.4311500000000005E-4</v>
      </c>
      <c r="H1305" s="8">
        <v>5.3629999999999997E-4</v>
      </c>
      <c r="I1305" s="8">
        <v>5.4022200000000003E-4</v>
      </c>
      <c r="J1305" s="8">
        <v>5.3768299999999995E-4</v>
      </c>
      <c r="K1305" s="8">
        <v>5.31392E-4</v>
      </c>
      <c r="L1305" s="8">
        <v>5.2302399999999997E-4</v>
      </c>
      <c r="M1305" s="8">
        <v>5.1387199999999996E-4</v>
      </c>
      <c r="N1305" s="8">
        <v>5.0386199999999999E-4</v>
      </c>
      <c r="O1305">
        <v>0</v>
      </c>
      <c r="P1305">
        <v>0</v>
      </c>
      <c r="Q1305">
        <v>0</v>
      </c>
      <c r="R1305" t="s">
        <v>243</v>
      </c>
    </row>
    <row r="1306" spans="1:18" x14ac:dyDescent="0.3">
      <c r="A1306" t="s">
        <v>259</v>
      </c>
      <c r="B1306" t="s">
        <v>32</v>
      </c>
      <c r="C1306" t="s">
        <v>320</v>
      </c>
      <c r="D1306" s="8">
        <v>4.8194900000000002E-4</v>
      </c>
      <c r="E1306" s="8">
        <v>5.8456299999999997E-4</v>
      </c>
      <c r="F1306" s="8">
        <v>5.8530500000000005E-4</v>
      </c>
      <c r="G1306" s="8">
        <v>5.6438500000000004E-4</v>
      </c>
      <c r="H1306" s="8">
        <v>5.5601499999999998E-4</v>
      </c>
      <c r="I1306" s="8">
        <v>5.5965699999999997E-4</v>
      </c>
      <c r="J1306" s="8">
        <v>5.5663200000000005E-4</v>
      </c>
      <c r="K1306" s="8">
        <v>5.4952699999999996E-4</v>
      </c>
      <c r="L1306" s="8">
        <v>5.4043500000000003E-4</v>
      </c>
      <c r="M1306" s="8">
        <v>5.3096899999999995E-4</v>
      </c>
      <c r="N1306" s="8">
        <v>5.2054300000000005E-4</v>
      </c>
      <c r="O1306">
        <v>0</v>
      </c>
      <c r="P1306">
        <v>0</v>
      </c>
      <c r="Q1306">
        <v>0</v>
      </c>
      <c r="R1306" t="s">
        <v>243</v>
      </c>
    </row>
    <row r="1307" spans="1:18" x14ac:dyDescent="0.3">
      <c r="A1307" t="s">
        <v>259</v>
      </c>
      <c r="B1307" t="s">
        <v>32</v>
      </c>
      <c r="C1307" t="s">
        <v>321</v>
      </c>
      <c r="D1307" s="8">
        <v>5.0438600000000001E-4</v>
      </c>
      <c r="E1307" s="8">
        <v>6.0922999999999999E-4</v>
      </c>
      <c r="F1307" s="8">
        <v>6.0752099999999997E-4</v>
      </c>
      <c r="G1307" s="8">
        <v>5.83078E-4</v>
      </c>
      <c r="H1307" s="8">
        <v>5.7628200000000001E-4</v>
      </c>
      <c r="I1307" s="8">
        <v>5.7877099999999995E-4</v>
      </c>
      <c r="J1307" s="8">
        <v>5.7505700000000002E-4</v>
      </c>
      <c r="K1307" s="8">
        <v>5.6803799999999998E-4</v>
      </c>
      <c r="L1307" s="8">
        <v>5.58998E-4</v>
      </c>
      <c r="M1307" s="8">
        <v>5.4929499999999999E-4</v>
      </c>
      <c r="N1307" s="8">
        <v>5.3856300000000004E-4</v>
      </c>
      <c r="O1307">
        <v>0</v>
      </c>
      <c r="P1307">
        <v>0</v>
      </c>
      <c r="Q1307">
        <v>0</v>
      </c>
      <c r="R1307" t="s">
        <v>243</v>
      </c>
    </row>
    <row r="1308" spans="1:18" x14ac:dyDescent="0.3">
      <c r="A1308" t="s">
        <v>259</v>
      </c>
      <c r="B1308" t="s">
        <v>32</v>
      </c>
      <c r="C1308" t="s">
        <v>322</v>
      </c>
      <c r="D1308" s="8">
        <v>5.2601899999999997E-4</v>
      </c>
      <c r="E1308" s="8">
        <v>6.3555899999999995E-4</v>
      </c>
      <c r="F1308" s="8">
        <v>6.3126700000000003E-4</v>
      </c>
      <c r="G1308" s="8">
        <v>6.0642400000000005E-4</v>
      </c>
      <c r="H1308" s="8">
        <v>5.9803299999999998E-4</v>
      </c>
      <c r="I1308" s="8">
        <v>6.0080500000000005E-4</v>
      </c>
      <c r="J1308" s="8">
        <v>5.9682699999999997E-4</v>
      </c>
      <c r="K1308" s="8">
        <v>5.8907700000000003E-4</v>
      </c>
      <c r="L1308" s="8">
        <v>5.7945499999999999E-4</v>
      </c>
      <c r="M1308" s="8">
        <v>5.69189E-4</v>
      </c>
      <c r="N1308" s="8">
        <v>5.5796700000000003E-4</v>
      </c>
      <c r="O1308">
        <v>0</v>
      </c>
      <c r="P1308">
        <v>0</v>
      </c>
      <c r="Q1308">
        <v>0</v>
      </c>
      <c r="R1308" t="s">
        <v>243</v>
      </c>
    </row>
    <row r="1309" spans="1:18" x14ac:dyDescent="0.3">
      <c r="A1309" t="s">
        <v>259</v>
      </c>
      <c r="B1309" t="s">
        <v>32</v>
      </c>
      <c r="C1309" t="s">
        <v>323</v>
      </c>
      <c r="D1309" s="8">
        <v>5.5798100000000004E-4</v>
      </c>
      <c r="E1309" s="8">
        <v>6.6661900000000002E-4</v>
      </c>
      <c r="F1309" s="8">
        <v>6.6418E-4</v>
      </c>
      <c r="G1309" s="8">
        <v>6.3491899999999996E-4</v>
      </c>
      <c r="H1309" s="8">
        <v>6.2837500000000003E-4</v>
      </c>
      <c r="I1309" s="8">
        <v>6.2991800000000004E-4</v>
      </c>
      <c r="J1309" s="8">
        <v>6.2511800000000003E-4</v>
      </c>
      <c r="K1309" s="8">
        <v>6.1693399999999997E-4</v>
      </c>
      <c r="L1309" s="8">
        <v>6.0659899999999998E-4</v>
      </c>
      <c r="M1309" s="8">
        <v>5.9555700000000003E-4</v>
      </c>
      <c r="N1309" s="8">
        <v>5.8353300000000001E-4</v>
      </c>
      <c r="O1309">
        <v>0</v>
      </c>
      <c r="P1309">
        <v>0</v>
      </c>
      <c r="Q1309">
        <v>0</v>
      </c>
      <c r="R1309" t="s">
        <v>243</v>
      </c>
    </row>
    <row r="1310" spans="1:18" x14ac:dyDescent="0.3">
      <c r="A1310" t="s">
        <v>259</v>
      </c>
      <c r="B1310" t="s">
        <v>426</v>
      </c>
      <c r="C1310" t="s">
        <v>262</v>
      </c>
      <c r="D1310" s="8">
        <v>3.4803200000000002E-4</v>
      </c>
      <c r="E1310" s="8">
        <v>6.4714589999999999E-4</v>
      </c>
      <c r="F1310" s="8">
        <v>6.7666351999999996E-4</v>
      </c>
      <c r="G1310" s="8">
        <v>8.8620500000000004E-4</v>
      </c>
      <c r="H1310" s="8">
        <v>9.989315999999989E-4</v>
      </c>
      <c r="I1310">
        <v>1.1824826999999999E-3</v>
      </c>
      <c r="J1310">
        <v>1.26536669999999E-3</v>
      </c>
      <c r="K1310">
        <v>1.2916190699999901E-3</v>
      </c>
      <c r="L1310">
        <v>1.21254109999999E-3</v>
      </c>
      <c r="M1310">
        <v>1.22366361999999E-3</v>
      </c>
      <c r="N1310">
        <v>1.23494838E-3</v>
      </c>
      <c r="O1310">
        <v>0</v>
      </c>
      <c r="P1310">
        <v>0</v>
      </c>
      <c r="Q1310">
        <v>0</v>
      </c>
      <c r="R1310" t="s">
        <v>243</v>
      </c>
    </row>
    <row r="1311" spans="1:18" x14ac:dyDescent="0.3">
      <c r="A1311" t="s">
        <v>259</v>
      </c>
      <c r="B1311" t="s">
        <v>426</v>
      </c>
      <c r="C1311" t="s">
        <v>263</v>
      </c>
      <c r="D1311">
        <v>1.4693099999999999E-3</v>
      </c>
      <c r="E1311">
        <v>2.6923532400000001E-3</v>
      </c>
      <c r="F1311">
        <v>2.7911503699999899E-3</v>
      </c>
      <c r="G1311">
        <v>3.4808560000000001E-3</v>
      </c>
      <c r="H1311">
        <v>3.7459361000000001E-3</v>
      </c>
      <c r="I1311">
        <v>4.0337512000000004E-3</v>
      </c>
      <c r="J1311">
        <v>4.18529779999999E-3</v>
      </c>
      <c r="K1311">
        <v>4.3090900999999899E-3</v>
      </c>
      <c r="L1311">
        <v>4.3947426000000003E-3</v>
      </c>
      <c r="M1311">
        <v>4.4599723999999997E-3</v>
      </c>
      <c r="N1311">
        <v>4.49828649999999E-3</v>
      </c>
      <c r="O1311">
        <v>0</v>
      </c>
      <c r="P1311">
        <v>0</v>
      </c>
      <c r="Q1311">
        <v>0</v>
      </c>
      <c r="R1311" t="s">
        <v>243</v>
      </c>
    </row>
    <row r="1312" spans="1:18" x14ac:dyDescent="0.3">
      <c r="A1312" t="s">
        <v>259</v>
      </c>
      <c r="B1312" t="s">
        <v>426</v>
      </c>
      <c r="C1312" t="s">
        <v>264</v>
      </c>
      <c r="D1312" s="8">
        <v>6.6389899999999996E-6</v>
      </c>
      <c r="E1312" s="8">
        <v>6.4960000000000001E-6</v>
      </c>
      <c r="F1312" s="8">
        <v>8.0880880000000002E-6</v>
      </c>
      <c r="G1312" s="8">
        <v>7.328892E-6</v>
      </c>
      <c r="H1312" s="8">
        <v>8.9964509999999901E-6</v>
      </c>
      <c r="I1312" s="8">
        <v>1.2112291E-5</v>
      </c>
      <c r="J1312" s="8">
        <v>1.4339342799999999E-5</v>
      </c>
      <c r="K1312" s="8">
        <v>1.59492077E-5</v>
      </c>
      <c r="L1312" s="8">
        <v>1.7571425499999999E-5</v>
      </c>
      <c r="M1312" s="8">
        <v>1.9114926E-5</v>
      </c>
      <c r="N1312" s="8">
        <v>2.1052989E-5</v>
      </c>
      <c r="O1312">
        <v>0</v>
      </c>
      <c r="P1312">
        <v>0</v>
      </c>
      <c r="Q1312">
        <v>0</v>
      </c>
      <c r="R1312" t="s">
        <v>243</v>
      </c>
    </row>
    <row r="1313" spans="1:18" x14ac:dyDescent="0.3">
      <c r="A1313" t="s">
        <v>259</v>
      </c>
      <c r="B1313" t="s">
        <v>426</v>
      </c>
      <c r="C1313" t="s">
        <v>265</v>
      </c>
      <c r="D1313" s="8">
        <v>6.7654499999999994E-5</v>
      </c>
      <c r="E1313" s="8">
        <v>5.4657600000000003E-5</v>
      </c>
      <c r="F1313" s="8">
        <v>6.182676E-5</v>
      </c>
      <c r="G1313" s="8">
        <v>5.5073359999999997E-5</v>
      </c>
      <c r="H1313" s="8">
        <v>6.6255009999999996E-5</v>
      </c>
      <c r="I1313" s="8">
        <v>8.1994417000000002E-5</v>
      </c>
      <c r="J1313" s="8">
        <v>9.1956575000000005E-5</v>
      </c>
      <c r="K1313" s="8">
        <v>9.8989592000000003E-5</v>
      </c>
      <c r="L1313" s="8">
        <v>1.05115520999999E-4</v>
      </c>
      <c r="M1313" s="8">
        <v>1.10543761E-4</v>
      </c>
      <c r="N1313" s="8">
        <v>1.16383712E-4</v>
      </c>
      <c r="O1313">
        <v>0</v>
      </c>
      <c r="P1313">
        <v>0</v>
      </c>
      <c r="Q1313">
        <v>0</v>
      </c>
      <c r="R1313" t="s">
        <v>243</v>
      </c>
    </row>
    <row r="1314" spans="1:18" x14ac:dyDescent="0.3">
      <c r="A1314" t="s">
        <v>259</v>
      </c>
      <c r="B1314" t="s">
        <v>426</v>
      </c>
      <c r="C1314" t="s">
        <v>266</v>
      </c>
      <c r="D1314" s="8">
        <v>1.126323E-5</v>
      </c>
      <c r="E1314" s="8">
        <v>1.02352799999999E-5</v>
      </c>
      <c r="F1314" s="8">
        <v>1.2430040000000001E-5</v>
      </c>
      <c r="G1314" s="8">
        <v>1.13646099999999E-5</v>
      </c>
      <c r="H1314" s="8">
        <v>1.3662028000000001E-5</v>
      </c>
      <c r="I1314" s="8">
        <v>1.8517439999999999E-5</v>
      </c>
      <c r="J1314" s="8">
        <v>2.2054357999999999E-5</v>
      </c>
      <c r="K1314" s="8">
        <v>2.4755518999999999E-5</v>
      </c>
      <c r="L1314" s="8">
        <v>2.76937399999999E-5</v>
      </c>
      <c r="M1314" s="8">
        <v>3.0353113999999899E-5</v>
      </c>
      <c r="N1314" s="8">
        <v>3.3253804999999997E-5</v>
      </c>
      <c r="O1314">
        <v>0</v>
      </c>
      <c r="P1314">
        <v>0</v>
      </c>
      <c r="Q1314">
        <v>0</v>
      </c>
      <c r="R1314" t="s">
        <v>243</v>
      </c>
    </row>
    <row r="1315" spans="1:18" x14ac:dyDescent="0.3">
      <c r="A1315" t="s">
        <v>259</v>
      </c>
      <c r="B1315" t="s">
        <v>426</v>
      </c>
      <c r="C1315" t="s">
        <v>267</v>
      </c>
      <c r="D1315" s="8">
        <v>1.4309739999999901E-5</v>
      </c>
      <c r="E1315" s="8">
        <v>1.3511690000000001E-5</v>
      </c>
      <c r="F1315" s="8">
        <v>1.5944059999999999E-5</v>
      </c>
      <c r="G1315" s="8">
        <v>1.431549E-5</v>
      </c>
      <c r="H1315" s="8">
        <v>1.7714436999999999E-5</v>
      </c>
      <c r="I1315" s="8">
        <v>2.3654261000000002E-5</v>
      </c>
      <c r="J1315" s="8">
        <v>2.7821799999999998E-5</v>
      </c>
      <c r="K1315" s="8">
        <v>3.0843758000000003E-5</v>
      </c>
      <c r="L1315" s="8">
        <v>3.3867988000000002E-5</v>
      </c>
      <c r="M1315" s="8">
        <v>3.7019478999999901E-5</v>
      </c>
      <c r="N1315" s="8">
        <v>4.0471997E-5</v>
      </c>
      <c r="O1315">
        <v>0</v>
      </c>
      <c r="P1315">
        <v>0</v>
      </c>
      <c r="Q1315">
        <v>0</v>
      </c>
      <c r="R1315" t="s">
        <v>243</v>
      </c>
    </row>
    <row r="1316" spans="1:18" x14ac:dyDescent="0.3">
      <c r="A1316" t="s">
        <v>259</v>
      </c>
      <c r="B1316" t="s">
        <v>426</v>
      </c>
      <c r="C1316" t="s">
        <v>268</v>
      </c>
      <c r="D1316" s="8">
        <v>1.7102079999999999E-5</v>
      </c>
      <c r="E1316" s="8">
        <v>1.599289E-5</v>
      </c>
      <c r="F1316" s="8">
        <v>1.891348E-5</v>
      </c>
      <c r="G1316" s="8">
        <v>1.7034020000000001E-5</v>
      </c>
      <c r="H1316" s="8">
        <v>2.0901866000000001E-5</v>
      </c>
      <c r="I1316" s="8">
        <v>2.7886726999999999E-5</v>
      </c>
      <c r="J1316" s="8">
        <v>3.2709906E-5</v>
      </c>
      <c r="K1316" s="8">
        <v>3.6205555999999997E-5</v>
      </c>
      <c r="L1316" s="8">
        <v>3.9631681999999999E-5</v>
      </c>
      <c r="M1316" s="8">
        <v>4.2773706999999999E-5</v>
      </c>
      <c r="N1316" s="8">
        <v>4.6611140000000001E-5</v>
      </c>
      <c r="O1316">
        <v>0</v>
      </c>
      <c r="P1316">
        <v>0</v>
      </c>
      <c r="Q1316">
        <v>0</v>
      </c>
      <c r="R1316" t="s">
        <v>243</v>
      </c>
    </row>
    <row r="1317" spans="1:18" x14ac:dyDescent="0.3">
      <c r="A1317" t="s">
        <v>259</v>
      </c>
      <c r="B1317" t="s">
        <v>426</v>
      </c>
      <c r="C1317" t="s">
        <v>269</v>
      </c>
      <c r="D1317" s="8">
        <v>1.992568E-5</v>
      </c>
      <c r="E1317" s="8">
        <v>1.8427860000000001E-5</v>
      </c>
      <c r="F1317" s="8">
        <v>2.1829350000000001E-5</v>
      </c>
      <c r="G1317" s="8">
        <v>1.9623729999999999E-5</v>
      </c>
      <c r="H1317" s="8">
        <v>2.4172898999999899E-5</v>
      </c>
      <c r="I1317" s="8">
        <v>3.1959271999999899E-5</v>
      </c>
      <c r="J1317" s="8">
        <v>3.7356144E-5</v>
      </c>
      <c r="K1317" s="8">
        <v>4.1281213999999999E-5</v>
      </c>
      <c r="L1317" s="8">
        <v>4.5102911000000002E-5</v>
      </c>
      <c r="M1317" s="8">
        <v>4.8281682E-5</v>
      </c>
      <c r="N1317" s="8">
        <v>5.2468329999999901E-5</v>
      </c>
      <c r="O1317">
        <v>0</v>
      </c>
      <c r="P1317">
        <v>0</v>
      </c>
      <c r="Q1317">
        <v>0</v>
      </c>
      <c r="R1317" t="s">
        <v>243</v>
      </c>
    </row>
    <row r="1318" spans="1:18" x14ac:dyDescent="0.3">
      <c r="A1318" t="s">
        <v>259</v>
      </c>
      <c r="B1318" t="s">
        <v>426</v>
      </c>
      <c r="C1318" t="s">
        <v>270</v>
      </c>
      <c r="D1318" s="8">
        <v>2.3086189999999999E-5</v>
      </c>
      <c r="E1318" s="8">
        <v>2.0934659999999999E-5</v>
      </c>
      <c r="F1318" s="8">
        <v>2.5050990000000001E-5</v>
      </c>
      <c r="G1318" s="8">
        <v>2.2489039999999899E-5</v>
      </c>
      <c r="H1318" s="8">
        <v>2.7729989E-5</v>
      </c>
      <c r="I1318" s="8">
        <v>3.6296471999999997E-5</v>
      </c>
      <c r="J1318" s="8">
        <v>4.2300857000000003E-5</v>
      </c>
      <c r="K1318" s="8">
        <v>4.6641684999999902E-5</v>
      </c>
      <c r="L1318" s="8">
        <v>5.0588278999999899E-5</v>
      </c>
      <c r="M1318" s="8">
        <v>5.4083128000000001E-5</v>
      </c>
      <c r="N1318" s="8">
        <v>5.8617160999999998E-5</v>
      </c>
      <c r="O1318">
        <v>0</v>
      </c>
      <c r="P1318">
        <v>0</v>
      </c>
      <c r="Q1318">
        <v>0</v>
      </c>
      <c r="R1318" t="s">
        <v>243</v>
      </c>
    </row>
    <row r="1319" spans="1:18" x14ac:dyDescent="0.3">
      <c r="A1319" t="s">
        <v>259</v>
      </c>
      <c r="B1319" t="s">
        <v>426</v>
      </c>
      <c r="C1319" t="s">
        <v>271</v>
      </c>
      <c r="D1319" s="8">
        <v>2.6908999999999999E-5</v>
      </c>
      <c r="E1319" s="8">
        <v>2.3875349999999998E-5</v>
      </c>
      <c r="F1319" s="8">
        <v>2.8533669999999999E-5</v>
      </c>
      <c r="G1319" s="8">
        <v>2.55788699999999E-5</v>
      </c>
      <c r="H1319" s="8">
        <v>3.1616475000000003E-5</v>
      </c>
      <c r="I1319" s="8">
        <v>4.1398286000000001E-5</v>
      </c>
      <c r="J1319" s="8">
        <v>4.8086829000000001E-5</v>
      </c>
      <c r="K1319" s="8">
        <v>5.2500719999999998E-5</v>
      </c>
      <c r="L1319" s="8">
        <v>5.6542821999999997E-5</v>
      </c>
      <c r="M1319" s="8">
        <v>6.0652000999999997E-5</v>
      </c>
      <c r="N1319" s="8">
        <v>6.5539259000000006E-5</v>
      </c>
      <c r="O1319">
        <v>0</v>
      </c>
      <c r="P1319">
        <v>0</v>
      </c>
      <c r="Q1319">
        <v>0</v>
      </c>
      <c r="R1319" t="s">
        <v>243</v>
      </c>
    </row>
    <row r="1320" spans="1:18" x14ac:dyDescent="0.3">
      <c r="A1320" t="s">
        <v>259</v>
      </c>
      <c r="B1320" t="s">
        <v>426</v>
      </c>
      <c r="C1320" t="s">
        <v>272</v>
      </c>
      <c r="D1320" s="8">
        <v>3.1990299999999998E-5</v>
      </c>
      <c r="E1320" s="8">
        <v>2.787621E-5</v>
      </c>
      <c r="F1320" s="8">
        <v>3.301856E-5</v>
      </c>
      <c r="G1320" s="8">
        <v>2.9719019999999999E-5</v>
      </c>
      <c r="H1320" s="8">
        <v>3.6937955999999997E-5</v>
      </c>
      <c r="I1320" s="8">
        <v>4.7397252999999999E-5</v>
      </c>
      <c r="J1320" s="8">
        <v>5.4308109999999997E-5</v>
      </c>
      <c r="K1320" s="8">
        <v>5.9417826999999999E-5</v>
      </c>
      <c r="L1320" s="8">
        <v>6.4272588000000006E-5</v>
      </c>
      <c r="M1320" s="8">
        <v>6.8755223000000005E-5</v>
      </c>
      <c r="N1320" s="8">
        <v>7.4008485999999996E-5</v>
      </c>
      <c r="O1320">
        <v>0</v>
      </c>
      <c r="P1320">
        <v>0</v>
      </c>
      <c r="Q1320">
        <v>0</v>
      </c>
      <c r="R1320" t="s">
        <v>243</v>
      </c>
    </row>
    <row r="1321" spans="1:18" x14ac:dyDescent="0.3">
      <c r="A1321" t="s">
        <v>259</v>
      </c>
      <c r="B1321" t="s">
        <v>426</v>
      </c>
      <c r="C1321" t="s">
        <v>273</v>
      </c>
      <c r="D1321" s="8">
        <v>4.0068099999999997E-5</v>
      </c>
      <c r="E1321" s="8">
        <v>3.3668579999999997E-5</v>
      </c>
      <c r="F1321" s="8">
        <v>3.9726250000000003E-5</v>
      </c>
      <c r="G1321" s="8">
        <v>3.5766460000000001E-5</v>
      </c>
      <c r="H1321" s="8">
        <v>4.3631066999999999E-5</v>
      </c>
      <c r="I1321" s="8">
        <v>5.5990855000000003E-5</v>
      </c>
      <c r="J1321" s="8">
        <v>6.4250480999999897E-5</v>
      </c>
      <c r="K1321" s="8">
        <v>7.0101647000000002E-5</v>
      </c>
      <c r="L1321" s="8">
        <v>7.5418777000000001E-5</v>
      </c>
      <c r="M1321" s="8">
        <v>8.0244965000000006E-5</v>
      </c>
      <c r="N1321" s="8">
        <v>8.5833167999999996E-5</v>
      </c>
      <c r="O1321">
        <v>0</v>
      </c>
      <c r="P1321">
        <v>0</v>
      </c>
      <c r="Q1321">
        <v>0</v>
      </c>
      <c r="R1321" t="s">
        <v>243</v>
      </c>
    </row>
    <row r="1322" spans="1:18" x14ac:dyDescent="0.3">
      <c r="A1322" t="s">
        <v>259</v>
      </c>
      <c r="B1322" t="s">
        <v>426</v>
      </c>
      <c r="C1322" t="s">
        <v>284</v>
      </c>
      <c r="D1322" s="8">
        <v>4.3109989999999998E-5</v>
      </c>
      <c r="E1322" s="8">
        <v>5.0680711000000001E-5</v>
      </c>
      <c r="F1322" s="8">
        <v>6.8034384999999999E-5</v>
      </c>
      <c r="G1322" s="8">
        <v>6.0769990000000002E-5</v>
      </c>
      <c r="H1322" s="8">
        <v>6.7936880000000002E-5</v>
      </c>
      <c r="I1322" s="8">
        <v>8.3801385999999995E-5</v>
      </c>
      <c r="J1322" s="8">
        <v>9.2968494E-5</v>
      </c>
      <c r="K1322" s="8">
        <v>9.3147819000000001E-5</v>
      </c>
      <c r="L1322" s="8">
        <v>9.8904016000000004E-5</v>
      </c>
      <c r="M1322" s="8">
        <v>1.0304400099999999E-4</v>
      </c>
      <c r="N1322" s="8">
        <v>1.08386833999999E-4</v>
      </c>
      <c r="O1322">
        <v>0</v>
      </c>
      <c r="P1322">
        <v>0</v>
      </c>
      <c r="Q1322">
        <v>0</v>
      </c>
      <c r="R1322" t="s">
        <v>243</v>
      </c>
    </row>
    <row r="1323" spans="1:18" x14ac:dyDescent="0.3">
      <c r="A1323" t="s">
        <v>259</v>
      </c>
      <c r="B1323" t="s">
        <v>426</v>
      </c>
      <c r="C1323" t="s">
        <v>285</v>
      </c>
      <c r="D1323" s="8">
        <v>4.6046439999999998E-4</v>
      </c>
      <c r="E1323" s="8">
        <v>4.4312965000000001E-4</v>
      </c>
      <c r="F1323" s="8">
        <v>5.3373271999999905E-4</v>
      </c>
      <c r="G1323" s="8">
        <v>4.7003710000000001E-4</v>
      </c>
      <c r="H1323" s="8">
        <v>5.0667397000000005E-4</v>
      </c>
      <c r="I1323" s="8">
        <v>5.7678791999999995E-4</v>
      </c>
      <c r="J1323" s="8">
        <v>6.0070840999999905E-4</v>
      </c>
      <c r="K1323" s="8">
        <v>5.6246940599999904E-4</v>
      </c>
      <c r="L1323" s="8">
        <v>5.6485989100000004E-4</v>
      </c>
      <c r="M1323" s="8">
        <v>5.5909277000000003E-4</v>
      </c>
      <c r="N1323" s="8">
        <v>5.5509793999999999E-4</v>
      </c>
      <c r="O1323">
        <v>0</v>
      </c>
      <c r="P1323">
        <v>0</v>
      </c>
      <c r="Q1323">
        <v>0</v>
      </c>
      <c r="R1323" t="s">
        <v>243</v>
      </c>
    </row>
    <row r="1324" spans="1:18" x14ac:dyDescent="0.3">
      <c r="A1324" t="s">
        <v>259</v>
      </c>
      <c r="B1324" t="s">
        <v>426</v>
      </c>
      <c r="C1324" t="s">
        <v>286</v>
      </c>
      <c r="D1324" s="8">
        <v>7.3406799999999997E-5</v>
      </c>
      <c r="E1324" s="8">
        <v>8.0085159000000005E-5</v>
      </c>
      <c r="F1324" s="8">
        <v>1.04773915E-4</v>
      </c>
      <c r="G1324" s="8">
        <v>9.4455230000000005E-5</v>
      </c>
      <c r="H1324" s="8">
        <v>1.0360789999999999E-4</v>
      </c>
      <c r="I1324" s="8">
        <v>1.28272778E-4</v>
      </c>
      <c r="J1324" s="8">
        <v>1.4276785499999899E-4</v>
      </c>
      <c r="K1324" s="8">
        <v>1.43749266E-4</v>
      </c>
      <c r="L1324" s="8">
        <v>1.5446100099999999E-4</v>
      </c>
      <c r="M1324" s="8">
        <v>1.61630057E-4</v>
      </c>
      <c r="N1324" s="8">
        <v>1.6873772599999999E-4</v>
      </c>
      <c r="O1324">
        <v>0</v>
      </c>
      <c r="P1324">
        <v>0</v>
      </c>
      <c r="Q1324">
        <v>0</v>
      </c>
      <c r="R1324" t="s">
        <v>243</v>
      </c>
    </row>
    <row r="1325" spans="1:18" x14ac:dyDescent="0.3">
      <c r="A1325" t="s">
        <v>259</v>
      </c>
      <c r="B1325" t="s">
        <v>426</v>
      </c>
      <c r="C1325" t="s">
        <v>287</v>
      </c>
      <c r="D1325" s="8">
        <v>9.3472299999999996E-5</v>
      </c>
      <c r="E1325" s="8">
        <v>1.0597973999999999E-4</v>
      </c>
      <c r="F1325" s="8">
        <v>1.3462358900000001E-4</v>
      </c>
      <c r="G1325" s="8">
        <v>1.1918691E-4</v>
      </c>
      <c r="H1325" s="8">
        <v>1.3378207999999999E-4</v>
      </c>
      <c r="I1325" s="8">
        <v>1.6365342599999999E-4</v>
      </c>
      <c r="J1325" s="8">
        <v>1.8003441099999901E-4</v>
      </c>
      <c r="K1325" s="8">
        <v>1.7877055299999901E-4</v>
      </c>
      <c r="L1325" s="8">
        <v>1.8824247999999901E-4</v>
      </c>
      <c r="M1325" s="8">
        <v>1.96046538999999E-4</v>
      </c>
      <c r="N1325" s="8">
        <v>2.03934465E-4</v>
      </c>
      <c r="O1325">
        <v>0</v>
      </c>
      <c r="P1325">
        <v>0</v>
      </c>
      <c r="Q1325">
        <v>0</v>
      </c>
      <c r="R1325" t="s">
        <v>243</v>
      </c>
    </row>
    <row r="1326" spans="1:18" x14ac:dyDescent="0.3">
      <c r="A1326" t="s">
        <v>259</v>
      </c>
      <c r="B1326" t="s">
        <v>426</v>
      </c>
      <c r="C1326" t="s">
        <v>288</v>
      </c>
      <c r="D1326" s="8">
        <v>1.119374E-4</v>
      </c>
      <c r="E1326" s="8">
        <v>1.2568284000000001E-4</v>
      </c>
      <c r="F1326" s="8">
        <v>1.5991679299999999E-4</v>
      </c>
      <c r="G1326" s="8">
        <v>1.4204465999999999E-4</v>
      </c>
      <c r="H1326" s="8">
        <v>1.5815546E-4</v>
      </c>
      <c r="I1326" s="8">
        <v>1.9316517400000001E-4</v>
      </c>
      <c r="J1326" s="8">
        <v>2.1174725499999999E-4</v>
      </c>
      <c r="K1326" s="8">
        <v>2.09440772999999E-4</v>
      </c>
      <c r="L1326" s="8">
        <v>2.1960166599999901E-4</v>
      </c>
      <c r="M1326" s="8">
        <v>2.2563707000000001E-4</v>
      </c>
      <c r="N1326" s="8">
        <v>2.33668221999999E-4</v>
      </c>
      <c r="O1326">
        <v>0</v>
      </c>
      <c r="P1326">
        <v>0</v>
      </c>
      <c r="Q1326">
        <v>0</v>
      </c>
      <c r="R1326" t="s">
        <v>243</v>
      </c>
    </row>
    <row r="1327" spans="1:18" x14ac:dyDescent="0.3">
      <c r="A1327" t="s">
        <v>259</v>
      </c>
      <c r="B1327" t="s">
        <v>426</v>
      </c>
      <c r="C1327" t="s">
        <v>289</v>
      </c>
      <c r="D1327" s="8">
        <v>1.3069709999999999E-4</v>
      </c>
      <c r="E1327" s="8">
        <v>1.4507864E-4</v>
      </c>
      <c r="F1327" s="8">
        <v>1.84817289E-4</v>
      </c>
      <c r="G1327" s="8">
        <v>1.6388524E-4</v>
      </c>
      <c r="H1327" s="8">
        <v>1.8287610000000001E-4</v>
      </c>
      <c r="I1327" s="8">
        <v>2.2154356999999999E-4</v>
      </c>
      <c r="J1327" s="8">
        <v>2.4188907299999999E-4</v>
      </c>
      <c r="K1327" s="8">
        <v>2.3838858000000001E-4</v>
      </c>
      <c r="L1327" s="8">
        <v>2.4917872899999998E-4</v>
      </c>
      <c r="M1327" s="8">
        <v>2.5376503300000001E-4</v>
      </c>
      <c r="N1327" s="8">
        <v>2.6181914199999899E-4</v>
      </c>
      <c r="O1327">
        <v>0</v>
      </c>
      <c r="P1327">
        <v>0</v>
      </c>
      <c r="Q1327">
        <v>0</v>
      </c>
      <c r="R1327" t="s">
        <v>243</v>
      </c>
    </row>
    <row r="1328" spans="1:18" x14ac:dyDescent="0.3">
      <c r="A1328" t="s">
        <v>259</v>
      </c>
      <c r="B1328" t="s">
        <v>426</v>
      </c>
      <c r="C1328" t="s">
        <v>290</v>
      </c>
      <c r="D1328" s="8">
        <v>1.5177840000000001E-4</v>
      </c>
      <c r="E1328" s="8">
        <v>1.6512647999999901E-4</v>
      </c>
      <c r="F1328" s="8">
        <v>2.12414098E-4</v>
      </c>
      <c r="G1328" s="8">
        <v>1.8812618000000001E-4</v>
      </c>
      <c r="H1328" s="8">
        <v>2.0986223999999999E-4</v>
      </c>
      <c r="I1328" s="8">
        <v>2.5192287799999998E-4</v>
      </c>
      <c r="J1328" s="8">
        <v>2.7405549600000001E-4</v>
      </c>
      <c r="K1328" s="8">
        <v>2.6887640599999998E-4</v>
      </c>
      <c r="L1328" s="8">
        <v>2.7873715199999997E-4</v>
      </c>
      <c r="M1328" s="8">
        <v>2.83173653E-4</v>
      </c>
      <c r="N1328" s="8">
        <v>2.9112532399999999E-4</v>
      </c>
      <c r="O1328">
        <v>0</v>
      </c>
      <c r="P1328">
        <v>0</v>
      </c>
      <c r="Q1328">
        <v>0</v>
      </c>
      <c r="R1328" t="s">
        <v>243</v>
      </c>
    </row>
    <row r="1329" spans="1:18" x14ac:dyDescent="0.3">
      <c r="A1329" t="s">
        <v>259</v>
      </c>
      <c r="B1329" t="s">
        <v>426</v>
      </c>
      <c r="C1329" t="s">
        <v>291</v>
      </c>
      <c r="D1329" s="8">
        <v>1.774058E-4</v>
      </c>
      <c r="E1329" s="8">
        <v>1.8874556999999901E-4</v>
      </c>
      <c r="F1329" s="8">
        <v>2.4234461E-4</v>
      </c>
      <c r="G1329" s="8">
        <v>2.1436205999999901E-4</v>
      </c>
      <c r="H1329" s="8">
        <v>2.39309559999999E-4</v>
      </c>
      <c r="I1329" s="8">
        <v>2.8731077E-4</v>
      </c>
      <c r="J1329" s="8">
        <v>3.11445932E-4</v>
      </c>
      <c r="K1329" s="8">
        <v>3.0221244199999899E-4</v>
      </c>
      <c r="L1329" s="8">
        <v>3.1071341600000002E-4</v>
      </c>
      <c r="M1329" s="8">
        <v>3.1614467299999999E-4</v>
      </c>
      <c r="N1329" s="8">
        <v>3.2378737599999998E-4</v>
      </c>
      <c r="O1329">
        <v>0</v>
      </c>
      <c r="P1329">
        <v>0</v>
      </c>
      <c r="Q1329">
        <v>0</v>
      </c>
      <c r="R1329" t="s">
        <v>243</v>
      </c>
    </row>
    <row r="1330" spans="1:18" x14ac:dyDescent="0.3">
      <c r="A1330" t="s">
        <v>259</v>
      </c>
      <c r="B1330" t="s">
        <v>426</v>
      </c>
      <c r="C1330" t="s">
        <v>292</v>
      </c>
      <c r="D1330" s="8">
        <v>2.117016E-4</v>
      </c>
      <c r="E1330" s="8">
        <v>2.2105268999999999E-4</v>
      </c>
      <c r="F1330" s="8">
        <v>2.8102126E-4</v>
      </c>
      <c r="G1330" s="8">
        <v>2.4967052E-4</v>
      </c>
      <c r="H1330" s="8">
        <v>2.7954887000000001E-4</v>
      </c>
      <c r="I1330" s="8">
        <v>3.2963136999999997E-4</v>
      </c>
      <c r="J1330" s="8">
        <v>3.5241601399999998E-4</v>
      </c>
      <c r="K1330" s="8">
        <v>3.4120271399999902E-4</v>
      </c>
      <c r="L1330" s="8">
        <v>3.5165107799999998E-4</v>
      </c>
      <c r="M1330" s="8">
        <v>3.5652969699999999E-4</v>
      </c>
      <c r="N1330" s="8">
        <v>3.6351276099999899E-4</v>
      </c>
      <c r="O1330">
        <v>0</v>
      </c>
      <c r="P1330">
        <v>0</v>
      </c>
      <c r="Q1330">
        <v>0</v>
      </c>
      <c r="R1330" t="s">
        <v>243</v>
      </c>
    </row>
    <row r="1331" spans="1:18" x14ac:dyDescent="0.3">
      <c r="A1331" t="s">
        <v>259</v>
      </c>
      <c r="B1331" t="s">
        <v>426</v>
      </c>
      <c r="C1331" t="s">
        <v>293</v>
      </c>
      <c r="D1331" s="8">
        <v>2.66767E-4</v>
      </c>
      <c r="E1331" s="8">
        <v>2.6819460999999998E-4</v>
      </c>
      <c r="F1331" s="8">
        <v>3.3919529000000001E-4</v>
      </c>
      <c r="G1331" s="8">
        <v>3.0156159999999998E-4</v>
      </c>
      <c r="H1331" s="8">
        <v>3.3158204999999999E-4</v>
      </c>
      <c r="I1331" s="8">
        <v>3.9044277000000003E-4</v>
      </c>
      <c r="J1331" s="8">
        <v>4.1724181899999998E-4</v>
      </c>
      <c r="K1331" s="8">
        <v>4.0134536999999901E-4</v>
      </c>
      <c r="L1331" s="8">
        <v>4.1070175799999998E-4</v>
      </c>
      <c r="M1331" s="8">
        <v>4.1331889299999998E-4</v>
      </c>
      <c r="N1331" s="8">
        <v>4.1816902499999998E-4</v>
      </c>
      <c r="O1331">
        <v>0</v>
      </c>
      <c r="P1331">
        <v>0</v>
      </c>
      <c r="Q1331">
        <v>0</v>
      </c>
      <c r="R1331" t="s">
        <v>243</v>
      </c>
    </row>
    <row r="1332" spans="1:18" x14ac:dyDescent="0.3">
      <c r="A1332" t="s">
        <v>259</v>
      </c>
      <c r="B1332" t="s">
        <v>426</v>
      </c>
      <c r="C1332" t="s">
        <v>294</v>
      </c>
      <c r="D1332" s="8">
        <v>1.098567E-5</v>
      </c>
      <c r="E1332" s="8">
        <v>1.2555476999999901E-5</v>
      </c>
      <c r="F1332" s="8">
        <v>1.6223218999999999E-5</v>
      </c>
      <c r="G1332" s="8">
        <v>1.4551460999999999E-5</v>
      </c>
      <c r="H1332" s="8">
        <v>1.8348805E-5</v>
      </c>
      <c r="I1332" s="8">
        <v>2.4974224999999899E-5</v>
      </c>
      <c r="J1332" s="8">
        <v>2.9548666199999899E-5</v>
      </c>
      <c r="K1332" s="8">
        <v>3.27425305E-5</v>
      </c>
      <c r="L1332" s="8">
        <v>3.5936914699999998E-5</v>
      </c>
      <c r="M1332" s="8">
        <v>3.8952753299999997E-5</v>
      </c>
      <c r="N1332" s="8">
        <v>4.2815053400000001E-5</v>
      </c>
      <c r="O1332">
        <v>0</v>
      </c>
      <c r="P1332">
        <v>0</v>
      </c>
      <c r="Q1332">
        <v>0</v>
      </c>
      <c r="R1332" t="s">
        <v>243</v>
      </c>
    </row>
    <row r="1333" spans="1:18" x14ac:dyDescent="0.3">
      <c r="A1333" t="s">
        <v>259</v>
      </c>
      <c r="B1333" t="s">
        <v>426</v>
      </c>
      <c r="C1333" t="s">
        <v>295</v>
      </c>
      <c r="D1333" s="8">
        <v>1.05364799999999E-4</v>
      </c>
      <c r="E1333" s="8">
        <v>9.6915819999999898E-5</v>
      </c>
      <c r="F1333" s="8">
        <v>1.1550065999999999E-4</v>
      </c>
      <c r="G1333" s="8">
        <v>1.0131971000000001E-4</v>
      </c>
      <c r="H1333" s="8">
        <v>1.2225929E-4</v>
      </c>
      <c r="I1333" s="8">
        <v>1.4848252899999999E-4</v>
      </c>
      <c r="J1333" s="8">
        <v>1.63000442E-4</v>
      </c>
      <c r="K1333" s="8">
        <v>1.7353636100000001E-4</v>
      </c>
      <c r="L1333" s="8">
        <v>1.8245076699999999E-4</v>
      </c>
      <c r="M1333" s="8">
        <v>1.9016528999999901E-4</v>
      </c>
      <c r="N1333" s="8">
        <v>1.98213001E-4</v>
      </c>
      <c r="O1333">
        <v>0</v>
      </c>
      <c r="P1333">
        <v>0</v>
      </c>
      <c r="Q1333">
        <v>0</v>
      </c>
      <c r="R1333" t="s">
        <v>243</v>
      </c>
    </row>
    <row r="1334" spans="1:18" x14ac:dyDescent="0.3">
      <c r="A1334" t="s">
        <v>259</v>
      </c>
      <c r="B1334" t="s">
        <v>426</v>
      </c>
      <c r="C1334" t="s">
        <v>296</v>
      </c>
      <c r="D1334" s="8">
        <v>1.8552280000000001E-5</v>
      </c>
      <c r="E1334" s="8">
        <v>1.965116E-5</v>
      </c>
      <c r="F1334" s="8">
        <v>2.4785446000000001E-5</v>
      </c>
      <c r="G1334" s="8">
        <v>2.2417819999999999E-5</v>
      </c>
      <c r="H1334" s="8">
        <v>2.7595449000000001E-5</v>
      </c>
      <c r="I1334" s="8">
        <v>3.7643812E-5</v>
      </c>
      <c r="J1334" s="8">
        <v>4.4648831999999999E-5</v>
      </c>
      <c r="K1334" s="8">
        <v>4.9870145900000003E-5</v>
      </c>
      <c r="L1334" s="8">
        <v>5.5486148000000002E-5</v>
      </c>
      <c r="M1334" s="8">
        <v>6.0517328999999997E-5</v>
      </c>
      <c r="N1334" s="8">
        <v>6.6091512000000002E-5</v>
      </c>
      <c r="O1334">
        <v>0</v>
      </c>
      <c r="P1334">
        <v>0</v>
      </c>
      <c r="Q1334">
        <v>0</v>
      </c>
      <c r="R1334" t="s">
        <v>243</v>
      </c>
    </row>
    <row r="1335" spans="1:18" x14ac:dyDescent="0.3">
      <c r="A1335" t="s">
        <v>259</v>
      </c>
      <c r="B1335" t="s">
        <v>426</v>
      </c>
      <c r="C1335" t="s">
        <v>297</v>
      </c>
      <c r="D1335" s="8">
        <v>2.349871E-5</v>
      </c>
      <c r="E1335" s="8">
        <v>2.5792283000000001E-5</v>
      </c>
      <c r="F1335" s="8">
        <v>3.1648030999999997E-5</v>
      </c>
      <c r="G1335" s="8">
        <v>2.810671E-5</v>
      </c>
      <c r="H1335" s="8">
        <v>3.549851E-5</v>
      </c>
      <c r="I1335" s="8">
        <v>4.7603759000000001E-5</v>
      </c>
      <c r="J1335" s="8">
        <v>5.5683919000000003E-5</v>
      </c>
      <c r="K1335" s="8">
        <v>6.1419987999999999E-5</v>
      </c>
      <c r="L1335" s="8">
        <v>6.7095103999999998E-5</v>
      </c>
      <c r="M1335" s="8">
        <v>7.2939848999999996E-5</v>
      </c>
      <c r="N1335" s="8">
        <v>7.9425006999999897E-5</v>
      </c>
      <c r="O1335">
        <v>0</v>
      </c>
      <c r="P1335">
        <v>0</v>
      </c>
      <c r="Q1335">
        <v>0</v>
      </c>
      <c r="R1335" t="s">
        <v>243</v>
      </c>
    </row>
    <row r="1336" spans="1:18" x14ac:dyDescent="0.3">
      <c r="A1336" t="s">
        <v>259</v>
      </c>
      <c r="B1336" t="s">
        <v>426</v>
      </c>
      <c r="C1336" t="s">
        <v>298</v>
      </c>
      <c r="D1336" s="8">
        <v>2.8006909999999998E-5</v>
      </c>
      <c r="E1336" s="8">
        <v>3.0399923999999999E-5</v>
      </c>
      <c r="F1336" s="8">
        <v>3.7396148999999898E-5</v>
      </c>
      <c r="G1336" s="8">
        <v>3.3302700000000002E-5</v>
      </c>
      <c r="H1336" s="8">
        <v>4.1654416000000003E-5</v>
      </c>
      <c r="I1336" s="8">
        <v>5.5688142000000001E-5</v>
      </c>
      <c r="J1336" s="8">
        <v>6.4863303999999997E-5</v>
      </c>
      <c r="K1336" s="8">
        <v>7.1394645999999995E-5</v>
      </c>
      <c r="L1336" s="8">
        <v>7.7713765999999995E-5</v>
      </c>
      <c r="M1336" s="8">
        <v>8.3440205999999896E-5</v>
      </c>
      <c r="N1336" s="8">
        <v>9.0509529999999993E-5</v>
      </c>
      <c r="O1336">
        <v>0</v>
      </c>
      <c r="P1336">
        <v>0</v>
      </c>
      <c r="Q1336">
        <v>0</v>
      </c>
      <c r="R1336" t="s">
        <v>243</v>
      </c>
    </row>
    <row r="1337" spans="1:18" x14ac:dyDescent="0.3">
      <c r="A1337" t="s">
        <v>259</v>
      </c>
      <c r="B1337" t="s">
        <v>426</v>
      </c>
      <c r="C1337" t="s">
        <v>299</v>
      </c>
      <c r="D1337" s="8">
        <v>3.2543850000000002E-5</v>
      </c>
      <c r="E1337" s="8">
        <v>3.4881013000000003E-5</v>
      </c>
      <c r="F1337" s="8">
        <v>4.2997390000000002E-5</v>
      </c>
      <c r="G1337" s="8">
        <v>3.8211850000000002E-5</v>
      </c>
      <c r="H1337" s="8">
        <v>4.7900588999999997E-5</v>
      </c>
      <c r="I1337" s="8">
        <v>6.3357399999999903E-5</v>
      </c>
      <c r="J1337" s="8">
        <v>7.3444305999999994E-5</v>
      </c>
      <c r="K1337" s="8">
        <v>8.0665666999999897E-5</v>
      </c>
      <c r="L1337" s="8">
        <v>8.7597684999999995E-5</v>
      </c>
      <c r="M1337" s="8">
        <v>9.3295569999999898E-5</v>
      </c>
      <c r="N1337" s="8">
        <v>1.00861142999999E-4</v>
      </c>
      <c r="O1337">
        <v>0</v>
      </c>
      <c r="P1337">
        <v>0</v>
      </c>
      <c r="Q1337">
        <v>0</v>
      </c>
      <c r="R1337" t="s">
        <v>243</v>
      </c>
    </row>
    <row r="1338" spans="1:18" x14ac:dyDescent="0.3">
      <c r="A1338" t="s">
        <v>259</v>
      </c>
      <c r="B1338" t="s">
        <v>426</v>
      </c>
      <c r="C1338" t="s">
        <v>300</v>
      </c>
      <c r="D1338" s="8">
        <v>3.7590450000000002E-5</v>
      </c>
      <c r="E1338" s="8">
        <v>3.9455119999999901E-5</v>
      </c>
      <c r="F1338" s="8">
        <v>4.9138390000000003E-5</v>
      </c>
      <c r="G1338" s="8">
        <v>4.3596459999999999E-5</v>
      </c>
      <c r="H1338" s="8">
        <v>5.46186299999999E-5</v>
      </c>
      <c r="I1338" s="8">
        <v>7.1408598999999997E-5</v>
      </c>
      <c r="J1338" s="8">
        <v>8.2419872999999898E-5</v>
      </c>
      <c r="K1338" s="8">
        <v>9.0274461999999994E-5</v>
      </c>
      <c r="L1338" s="8">
        <v>9.7314467000000001E-5</v>
      </c>
      <c r="M1338" s="8">
        <v>1.03465692E-4</v>
      </c>
      <c r="N1338" s="8">
        <v>1.1148830699999999E-4</v>
      </c>
      <c r="O1338">
        <v>0</v>
      </c>
      <c r="P1338">
        <v>0</v>
      </c>
      <c r="Q1338">
        <v>0</v>
      </c>
      <c r="R1338" t="s">
        <v>243</v>
      </c>
    </row>
    <row r="1339" spans="1:18" x14ac:dyDescent="0.3">
      <c r="A1339" t="s">
        <v>259</v>
      </c>
      <c r="B1339" t="s">
        <v>426</v>
      </c>
      <c r="C1339" t="s">
        <v>301</v>
      </c>
      <c r="D1339" s="8">
        <v>4.3653499999999998E-5</v>
      </c>
      <c r="E1339" s="8">
        <v>4.4770437999999998E-5</v>
      </c>
      <c r="F1339" s="8">
        <v>5.5718832999999901E-5</v>
      </c>
      <c r="G1339" s="8">
        <v>4.9350110000000001E-5</v>
      </c>
      <c r="H1339" s="8">
        <v>6.1868432000000006E-5</v>
      </c>
      <c r="I1339" s="8">
        <v>8.0716636999999993E-5</v>
      </c>
      <c r="J1339" s="8">
        <v>9.2714241000000006E-5</v>
      </c>
      <c r="K1339" s="8">
        <v>1.00562141E-4</v>
      </c>
      <c r="L1339" s="8">
        <v>1.0763894099999901E-4</v>
      </c>
      <c r="M1339" s="8">
        <v>1.14715047E-4</v>
      </c>
      <c r="N1339" s="8">
        <v>1.2315363399999999E-4</v>
      </c>
      <c r="O1339">
        <v>0</v>
      </c>
      <c r="P1339">
        <v>0</v>
      </c>
      <c r="Q1339">
        <v>0</v>
      </c>
      <c r="R1339" t="s">
        <v>243</v>
      </c>
    </row>
    <row r="1340" spans="1:18" x14ac:dyDescent="0.3">
      <c r="A1340" t="s">
        <v>259</v>
      </c>
      <c r="B1340" t="s">
        <v>426</v>
      </c>
      <c r="C1340" t="s">
        <v>302</v>
      </c>
      <c r="D1340" s="8">
        <v>5.1643300000000001E-5</v>
      </c>
      <c r="E1340" s="8">
        <v>5.1911540000000002E-5</v>
      </c>
      <c r="F1340" s="8">
        <v>6.4102679000000001E-5</v>
      </c>
      <c r="G1340" s="8">
        <v>5.6968870000000001E-5</v>
      </c>
      <c r="H1340" s="8">
        <v>7.1643748999999994E-5</v>
      </c>
      <c r="I1340" s="8">
        <v>9.1451234999999999E-5</v>
      </c>
      <c r="J1340" s="8">
        <v>1.0353313299999899E-4</v>
      </c>
      <c r="K1340" s="8">
        <v>1.1240727099999899E-4</v>
      </c>
      <c r="L1340" s="8">
        <v>1.20684595999999E-4</v>
      </c>
      <c r="M1340" s="8">
        <v>1.2819764199999999E-4</v>
      </c>
      <c r="N1340" s="8">
        <v>1.3698562799999999E-4</v>
      </c>
      <c r="O1340">
        <v>0</v>
      </c>
      <c r="P1340">
        <v>0</v>
      </c>
      <c r="Q1340">
        <v>0</v>
      </c>
      <c r="R1340" t="s">
        <v>243</v>
      </c>
    </row>
    <row r="1341" spans="1:18" x14ac:dyDescent="0.3">
      <c r="A1341" t="s">
        <v>259</v>
      </c>
      <c r="B1341" t="s">
        <v>426</v>
      </c>
      <c r="C1341" t="s">
        <v>303</v>
      </c>
      <c r="D1341" s="8">
        <v>6.4177599999999994E-5</v>
      </c>
      <c r="E1341" s="8">
        <v>6.2063560000000004E-5</v>
      </c>
      <c r="F1341" s="8">
        <v>7.6454525999999996E-5</v>
      </c>
      <c r="G1341" s="8">
        <v>6.791167E-5</v>
      </c>
      <c r="H1341" s="8">
        <v>8.3701739000000005E-5</v>
      </c>
      <c r="I1341" s="8">
        <v>1.06407633999999E-4</v>
      </c>
      <c r="J1341" s="8">
        <v>1.2025431099999999E-4</v>
      </c>
      <c r="K1341" s="8">
        <v>1.30055254E-4</v>
      </c>
      <c r="L1341" s="8">
        <v>1.3877329999999999E-4</v>
      </c>
      <c r="M1341" s="8">
        <v>1.46536786999999E-4</v>
      </c>
      <c r="N1341" s="8">
        <v>1.55452615E-4</v>
      </c>
      <c r="O1341">
        <v>0</v>
      </c>
      <c r="P1341">
        <v>0</v>
      </c>
      <c r="Q1341">
        <v>0</v>
      </c>
      <c r="R1341" t="s">
        <v>243</v>
      </c>
    </row>
    <row r="1342" spans="1:18" x14ac:dyDescent="0.3">
      <c r="A1342" t="s">
        <v>259</v>
      </c>
      <c r="B1342" t="s">
        <v>426</v>
      </c>
      <c r="C1342" t="s">
        <v>304</v>
      </c>
      <c r="D1342" s="8">
        <v>3.7557899999999998E-6</v>
      </c>
      <c r="E1342" s="8">
        <v>5.01674E-6</v>
      </c>
      <c r="F1342" s="8">
        <v>7.1811300000000001E-6</v>
      </c>
      <c r="G1342" s="8">
        <v>6.3988499999999997E-6</v>
      </c>
      <c r="H1342" s="8">
        <v>8.0911199999999992E-6</v>
      </c>
      <c r="I1342" s="8">
        <v>1.1111700000000001E-5</v>
      </c>
      <c r="J1342" s="8">
        <v>1.321442E-5</v>
      </c>
      <c r="K1342" s="8">
        <v>1.473519E-5</v>
      </c>
      <c r="L1342" s="8">
        <v>1.6268449999999998E-5</v>
      </c>
      <c r="M1342" s="8">
        <v>1.7723120000000001E-5</v>
      </c>
      <c r="N1342" s="8">
        <v>1.957522E-5</v>
      </c>
      <c r="O1342">
        <v>0</v>
      </c>
      <c r="P1342">
        <v>0</v>
      </c>
      <c r="Q1342">
        <v>0</v>
      </c>
      <c r="R1342" t="s">
        <v>243</v>
      </c>
    </row>
    <row r="1343" spans="1:18" x14ac:dyDescent="0.3">
      <c r="A1343" t="s">
        <v>259</v>
      </c>
      <c r="B1343" t="s">
        <v>426</v>
      </c>
      <c r="C1343" t="s">
        <v>305</v>
      </c>
      <c r="D1343" s="8">
        <v>4.2039300000000003E-5</v>
      </c>
      <c r="E1343" s="8">
        <v>4.5770999999999999E-5</v>
      </c>
      <c r="F1343" s="8">
        <v>5.7846500000000003E-5</v>
      </c>
      <c r="G1343" s="8">
        <v>5.0929500000000001E-5</v>
      </c>
      <c r="H1343" s="8">
        <v>6.3691399999999998E-5</v>
      </c>
      <c r="I1343" s="8">
        <v>8.1873399999999994E-5</v>
      </c>
      <c r="J1343" s="8">
        <v>9.3440800000000002E-5</v>
      </c>
      <c r="K1343" s="8">
        <v>1.01368099999999E-4</v>
      </c>
      <c r="L1343" s="8">
        <v>1.08400399999999E-4</v>
      </c>
      <c r="M1343" s="8">
        <v>1.14646099999999E-4</v>
      </c>
      <c r="N1343" s="8">
        <v>1.21678E-4</v>
      </c>
      <c r="O1343">
        <v>0</v>
      </c>
      <c r="P1343">
        <v>0</v>
      </c>
      <c r="Q1343">
        <v>0</v>
      </c>
      <c r="R1343" t="s">
        <v>243</v>
      </c>
    </row>
    <row r="1344" spans="1:18" x14ac:dyDescent="0.3">
      <c r="A1344" t="s">
        <v>259</v>
      </c>
      <c r="B1344" t="s">
        <v>426</v>
      </c>
      <c r="C1344" t="s">
        <v>306</v>
      </c>
      <c r="D1344" s="8">
        <v>6.4175300000000004E-6</v>
      </c>
      <c r="E1344" s="8">
        <v>7.95242E-6</v>
      </c>
      <c r="F1344" s="8">
        <v>1.10818E-5</v>
      </c>
      <c r="G1344" s="8">
        <v>9.9690599999999997E-6</v>
      </c>
      <c r="H1344" s="8">
        <v>1.236688E-5</v>
      </c>
      <c r="I1344" s="8">
        <v>1.71527299999999E-5</v>
      </c>
      <c r="J1344" s="8">
        <v>2.0568409999999998E-5</v>
      </c>
      <c r="K1344" s="8">
        <v>2.3162020000000001E-5</v>
      </c>
      <c r="L1344" s="8">
        <v>2.5991180000000001E-5</v>
      </c>
      <c r="M1344" s="8">
        <v>2.8550360000000001E-5</v>
      </c>
      <c r="N1344" s="8">
        <v>3.1384899999999998E-5</v>
      </c>
      <c r="O1344">
        <v>0</v>
      </c>
      <c r="P1344">
        <v>0</v>
      </c>
      <c r="Q1344">
        <v>0</v>
      </c>
      <c r="R1344" t="s">
        <v>243</v>
      </c>
    </row>
    <row r="1345" spans="1:18" x14ac:dyDescent="0.3">
      <c r="A1345" t="s">
        <v>259</v>
      </c>
      <c r="B1345" t="s">
        <v>426</v>
      </c>
      <c r="C1345" t="s">
        <v>307</v>
      </c>
      <c r="D1345" s="8">
        <v>8.1901699999999995E-6</v>
      </c>
      <c r="E1345" s="8">
        <v>1.0551500000000001E-5</v>
      </c>
      <c r="F1345" s="8">
        <v>1.42629E-5</v>
      </c>
      <c r="G1345" s="8">
        <v>1.2600400000000001E-5</v>
      </c>
      <c r="H1345" s="8">
        <v>1.612555E-5</v>
      </c>
      <c r="I1345" s="8">
        <v>2.2054339999999999E-5</v>
      </c>
      <c r="J1345" s="8">
        <v>2.614251E-5</v>
      </c>
      <c r="K1345" s="8">
        <v>2.9074959999999999E-5</v>
      </c>
      <c r="L1345" s="8">
        <v>3.2018530000000001E-5</v>
      </c>
      <c r="M1345" s="8">
        <v>3.5086769999999901E-5</v>
      </c>
      <c r="N1345" s="8">
        <v>3.8504799999999998E-5</v>
      </c>
      <c r="O1345">
        <v>0</v>
      </c>
      <c r="P1345">
        <v>0</v>
      </c>
      <c r="Q1345">
        <v>0</v>
      </c>
      <c r="R1345" t="s">
        <v>243</v>
      </c>
    </row>
    <row r="1346" spans="1:18" x14ac:dyDescent="0.3">
      <c r="A1346" t="s">
        <v>259</v>
      </c>
      <c r="B1346" t="s">
        <v>426</v>
      </c>
      <c r="C1346" t="s">
        <v>308</v>
      </c>
      <c r="D1346" s="8">
        <v>9.8284200000000003E-6</v>
      </c>
      <c r="E1346" s="8">
        <v>1.25391E-5</v>
      </c>
      <c r="F1346" s="8">
        <v>1.6966700000000001E-5</v>
      </c>
      <c r="G1346" s="8">
        <v>1.50398E-5</v>
      </c>
      <c r="H1346" s="8">
        <v>1.9094790000000002E-5</v>
      </c>
      <c r="I1346" s="8">
        <v>2.6130960000000002E-5</v>
      </c>
      <c r="J1346" s="8">
        <v>3.0917249999999999E-5</v>
      </c>
      <c r="K1346" s="8">
        <v>3.4342489999999998E-5</v>
      </c>
      <c r="L1346" s="8">
        <v>3.771248E-5</v>
      </c>
      <c r="M1346" s="8">
        <v>4.0799900000000002E-5</v>
      </c>
      <c r="N1346" s="8">
        <v>4.4643469999999998E-5</v>
      </c>
      <c r="O1346">
        <v>0</v>
      </c>
      <c r="P1346">
        <v>0</v>
      </c>
      <c r="Q1346">
        <v>0</v>
      </c>
      <c r="R1346" t="s">
        <v>243</v>
      </c>
    </row>
    <row r="1347" spans="1:18" x14ac:dyDescent="0.3">
      <c r="A1347" t="s">
        <v>259</v>
      </c>
      <c r="B1347" t="s">
        <v>426</v>
      </c>
      <c r="C1347" t="s">
        <v>309</v>
      </c>
      <c r="D1347" s="8">
        <v>1.14992E-5</v>
      </c>
      <c r="E1347" s="8">
        <v>1.4503499999999999E-5</v>
      </c>
      <c r="F1347" s="8">
        <v>1.9635599999999999E-5</v>
      </c>
      <c r="G1347" s="8">
        <v>1.7378399999999999E-5</v>
      </c>
      <c r="H1347" s="8">
        <v>2.21671E-5</v>
      </c>
      <c r="I1347" s="8">
        <v>3.008697E-5</v>
      </c>
      <c r="J1347" s="8">
        <v>3.5501369999999902E-5</v>
      </c>
      <c r="K1347" s="8">
        <v>3.9382709999999999E-5</v>
      </c>
      <c r="L1347" s="8">
        <v>4.3180580000000003E-5</v>
      </c>
      <c r="M1347" s="8">
        <v>4.633293E-5</v>
      </c>
      <c r="N1347" s="8">
        <v>5.0574719999999997E-5</v>
      </c>
      <c r="O1347">
        <v>0</v>
      </c>
      <c r="P1347">
        <v>0</v>
      </c>
      <c r="Q1347">
        <v>0</v>
      </c>
      <c r="R1347" t="s">
        <v>243</v>
      </c>
    </row>
    <row r="1348" spans="1:18" x14ac:dyDescent="0.3">
      <c r="A1348" t="s">
        <v>259</v>
      </c>
      <c r="B1348" t="s">
        <v>426</v>
      </c>
      <c r="C1348" t="s">
        <v>310</v>
      </c>
      <c r="D1348" s="8">
        <v>1.3383800000000001E-5</v>
      </c>
      <c r="E1348" s="8">
        <v>1.65428E-5</v>
      </c>
      <c r="F1348" s="8">
        <v>2.2602599999999999E-5</v>
      </c>
      <c r="G1348" s="8">
        <v>1.9981499999999998E-5</v>
      </c>
      <c r="H1348" s="8">
        <v>2.5530100000000001E-5</v>
      </c>
      <c r="I1348" s="8">
        <v>3.433671E-5</v>
      </c>
      <c r="J1348" s="8">
        <v>4.0429919999999999E-5</v>
      </c>
      <c r="K1348" s="8">
        <v>4.476516E-5</v>
      </c>
      <c r="L1348" s="8">
        <v>4.8728369999999997E-5</v>
      </c>
      <c r="M1348" s="8">
        <v>5.2231970000000002E-5</v>
      </c>
      <c r="N1348" s="8">
        <v>5.6883270000000003E-5</v>
      </c>
      <c r="O1348">
        <v>0</v>
      </c>
      <c r="P1348">
        <v>0</v>
      </c>
      <c r="Q1348">
        <v>0</v>
      </c>
      <c r="R1348" t="s">
        <v>243</v>
      </c>
    </row>
    <row r="1349" spans="1:18" x14ac:dyDescent="0.3">
      <c r="A1349" t="s">
        <v>259</v>
      </c>
      <c r="B1349" t="s">
        <v>426</v>
      </c>
      <c r="C1349" t="s">
        <v>311</v>
      </c>
      <c r="D1349" s="8">
        <v>1.5687200000000001E-5</v>
      </c>
      <c r="E1349" s="8">
        <v>1.89549E-5</v>
      </c>
      <c r="F1349" s="8">
        <v>2.5829600000000001E-5</v>
      </c>
      <c r="G1349" s="8">
        <v>2.2809000000000001E-5</v>
      </c>
      <c r="H1349" s="8">
        <v>2.92348E-5</v>
      </c>
      <c r="I1349" s="8">
        <v>3.938747E-5</v>
      </c>
      <c r="J1349" s="8">
        <v>4.6264879999999997E-5</v>
      </c>
      <c r="K1349" s="8">
        <v>5.0722169999999998E-5</v>
      </c>
      <c r="L1349" s="8">
        <v>5.4827699999999997E-5</v>
      </c>
      <c r="M1349" s="8">
        <v>5.9003789999999998E-5</v>
      </c>
      <c r="N1349" s="8">
        <v>6.4092700000000004E-5</v>
      </c>
      <c r="O1349">
        <v>0</v>
      </c>
      <c r="P1349">
        <v>0</v>
      </c>
      <c r="Q1349">
        <v>0</v>
      </c>
      <c r="R1349" t="s">
        <v>243</v>
      </c>
    </row>
    <row r="1350" spans="1:18" x14ac:dyDescent="0.3">
      <c r="A1350" t="s">
        <v>259</v>
      </c>
      <c r="B1350" t="s">
        <v>426</v>
      </c>
      <c r="C1350" t="s">
        <v>312</v>
      </c>
      <c r="D1350" s="8">
        <v>1.8790100000000002E-5</v>
      </c>
      <c r="E1350" s="8">
        <v>2.2274500000000002E-5</v>
      </c>
      <c r="F1350" s="8">
        <v>3.0016399999999999E-5</v>
      </c>
      <c r="G1350" s="8">
        <v>2.66297E-5</v>
      </c>
      <c r="H1350" s="8">
        <v>3.4356900000000003E-5</v>
      </c>
      <c r="I1350" s="8">
        <v>4.5397600000000001E-5</v>
      </c>
      <c r="J1350" s="8">
        <v>5.2626949999999999E-5</v>
      </c>
      <c r="K1350" s="8">
        <v>5.78576E-5</v>
      </c>
      <c r="L1350" s="8">
        <v>6.2871200000000002E-5</v>
      </c>
      <c r="M1350" s="8">
        <v>6.7505399999999999E-5</v>
      </c>
      <c r="N1350" s="8">
        <v>7.3082099999999996E-5</v>
      </c>
      <c r="O1350">
        <v>0</v>
      </c>
      <c r="P1350">
        <v>0</v>
      </c>
      <c r="Q1350">
        <v>0</v>
      </c>
      <c r="R1350" t="s">
        <v>243</v>
      </c>
    </row>
    <row r="1351" spans="1:18" x14ac:dyDescent="0.3">
      <c r="A1351" t="s">
        <v>259</v>
      </c>
      <c r="B1351" t="s">
        <v>426</v>
      </c>
      <c r="C1351" t="s">
        <v>313</v>
      </c>
      <c r="D1351" s="8">
        <v>2.3820199999999999E-5</v>
      </c>
      <c r="E1351" s="8">
        <v>2.7160300000000002E-5</v>
      </c>
      <c r="F1351" s="8">
        <v>3.6349E-5</v>
      </c>
      <c r="G1351" s="8">
        <v>3.2280499999999997E-5</v>
      </c>
      <c r="H1351" s="8">
        <v>4.0869399999999999E-5</v>
      </c>
      <c r="I1351" s="8">
        <v>5.4154499999999998E-5</v>
      </c>
      <c r="J1351" s="8">
        <v>6.2990849999999997E-5</v>
      </c>
      <c r="K1351" s="8">
        <v>6.9120969999999894E-5</v>
      </c>
      <c r="L1351" s="8">
        <v>7.4750699999999996E-5</v>
      </c>
      <c r="M1351" s="8">
        <v>7.9866500000000005E-5</v>
      </c>
      <c r="N1351" s="8">
        <v>8.59767E-5</v>
      </c>
      <c r="O1351">
        <v>0</v>
      </c>
      <c r="P1351">
        <v>0</v>
      </c>
      <c r="Q1351">
        <v>0</v>
      </c>
      <c r="R1351" t="s">
        <v>243</v>
      </c>
    </row>
    <row r="1352" spans="1:18" x14ac:dyDescent="0.3">
      <c r="A1352" t="s">
        <v>259</v>
      </c>
      <c r="B1352" t="s">
        <v>426</v>
      </c>
      <c r="C1352" t="s">
        <v>314</v>
      </c>
      <c r="D1352" s="8">
        <v>1.5647169999999999E-5</v>
      </c>
      <c r="E1352" s="8">
        <v>1.556653E-5</v>
      </c>
      <c r="F1352" s="8">
        <v>1.795078E-5</v>
      </c>
      <c r="G1352" s="8">
        <v>1.6660940000000001E-5</v>
      </c>
      <c r="H1352" s="8">
        <v>1.8684887999999998E-5</v>
      </c>
      <c r="I1352" s="8">
        <v>2.1043673999999999E-5</v>
      </c>
      <c r="J1352" s="8">
        <v>2.2264882000000002E-5</v>
      </c>
      <c r="K1352" s="8">
        <v>2.3121581E-5</v>
      </c>
      <c r="L1352" s="8">
        <v>2.3800819999999999E-5</v>
      </c>
      <c r="M1352" s="8">
        <v>2.4357219E-5</v>
      </c>
      <c r="N1352" s="8">
        <v>2.4804737000000001E-5</v>
      </c>
      <c r="O1352">
        <v>0</v>
      </c>
      <c r="P1352">
        <v>0</v>
      </c>
      <c r="Q1352">
        <v>0</v>
      </c>
      <c r="R1352" t="s">
        <v>243</v>
      </c>
    </row>
    <row r="1353" spans="1:18" x14ac:dyDescent="0.3">
      <c r="A1353" t="s">
        <v>259</v>
      </c>
      <c r="B1353" t="s">
        <v>426</v>
      </c>
      <c r="C1353" t="s">
        <v>315</v>
      </c>
      <c r="D1353" s="8">
        <v>3.2840399999999998E-5</v>
      </c>
      <c r="E1353" s="8">
        <v>2.729793E-5</v>
      </c>
      <c r="F1353" s="8">
        <v>3.2189959999999999E-5</v>
      </c>
      <c r="G1353" s="8">
        <v>2.856251E-5</v>
      </c>
      <c r="H1353" s="8">
        <v>3.033659E-5</v>
      </c>
      <c r="I1353" s="8">
        <v>3.1200613000000003E-5</v>
      </c>
      <c r="J1353" s="8">
        <v>3.1694328999999998E-5</v>
      </c>
      <c r="K1353" s="8">
        <v>3.2286093000000003E-5</v>
      </c>
      <c r="L1353" s="8">
        <v>3.2682223999999901E-5</v>
      </c>
      <c r="M1353" s="8">
        <v>3.3019813000000001E-5</v>
      </c>
      <c r="N1353" s="8">
        <v>3.3210346000000002E-5</v>
      </c>
      <c r="O1353">
        <v>0</v>
      </c>
      <c r="P1353">
        <v>0</v>
      </c>
      <c r="Q1353">
        <v>0</v>
      </c>
      <c r="R1353" t="s">
        <v>243</v>
      </c>
    </row>
    <row r="1354" spans="1:18" x14ac:dyDescent="0.3">
      <c r="A1354" t="s">
        <v>259</v>
      </c>
      <c r="B1354" t="s">
        <v>426</v>
      </c>
      <c r="C1354" t="s">
        <v>316</v>
      </c>
      <c r="D1354" s="8">
        <v>2.1019759999999999E-5</v>
      </c>
      <c r="E1354" s="8">
        <v>1.9183679999999999E-5</v>
      </c>
      <c r="F1354" s="8">
        <v>2.22203499999999E-5</v>
      </c>
      <c r="G1354" s="8">
        <v>2.03865399999999E-5</v>
      </c>
      <c r="H1354" s="8">
        <v>2.2265379000000001E-5</v>
      </c>
      <c r="I1354" s="8">
        <v>2.4094307999999999E-5</v>
      </c>
      <c r="J1354" s="8">
        <v>2.5006353E-5</v>
      </c>
      <c r="K1354" s="8">
        <v>2.5757274E-5</v>
      </c>
      <c r="L1354" s="8">
        <v>2.6356845000000001E-5</v>
      </c>
      <c r="M1354" s="8">
        <v>2.6822706E-5</v>
      </c>
      <c r="N1354" s="8">
        <v>2.7100493999999999E-5</v>
      </c>
      <c r="O1354">
        <v>0</v>
      </c>
      <c r="P1354">
        <v>0</v>
      </c>
      <c r="Q1354">
        <v>0</v>
      </c>
      <c r="R1354" t="s">
        <v>243</v>
      </c>
    </row>
    <row r="1355" spans="1:18" x14ac:dyDescent="0.3">
      <c r="A1355" t="s">
        <v>259</v>
      </c>
      <c r="B1355" t="s">
        <v>426</v>
      </c>
      <c r="C1355" t="s">
        <v>317</v>
      </c>
      <c r="D1355" s="8">
        <v>2.3345449999999999E-5</v>
      </c>
      <c r="E1355" s="8">
        <v>2.1095949999999999E-5</v>
      </c>
      <c r="F1355" s="8">
        <v>2.4469389999999999E-5</v>
      </c>
      <c r="G1355" s="8">
        <v>2.211232E-5</v>
      </c>
      <c r="H1355" s="8">
        <v>2.4032859999999999E-5</v>
      </c>
      <c r="I1355" s="8">
        <v>2.5499363000000001E-5</v>
      </c>
      <c r="J1355" s="8">
        <v>2.6186283E-5</v>
      </c>
      <c r="K1355" s="8">
        <v>2.681975E-5</v>
      </c>
      <c r="L1355" s="8">
        <v>2.7286578E-5</v>
      </c>
      <c r="M1355" s="8">
        <v>2.7713720999999999E-5</v>
      </c>
      <c r="N1355" s="8">
        <v>2.7961972999999899E-5</v>
      </c>
      <c r="O1355">
        <v>0</v>
      </c>
      <c r="P1355">
        <v>0</v>
      </c>
      <c r="Q1355">
        <v>0</v>
      </c>
      <c r="R1355" t="s">
        <v>243</v>
      </c>
    </row>
    <row r="1356" spans="1:18" x14ac:dyDescent="0.3">
      <c r="A1356" t="s">
        <v>259</v>
      </c>
      <c r="B1356" t="s">
        <v>426</v>
      </c>
      <c r="C1356" t="s">
        <v>318</v>
      </c>
      <c r="D1356" s="8">
        <v>2.4936800000000002E-5</v>
      </c>
      <c r="E1356" s="8">
        <v>2.2101309999999999E-5</v>
      </c>
      <c r="F1356" s="8">
        <v>2.5843669999999999E-5</v>
      </c>
      <c r="G1356" s="8">
        <v>2.325626E-5</v>
      </c>
      <c r="H1356" s="8">
        <v>2.5072759999999999E-5</v>
      </c>
      <c r="I1356" s="8">
        <v>2.6322921999999998E-5</v>
      </c>
      <c r="J1356" s="8">
        <v>2.6926738000000002E-5</v>
      </c>
      <c r="K1356" s="8">
        <v>2.7534626999999999E-5</v>
      </c>
      <c r="L1356" s="8">
        <v>2.7974581999999999E-5</v>
      </c>
      <c r="M1356" s="8">
        <v>2.8340478000000001E-5</v>
      </c>
      <c r="N1356" s="8">
        <v>2.8572684000000001E-5</v>
      </c>
      <c r="O1356">
        <v>0</v>
      </c>
      <c r="P1356">
        <v>0</v>
      </c>
      <c r="Q1356">
        <v>0</v>
      </c>
      <c r="R1356" t="s">
        <v>243</v>
      </c>
    </row>
    <row r="1357" spans="1:18" x14ac:dyDescent="0.3">
      <c r="A1357" t="s">
        <v>259</v>
      </c>
      <c r="B1357" t="s">
        <v>426</v>
      </c>
      <c r="C1357" t="s">
        <v>319</v>
      </c>
      <c r="D1357" s="8">
        <v>2.6177699999999998E-5</v>
      </c>
      <c r="E1357" s="8">
        <v>2.2852350000000002E-5</v>
      </c>
      <c r="F1357" s="8">
        <v>2.6878660000000001E-5</v>
      </c>
      <c r="G1357" s="8">
        <v>2.4085899999999999E-5</v>
      </c>
      <c r="H1357" s="8">
        <v>2.5851210000000001E-5</v>
      </c>
      <c r="I1357" s="8">
        <v>2.6952378999999999E-5</v>
      </c>
      <c r="J1357" s="8">
        <v>2.7506652000000001E-5</v>
      </c>
      <c r="K1357" s="8">
        <v>2.8103387E-5</v>
      </c>
      <c r="L1357" s="8">
        <v>2.8533522000000001E-5</v>
      </c>
      <c r="M1357" s="8">
        <v>2.8865437000000001E-5</v>
      </c>
      <c r="N1357" s="8">
        <v>2.9089573999999999E-5</v>
      </c>
      <c r="O1357">
        <v>0</v>
      </c>
      <c r="P1357">
        <v>0</v>
      </c>
      <c r="Q1357">
        <v>0</v>
      </c>
      <c r="R1357" t="s">
        <v>243</v>
      </c>
    </row>
    <row r="1358" spans="1:18" x14ac:dyDescent="0.3">
      <c r="A1358" t="s">
        <v>259</v>
      </c>
      <c r="B1358" t="s">
        <v>426</v>
      </c>
      <c r="C1358" t="s">
        <v>320</v>
      </c>
      <c r="D1358" s="8">
        <v>2.7253299999999999E-5</v>
      </c>
      <c r="E1358" s="8">
        <v>2.3464019999999999E-5</v>
      </c>
      <c r="F1358" s="8">
        <v>2.7770169999999998E-5</v>
      </c>
      <c r="G1358" s="8">
        <v>2.4801950000000001E-5</v>
      </c>
      <c r="H1358" s="8">
        <v>2.6522390000000001E-5</v>
      </c>
      <c r="I1358" s="8">
        <v>2.7512614E-5</v>
      </c>
      <c r="J1358" s="8">
        <v>2.8040534E-5</v>
      </c>
      <c r="K1358" s="8">
        <v>2.8630852999999999E-5</v>
      </c>
      <c r="L1358" s="8">
        <v>2.9032970999999999E-5</v>
      </c>
      <c r="M1358" s="8">
        <v>2.9363825999999999E-5</v>
      </c>
      <c r="N1358" s="8">
        <v>2.9583285000000001E-5</v>
      </c>
      <c r="O1358">
        <v>0</v>
      </c>
      <c r="P1358">
        <v>0</v>
      </c>
      <c r="Q1358">
        <v>0</v>
      </c>
      <c r="R1358" t="s">
        <v>243</v>
      </c>
    </row>
    <row r="1359" spans="1:18" x14ac:dyDescent="0.3">
      <c r="A1359" t="s">
        <v>259</v>
      </c>
      <c r="B1359" t="s">
        <v>426</v>
      </c>
      <c r="C1359" t="s">
        <v>321</v>
      </c>
      <c r="D1359" s="8">
        <v>2.8250199999999999E-5</v>
      </c>
      <c r="E1359" s="8">
        <v>2.4041679999999999E-5</v>
      </c>
      <c r="F1359" s="8">
        <v>2.8529089999999899E-5</v>
      </c>
      <c r="G1359" s="8">
        <v>2.541544E-5</v>
      </c>
      <c r="H1359" s="8">
        <v>2.7108270000000001E-5</v>
      </c>
      <c r="I1359" s="8">
        <v>2.8078393999999999E-5</v>
      </c>
      <c r="J1359" s="8">
        <v>2.8592379999999999E-5</v>
      </c>
      <c r="K1359" s="8">
        <v>2.9148120000000001E-5</v>
      </c>
      <c r="L1359" s="8">
        <v>2.9525798999999998E-5</v>
      </c>
      <c r="M1359" s="8">
        <v>2.9878709E-5</v>
      </c>
      <c r="N1359" s="8">
        <v>3.0094379E-5</v>
      </c>
      <c r="O1359">
        <v>0</v>
      </c>
      <c r="P1359">
        <v>0</v>
      </c>
      <c r="Q1359">
        <v>0</v>
      </c>
      <c r="R1359" t="s">
        <v>243</v>
      </c>
    </row>
    <row r="1360" spans="1:18" x14ac:dyDescent="0.3">
      <c r="A1360" t="s">
        <v>259</v>
      </c>
      <c r="B1360" t="s">
        <v>426</v>
      </c>
      <c r="C1360" t="s">
        <v>322</v>
      </c>
      <c r="D1360" s="8">
        <v>2.92430999999999E-5</v>
      </c>
      <c r="E1360" s="8">
        <v>2.4672079999999999E-5</v>
      </c>
      <c r="F1360" s="8">
        <v>2.929902E-5</v>
      </c>
      <c r="G1360" s="8">
        <v>2.6072599999999998E-5</v>
      </c>
      <c r="H1360" s="8">
        <v>2.7787609999999999E-5</v>
      </c>
      <c r="I1360" s="8">
        <v>2.86592729999999E-5</v>
      </c>
      <c r="J1360" s="8">
        <v>2.9124937000000001E-5</v>
      </c>
      <c r="K1360" s="8">
        <v>2.9702096000000001E-5</v>
      </c>
      <c r="L1360" s="8">
        <v>3.0109696999999999E-5</v>
      </c>
      <c r="M1360" s="8">
        <v>3.0460674E-5</v>
      </c>
      <c r="N1360" s="8">
        <v>3.0672052999999999E-5</v>
      </c>
      <c r="O1360">
        <v>0</v>
      </c>
      <c r="P1360">
        <v>0</v>
      </c>
      <c r="Q1360">
        <v>0</v>
      </c>
      <c r="R1360" t="s">
        <v>243</v>
      </c>
    </row>
    <row r="1361" spans="1:18" x14ac:dyDescent="0.3">
      <c r="A1361" t="s">
        <v>259</v>
      </c>
      <c r="B1361" t="s">
        <v>426</v>
      </c>
      <c r="C1361" t="s">
        <v>323</v>
      </c>
      <c r="D1361" s="8">
        <v>3.03827E-5</v>
      </c>
      <c r="E1361" s="8">
        <v>2.53997E-5</v>
      </c>
      <c r="F1361" s="8">
        <v>3.0189339999999999E-5</v>
      </c>
      <c r="G1361" s="8">
        <v>2.6830120000000001E-5</v>
      </c>
      <c r="H1361" s="8">
        <v>2.851552E-5</v>
      </c>
      <c r="I1361" s="8">
        <v>2.9388654999999999E-5</v>
      </c>
      <c r="J1361" s="8">
        <v>2.9886722999999999E-5</v>
      </c>
      <c r="K1361" s="8">
        <v>3.0472850000000001E-5</v>
      </c>
      <c r="L1361" s="8">
        <v>3.0873488999999998E-5</v>
      </c>
      <c r="M1361" s="8">
        <v>3.1215588999999901E-5</v>
      </c>
      <c r="N1361" s="8">
        <v>3.1417756000000002E-5</v>
      </c>
      <c r="O1361">
        <v>0</v>
      </c>
      <c r="P1361">
        <v>0</v>
      </c>
      <c r="Q1361">
        <v>0</v>
      </c>
      <c r="R1361" t="s">
        <v>243</v>
      </c>
    </row>
    <row r="1362" spans="1:18" x14ac:dyDescent="0.3">
      <c r="A1362" t="s">
        <v>259</v>
      </c>
      <c r="B1362" t="s">
        <v>34</v>
      </c>
      <c r="C1362" t="s">
        <v>261</v>
      </c>
      <c r="D1362" s="8">
        <v>2.9107908000000002E-5</v>
      </c>
      <c r="E1362" s="8">
        <v>9.6631309999999998E-5</v>
      </c>
      <c r="F1362" s="8">
        <v>1.1331725E-4</v>
      </c>
      <c r="G1362" s="8">
        <v>1.2434765E-4</v>
      </c>
      <c r="H1362" s="8">
        <v>1.36786098E-4</v>
      </c>
      <c r="I1362" s="8">
        <v>1.50094310999999E-4</v>
      </c>
      <c r="J1362" s="8">
        <v>1.46744571E-4</v>
      </c>
      <c r="K1362" s="8">
        <v>1.4503406899999999E-4</v>
      </c>
      <c r="L1362" s="8">
        <v>1.43090579E-4</v>
      </c>
      <c r="M1362" s="8">
        <v>1.3993109559999999E-4</v>
      </c>
      <c r="N1362" s="8">
        <v>1.36171898699999E-4</v>
      </c>
      <c r="O1362">
        <v>0</v>
      </c>
      <c r="P1362">
        <v>0</v>
      </c>
      <c r="Q1362">
        <v>0</v>
      </c>
      <c r="R1362" t="s">
        <v>243</v>
      </c>
    </row>
    <row r="1363" spans="1:18" x14ac:dyDescent="0.3">
      <c r="A1363" t="s">
        <v>259</v>
      </c>
      <c r="B1363" t="s">
        <v>34</v>
      </c>
      <c r="C1363" t="s">
        <v>262</v>
      </c>
      <c r="D1363">
        <v>1.0703793E-2</v>
      </c>
      <c r="E1363">
        <v>1.5329982468000001E-2</v>
      </c>
      <c r="F1363">
        <v>1.581674298E-2</v>
      </c>
      <c r="G1363">
        <v>1.6850775910000001E-2</v>
      </c>
      <c r="H1363">
        <v>1.8692010290000002E-2</v>
      </c>
      <c r="I1363">
        <v>2.1661375239999999E-2</v>
      </c>
      <c r="J1363">
        <v>2.1687331878999998E-2</v>
      </c>
      <c r="K1363">
        <v>2.0978754129999898E-2</v>
      </c>
      <c r="L1363">
        <v>1.8769073452999999E-2</v>
      </c>
      <c r="M1363">
        <v>1.8365973928999999E-2</v>
      </c>
      <c r="N1363">
        <v>1.7858779883000001E-2</v>
      </c>
      <c r="O1363">
        <v>0</v>
      </c>
      <c r="P1363">
        <v>0</v>
      </c>
      <c r="Q1363">
        <v>0</v>
      </c>
      <c r="R1363" t="s">
        <v>243</v>
      </c>
    </row>
    <row r="1364" spans="1:18" x14ac:dyDescent="0.3">
      <c r="A1364" t="s">
        <v>259</v>
      </c>
      <c r="B1364" t="s">
        <v>34</v>
      </c>
      <c r="C1364" t="s">
        <v>263</v>
      </c>
      <c r="D1364">
        <v>2.6317088999999998E-2</v>
      </c>
      <c r="E1364">
        <v>3.9641500000000003E-2</v>
      </c>
      <c r="F1364">
        <v>4.2291599999999999E-2</v>
      </c>
      <c r="G1364">
        <v>4.5803109999999897E-2</v>
      </c>
      <c r="H1364">
        <v>5.0973677369999998E-2</v>
      </c>
      <c r="I1364">
        <v>5.8339327959999999E-2</v>
      </c>
      <c r="J1364">
        <v>5.9874381649999898E-2</v>
      </c>
      <c r="K1364">
        <v>6.0815619499999897E-2</v>
      </c>
      <c r="L1364">
        <v>6.1792820030000001E-2</v>
      </c>
      <c r="M1364">
        <v>6.2496988648999899E-2</v>
      </c>
      <c r="N1364">
        <v>6.2714575967999994E-2</v>
      </c>
      <c r="O1364">
        <v>0</v>
      </c>
      <c r="P1364">
        <v>0</v>
      </c>
      <c r="Q1364">
        <v>0</v>
      </c>
      <c r="R1364" t="s">
        <v>243</v>
      </c>
    </row>
    <row r="1365" spans="1:18" x14ac:dyDescent="0.3">
      <c r="A1365" t="s">
        <v>259</v>
      </c>
      <c r="B1365" t="s">
        <v>34</v>
      </c>
      <c r="C1365" t="s">
        <v>264</v>
      </c>
      <c r="D1365" s="8">
        <v>4.59830189999999E-5</v>
      </c>
      <c r="E1365" s="8">
        <v>6.7089540000000005E-5</v>
      </c>
      <c r="F1365" s="8">
        <v>7.8848319999999997E-5</v>
      </c>
      <c r="G1365" s="8">
        <v>7.4588349999999995E-5</v>
      </c>
      <c r="H1365" s="8">
        <v>1.2553312099999899E-4</v>
      </c>
      <c r="I1365" s="8">
        <v>1.4821981599999999E-4</v>
      </c>
      <c r="J1365" s="8">
        <v>1.65173065E-4</v>
      </c>
      <c r="K1365" s="8">
        <v>1.83863932E-4</v>
      </c>
      <c r="L1365" s="8">
        <v>2.0623417599999999E-4</v>
      </c>
      <c r="M1365" s="8">
        <v>2.3327757699999899E-4</v>
      </c>
      <c r="N1365" s="8">
        <v>2.6445107100000001E-4</v>
      </c>
      <c r="O1365">
        <v>0</v>
      </c>
      <c r="P1365">
        <v>0</v>
      </c>
      <c r="Q1365">
        <v>0</v>
      </c>
      <c r="R1365" t="s">
        <v>243</v>
      </c>
    </row>
    <row r="1366" spans="1:18" x14ac:dyDescent="0.3">
      <c r="A1366" t="s">
        <v>259</v>
      </c>
      <c r="B1366" t="s">
        <v>34</v>
      </c>
      <c r="C1366" t="s">
        <v>265</v>
      </c>
      <c r="D1366" s="8">
        <v>5.6682068999999995E-4</v>
      </c>
      <c r="E1366" s="8">
        <v>7.3363140000000002E-4</v>
      </c>
      <c r="F1366" s="8">
        <v>8.8716100000000003E-4</v>
      </c>
      <c r="G1366" s="8">
        <v>8.1051132999999996E-4</v>
      </c>
      <c r="H1366">
        <v>1.0878693499999899E-3</v>
      </c>
      <c r="I1366">
        <v>1.3327124100000001E-3</v>
      </c>
      <c r="J1366">
        <v>1.42826972E-3</v>
      </c>
      <c r="K1366">
        <v>1.5315923499999999E-3</v>
      </c>
      <c r="L1366">
        <v>1.63683156E-3</v>
      </c>
      <c r="M1366">
        <v>1.74163155E-3</v>
      </c>
      <c r="N1366">
        <v>1.83759083E-3</v>
      </c>
      <c r="O1366">
        <v>0</v>
      </c>
      <c r="P1366">
        <v>0</v>
      </c>
      <c r="Q1366">
        <v>0</v>
      </c>
      <c r="R1366" t="s">
        <v>243</v>
      </c>
    </row>
    <row r="1367" spans="1:18" x14ac:dyDescent="0.3">
      <c r="A1367" t="s">
        <v>259</v>
      </c>
      <c r="B1367" t="s">
        <v>34</v>
      </c>
      <c r="C1367" t="s">
        <v>266</v>
      </c>
      <c r="D1367" s="8">
        <v>7.7568228999999898E-5</v>
      </c>
      <c r="E1367" s="8">
        <v>1.1811092E-4</v>
      </c>
      <c r="F1367" s="8">
        <v>1.3849661999999901E-4</v>
      </c>
      <c r="G1367" s="8">
        <v>1.3223660999999999E-4</v>
      </c>
      <c r="H1367" s="8">
        <v>2.12461275999999E-4</v>
      </c>
      <c r="I1367" s="8">
        <v>2.5297217499999899E-4</v>
      </c>
      <c r="J1367" s="8">
        <v>2.8305534299999998E-4</v>
      </c>
      <c r="K1367" s="8">
        <v>3.1537613700000002E-4</v>
      </c>
      <c r="L1367" s="8">
        <v>3.52703354E-4</v>
      </c>
      <c r="M1367" s="8">
        <v>3.9756298700000003E-4</v>
      </c>
      <c r="N1367" s="8">
        <v>4.48535618999999E-4</v>
      </c>
      <c r="O1367">
        <v>0</v>
      </c>
      <c r="P1367">
        <v>0</v>
      </c>
      <c r="Q1367">
        <v>0</v>
      </c>
      <c r="R1367" t="s">
        <v>243</v>
      </c>
    </row>
    <row r="1368" spans="1:18" x14ac:dyDescent="0.3">
      <c r="A1368" t="s">
        <v>259</v>
      </c>
      <c r="B1368" t="s">
        <v>34</v>
      </c>
      <c r="C1368" t="s">
        <v>267</v>
      </c>
      <c r="D1368" s="8">
        <v>1.07582807E-4</v>
      </c>
      <c r="E1368" s="8">
        <v>1.5551645000000001E-4</v>
      </c>
      <c r="F1368" s="8">
        <v>1.8625968E-4</v>
      </c>
      <c r="G1368" s="8">
        <v>1.7924124999999999E-4</v>
      </c>
      <c r="H1368" s="8">
        <v>2.6124751699999998E-4</v>
      </c>
      <c r="I1368" s="8">
        <v>3.4379698400000003E-4</v>
      </c>
      <c r="J1368" s="8">
        <v>3.8214718600000001E-4</v>
      </c>
      <c r="K1368" s="8">
        <v>4.22756079E-4</v>
      </c>
      <c r="L1368" s="8">
        <v>4.6934231299999998E-4</v>
      </c>
      <c r="M1368" s="8">
        <v>5.2443533600000003E-4</v>
      </c>
      <c r="N1368" s="8">
        <v>5.8648073000000002E-4</v>
      </c>
      <c r="O1368">
        <v>0</v>
      </c>
      <c r="P1368">
        <v>0</v>
      </c>
      <c r="Q1368">
        <v>0</v>
      </c>
      <c r="R1368" t="s">
        <v>243</v>
      </c>
    </row>
    <row r="1369" spans="1:18" x14ac:dyDescent="0.3">
      <c r="A1369" t="s">
        <v>259</v>
      </c>
      <c r="B1369" t="s">
        <v>34</v>
      </c>
      <c r="C1369" t="s">
        <v>268</v>
      </c>
      <c r="D1369" s="8">
        <v>1.3211715000000001E-4</v>
      </c>
      <c r="E1369" s="8">
        <v>1.8850989999999999E-4</v>
      </c>
      <c r="F1369" s="8">
        <v>2.2833169E-4</v>
      </c>
      <c r="G1369" s="8">
        <v>2.2080666999999999E-4</v>
      </c>
      <c r="H1369" s="8">
        <v>3.1930343599999999E-4</v>
      </c>
      <c r="I1369" s="8">
        <v>4.1792062300000001E-4</v>
      </c>
      <c r="J1369" s="8">
        <v>4.6313680399999902E-4</v>
      </c>
      <c r="K1369" s="8">
        <v>5.1165234199999996E-4</v>
      </c>
      <c r="L1369" s="8">
        <v>5.67403045E-4</v>
      </c>
      <c r="M1369" s="8">
        <v>6.3282267200000003E-4</v>
      </c>
      <c r="N1369" s="8">
        <v>7.0483465199999999E-4</v>
      </c>
      <c r="O1369">
        <v>0</v>
      </c>
      <c r="P1369">
        <v>0</v>
      </c>
      <c r="Q1369">
        <v>0</v>
      </c>
      <c r="R1369" t="s">
        <v>243</v>
      </c>
    </row>
    <row r="1370" spans="1:18" x14ac:dyDescent="0.3">
      <c r="A1370" t="s">
        <v>259</v>
      </c>
      <c r="B1370" t="s">
        <v>34</v>
      </c>
      <c r="C1370" t="s">
        <v>269</v>
      </c>
      <c r="D1370" s="8">
        <v>1.5805235599999901E-4</v>
      </c>
      <c r="E1370" s="8">
        <v>2.23415649999999E-4</v>
      </c>
      <c r="F1370" s="8">
        <v>2.7010096000000002E-4</v>
      </c>
      <c r="G1370" s="8">
        <v>2.6043707000000002E-4</v>
      </c>
      <c r="H1370" s="8">
        <v>3.7722515699999999E-4</v>
      </c>
      <c r="I1370" s="8">
        <v>4.9210736399999896E-4</v>
      </c>
      <c r="J1370" s="8">
        <v>5.4428982900000004E-4</v>
      </c>
      <c r="K1370" s="8">
        <v>5.9960023099999999E-4</v>
      </c>
      <c r="L1370" s="8">
        <v>6.6419411099999999E-4</v>
      </c>
      <c r="M1370" s="8">
        <v>7.3837211700000002E-4</v>
      </c>
      <c r="N1370" s="8">
        <v>8.1854595899999905E-4</v>
      </c>
      <c r="O1370">
        <v>0</v>
      </c>
      <c r="P1370">
        <v>0</v>
      </c>
      <c r="Q1370">
        <v>0</v>
      </c>
      <c r="R1370" t="s">
        <v>243</v>
      </c>
    </row>
    <row r="1371" spans="1:18" x14ac:dyDescent="0.3">
      <c r="A1371" t="s">
        <v>259</v>
      </c>
      <c r="B1371" t="s">
        <v>34</v>
      </c>
      <c r="C1371" t="s">
        <v>270</v>
      </c>
      <c r="D1371" s="8">
        <v>1.8664610000000001E-4</v>
      </c>
      <c r="E1371" s="8">
        <v>2.6072219000000002E-4</v>
      </c>
      <c r="F1371" s="8">
        <v>3.1530308999999998E-4</v>
      </c>
      <c r="G1371" s="8">
        <v>3.0347989000000002E-4</v>
      </c>
      <c r="H1371" s="8">
        <v>4.3974885999999998E-4</v>
      </c>
      <c r="I1371" s="8">
        <v>5.7024522200000002E-4</v>
      </c>
      <c r="J1371" s="8">
        <v>6.2837311299999998E-4</v>
      </c>
      <c r="K1371" s="8">
        <v>6.9122901699999995E-4</v>
      </c>
      <c r="L1371" s="8">
        <v>7.6263574899999896E-4</v>
      </c>
      <c r="M1371" s="8">
        <v>8.4545433200000001E-4</v>
      </c>
      <c r="N1371" s="8">
        <v>9.3373168400000001E-4</v>
      </c>
      <c r="O1371">
        <v>0</v>
      </c>
      <c r="P1371">
        <v>0</v>
      </c>
      <c r="Q1371">
        <v>0</v>
      </c>
      <c r="R1371" t="s">
        <v>243</v>
      </c>
    </row>
    <row r="1372" spans="1:18" x14ac:dyDescent="0.3">
      <c r="A1372" t="s">
        <v>259</v>
      </c>
      <c r="B1372" t="s">
        <v>34</v>
      </c>
      <c r="C1372" t="s">
        <v>271</v>
      </c>
      <c r="D1372" s="8">
        <v>2.2142823E-4</v>
      </c>
      <c r="E1372" s="8">
        <v>3.0390606999999999E-4</v>
      </c>
      <c r="F1372" s="8">
        <v>3.68230709999999E-4</v>
      </c>
      <c r="G1372" s="8">
        <v>3.516724E-4</v>
      </c>
      <c r="H1372" s="8">
        <v>5.1174580999999999E-4</v>
      </c>
      <c r="I1372" s="8">
        <v>6.5870514700000005E-4</v>
      </c>
      <c r="J1372" s="8">
        <v>7.2359017500000004E-4</v>
      </c>
      <c r="K1372" s="8">
        <v>7.9347762999999998E-4</v>
      </c>
      <c r="L1372" s="8">
        <v>8.7281525199999995E-4</v>
      </c>
      <c r="M1372" s="8">
        <v>9.6244573000000004E-4</v>
      </c>
      <c r="N1372">
        <v>1.0557359399999901E-3</v>
      </c>
      <c r="O1372">
        <v>0</v>
      </c>
      <c r="P1372">
        <v>0</v>
      </c>
      <c r="Q1372">
        <v>0</v>
      </c>
      <c r="R1372" t="s">
        <v>243</v>
      </c>
    </row>
    <row r="1373" spans="1:18" x14ac:dyDescent="0.3">
      <c r="A1373" t="s">
        <v>259</v>
      </c>
      <c r="B1373" t="s">
        <v>34</v>
      </c>
      <c r="C1373" t="s">
        <v>272</v>
      </c>
      <c r="D1373" s="8">
        <v>2.6533405999999899E-4</v>
      </c>
      <c r="E1373" s="8">
        <v>3.6064602999999999E-4</v>
      </c>
      <c r="F1373" s="8">
        <v>4.3605119999999998E-4</v>
      </c>
      <c r="G1373" s="8">
        <v>4.1890531999999998E-4</v>
      </c>
      <c r="H1373" s="8">
        <v>5.9943814999999896E-4</v>
      </c>
      <c r="I1373" s="8">
        <v>7.6782543999999995E-4</v>
      </c>
      <c r="J1373" s="8">
        <v>8.4178268999999997E-4</v>
      </c>
      <c r="K1373" s="8">
        <v>9.1975191999999904E-4</v>
      </c>
      <c r="L1373">
        <v>1.00607363E-3</v>
      </c>
      <c r="M1373">
        <v>1.1022330099999999E-3</v>
      </c>
      <c r="N1373">
        <v>1.20178439E-3</v>
      </c>
      <c r="O1373">
        <v>0</v>
      </c>
      <c r="P1373">
        <v>0</v>
      </c>
      <c r="Q1373">
        <v>0</v>
      </c>
      <c r="R1373" t="s">
        <v>243</v>
      </c>
    </row>
    <row r="1374" spans="1:18" x14ac:dyDescent="0.3">
      <c r="A1374" t="s">
        <v>259</v>
      </c>
      <c r="B1374" t="s">
        <v>34</v>
      </c>
      <c r="C1374" t="s">
        <v>273</v>
      </c>
      <c r="D1374" s="8">
        <v>3.3998223000000001E-4</v>
      </c>
      <c r="E1374" s="8">
        <v>4.5121781999999999E-4</v>
      </c>
      <c r="F1374" s="8">
        <v>5.4409702999999999E-4</v>
      </c>
      <c r="G1374" s="8">
        <v>5.1031771000000002E-4</v>
      </c>
      <c r="H1374" s="8">
        <v>7.2877403999999904E-4</v>
      </c>
      <c r="I1374" s="8">
        <v>9.2398264099999999E-4</v>
      </c>
      <c r="J1374">
        <v>1.0075848899999899E-3</v>
      </c>
      <c r="K1374">
        <v>1.0970698000000001E-3</v>
      </c>
      <c r="L1374">
        <v>1.19529935E-3</v>
      </c>
      <c r="M1374">
        <v>1.3017718399999901E-3</v>
      </c>
      <c r="N1374">
        <v>1.4076694099999999E-3</v>
      </c>
      <c r="O1374">
        <v>0</v>
      </c>
      <c r="P1374">
        <v>0</v>
      </c>
      <c r="Q1374">
        <v>0</v>
      </c>
      <c r="R1374" t="s">
        <v>243</v>
      </c>
    </row>
    <row r="1375" spans="1:18" x14ac:dyDescent="0.3">
      <c r="A1375" t="s">
        <v>259</v>
      </c>
      <c r="B1375" t="s">
        <v>34</v>
      </c>
      <c r="C1375" t="s">
        <v>274</v>
      </c>
      <c r="D1375" s="8">
        <v>3.8405400000000001E-9</v>
      </c>
      <c r="E1375" s="8">
        <v>4.73554E-9</v>
      </c>
      <c r="F1375" s="8">
        <v>4.6073E-9</v>
      </c>
      <c r="G1375" s="8">
        <v>4.4822600000000002E-9</v>
      </c>
      <c r="H1375" s="8">
        <v>8.8509599999999998E-9</v>
      </c>
      <c r="I1375" s="8">
        <v>1.0448566E-8</v>
      </c>
      <c r="J1375" s="8">
        <v>1.0716905E-8</v>
      </c>
      <c r="K1375" s="8">
        <v>1.1445591999999999E-8</v>
      </c>
      <c r="L1375" s="8">
        <v>1.2514491E-8</v>
      </c>
      <c r="M1375" s="8">
        <v>1.3795644999999999E-8</v>
      </c>
      <c r="N1375" s="8">
        <v>1.5291397999999999E-8</v>
      </c>
      <c r="O1375">
        <v>0</v>
      </c>
      <c r="P1375">
        <v>0</v>
      </c>
      <c r="Q1375">
        <v>0</v>
      </c>
      <c r="R1375" t="s">
        <v>243</v>
      </c>
    </row>
    <row r="1376" spans="1:18" x14ac:dyDescent="0.3">
      <c r="A1376" t="s">
        <v>259</v>
      </c>
      <c r="B1376" t="s">
        <v>34</v>
      </c>
      <c r="C1376" t="s">
        <v>275</v>
      </c>
      <c r="D1376" s="8">
        <v>5.3767400000000003E-8</v>
      </c>
      <c r="E1376" s="8">
        <v>6.6889400000000006E-8</v>
      </c>
      <c r="F1376" s="8">
        <v>6.5078200000000006E-8</v>
      </c>
      <c r="G1376" s="8">
        <v>6.3312000000000005E-8</v>
      </c>
      <c r="H1376" s="8">
        <v>1.038785E-7</v>
      </c>
      <c r="I1376" s="8">
        <v>1.378887E-7</v>
      </c>
      <c r="J1376" s="8">
        <v>1.4416766999999999E-7</v>
      </c>
      <c r="K1376" s="8">
        <v>1.5326544E-7</v>
      </c>
      <c r="L1376" s="8">
        <v>1.6493985999999999E-7</v>
      </c>
      <c r="M1376" s="8">
        <v>1.7858291E-7</v>
      </c>
      <c r="N1376" s="8">
        <v>1.9348563E-7</v>
      </c>
      <c r="O1376">
        <v>0</v>
      </c>
      <c r="P1376">
        <v>0</v>
      </c>
      <c r="Q1376">
        <v>0</v>
      </c>
      <c r="R1376" t="s">
        <v>243</v>
      </c>
    </row>
    <row r="1377" spans="1:18" x14ac:dyDescent="0.3">
      <c r="A1377" t="s">
        <v>259</v>
      </c>
      <c r="B1377" t="s">
        <v>34</v>
      </c>
      <c r="C1377" t="s">
        <v>276</v>
      </c>
      <c r="D1377" s="8">
        <v>7.0409800000000002E-9</v>
      </c>
      <c r="E1377" s="8">
        <v>8.8791199999999998E-9</v>
      </c>
      <c r="F1377" s="8">
        <v>8.6387000000000008E-9</v>
      </c>
      <c r="G1377" s="8">
        <v>7.8439599999999995E-9</v>
      </c>
      <c r="H1377" s="8">
        <v>1.5017179999999999E-8</v>
      </c>
      <c r="I1377" s="8">
        <v>1.8134069999999899E-8</v>
      </c>
      <c r="J1377" s="8">
        <v>1.8946980000000001E-8</v>
      </c>
      <c r="K1377" s="8">
        <v>2.0278493999999901E-8</v>
      </c>
      <c r="L1377" s="8">
        <v>2.2111289000000001E-8</v>
      </c>
      <c r="M1377" s="8">
        <v>2.4322249000000001E-8</v>
      </c>
      <c r="N1377" s="8">
        <v>2.6899278000000001E-8</v>
      </c>
      <c r="O1377">
        <v>0</v>
      </c>
      <c r="P1377">
        <v>0</v>
      </c>
      <c r="Q1377">
        <v>0</v>
      </c>
      <c r="R1377" t="s">
        <v>243</v>
      </c>
    </row>
    <row r="1378" spans="1:18" x14ac:dyDescent="0.3">
      <c r="A1378" t="s">
        <v>259</v>
      </c>
      <c r="B1378" t="s">
        <v>34</v>
      </c>
      <c r="C1378" t="s">
        <v>277</v>
      </c>
      <c r="D1378" s="8">
        <v>9.6013400000000003E-9</v>
      </c>
      <c r="E1378" s="8">
        <v>1.183882E-8</v>
      </c>
      <c r="F1378" s="8">
        <v>1.1518279999999999E-8</v>
      </c>
      <c r="G1378" s="8">
        <v>1.120566E-8</v>
      </c>
      <c r="H1378" s="8">
        <v>1.8993619999999999E-8</v>
      </c>
      <c r="I1378" s="8">
        <v>2.524568E-8</v>
      </c>
      <c r="J1378" s="8">
        <v>2.6218190000000001E-8</v>
      </c>
      <c r="K1378" s="8">
        <v>2.7948950000000002E-8</v>
      </c>
      <c r="L1378" s="8">
        <v>3.0243959999999897E-8</v>
      </c>
      <c r="M1378" s="8">
        <v>3.3044830000000001E-8</v>
      </c>
      <c r="N1378" s="8">
        <v>3.631897E-8</v>
      </c>
      <c r="O1378">
        <v>0</v>
      </c>
      <c r="P1378">
        <v>0</v>
      </c>
      <c r="Q1378">
        <v>0</v>
      </c>
      <c r="R1378" t="s">
        <v>243</v>
      </c>
    </row>
    <row r="1379" spans="1:18" x14ac:dyDescent="0.3">
      <c r="A1379" t="s">
        <v>259</v>
      </c>
      <c r="B1379" t="s">
        <v>34</v>
      </c>
      <c r="C1379" t="s">
        <v>278</v>
      </c>
      <c r="D1379" s="8">
        <v>1.15216E-8</v>
      </c>
      <c r="E1379" s="8">
        <v>1.479854E-8</v>
      </c>
      <c r="F1379" s="8">
        <v>1.439784E-8</v>
      </c>
      <c r="G1379" s="8">
        <v>1.400708E-8</v>
      </c>
      <c r="H1379" s="8">
        <v>2.3529300000000001E-8</v>
      </c>
      <c r="I1379" s="8">
        <v>3.1261829999999998E-8</v>
      </c>
      <c r="J1379" s="8">
        <v>3.246909E-8</v>
      </c>
      <c r="K1379" s="8">
        <v>3.4613469999999998E-8</v>
      </c>
      <c r="L1379" s="8">
        <v>3.7481399999999998E-8</v>
      </c>
      <c r="M1379" s="8">
        <v>4.0979349999999998E-8</v>
      </c>
      <c r="N1379" s="8">
        <v>4.4990899999999997E-8</v>
      </c>
      <c r="O1379">
        <v>0</v>
      </c>
      <c r="P1379">
        <v>0</v>
      </c>
      <c r="Q1379">
        <v>0</v>
      </c>
      <c r="R1379" t="s">
        <v>243</v>
      </c>
    </row>
    <row r="1380" spans="1:18" x14ac:dyDescent="0.3">
      <c r="A1380" t="s">
        <v>259</v>
      </c>
      <c r="B1380" t="s">
        <v>34</v>
      </c>
      <c r="C1380" t="s">
        <v>279</v>
      </c>
      <c r="D1380" s="8">
        <v>1.408196E-8</v>
      </c>
      <c r="E1380" s="8">
        <v>1.7166299999999999E-8</v>
      </c>
      <c r="F1380" s="8">
        <v>1.7277420000000001E-8</v>
      </c>
      <c r="G1380" s="8">
        <v>1.6808480000000001E-8</v>
      </c>
      <c r="H1380" s="8">
        <v>2.82378E-8</v>
      </c>
      <c r="I1380" s="8">
        <v>3.7559070000000001E-8</v>
      </c>
      <c r="J1380" s="8">
        <v>3.9032219999999999E-8</v>
      </c>
      <c r="K1380" s="8">
        <v>4.1549910000000003E-8</v>
      </c>
      <c r="L1380" s="8">
        <v>4.5036759999999998E-8</v>
      </c>
      <c r="M1380" s="8">
        <v>4.9209270000000001E-8</v>
      </c>
      <c r="N1380" s="8">
        <v>5.3934889999999998E-8</v>
      </c>
      <c r="O1380">
        <v>0</v>
      </c>
      <c r="P1380">
        <v>0</v>
      </c>
      <c r="Q1380">
        <v>0</v>
      </c>
      <c r="R1380" t="s">
        <v>243</v>
      </c>
    </row>
    <row r="1381" spans="1:18" x14ac:dyDescent="0.3">
      <c r="A1381" t="s">
        <v>259</v>
      </c>
      <c r="B1381" t="s">
        <v>34</v>
      </c>
      <c r="C1381" t="s">
        <v>280</v>
      </c>
      <c r="D1381" s="8">
        <v>1.664232E-8</v>
      </c>
      <c r="E1381" s="8">
        <v>2.0718000000000001E-8</v>
      </c>
      <c r="F1381" s="8">
        <v>2.0157E-8</v>
      </c>
      <c r="G1381" s="8">
        <v>1.9609899999999999E-8</v>
      </c>
      <c r="H1381" s="8">
        <v>3.3282190000000001E-8</v>
      </c>
      <c r="I1381" s="8">
        <v>4.4365859999999997E-8</v>
      </c>
      <c r="J1381" s="8">
        <v>4.61844E-8</v>
      </c>
      <c r="K1381" s="8">
        <v>4.9180850000000001E-8</v>
      </c>
      <c r="L1381" s="8">
        <v>5.31992099999999E-8</v>
      </c>
      <c r="M1381" s="8">
        <v>5.814188E-8</v>
      </c>
      <c r="N1381" s="8">
        <v>6.37083399999999E-8</v>
      </c>
      <c r="O1381">
        <v>0</v>
      </c>
      <c r="P1381">
        <v>0</v>
      </c>
      <c r="Q1381">
        <v>0</v>
      </c>
      <c r="R1381" t="s">
        <v>243</v>
      </c>
    </row>
    <row r="1382" spans="1:18" x14ac:dyDescent="0.3">
      <c r="A1382" t="s">
        <v>259</v>
      </c>
      <c r="B1382" t="s">
        <v>34</v>
      </c>
      <c r="C1382" t="s">
        <v>281</v>
      </c>
      <c r="D1382" s="8">
        <v>1.9842760000000001E-8</v>
      </c>
      <c r="E1382" s="8">
        <v>2.42696E-8</v>
      </c>
      <c r="F1382" s="8">
        <v>2.3612399999999998E-8</v>
      </c>
      <c r="G1382" s="8">
        <v>2.29716E-8</v>
      </c>
      <c r="H1382" s="8">
        <v>3.9422380000000003E-8</v>
      </c>
      <c r="I1382" s="8">
        <v>5.2532199999999902E-8</v>
      </c>
      <c r="J1382" s="8">
        <v>5.4764820000000003E-8</v>
      </c>
      <c r="K1382" s="8">
        <v>5.8247119999999997E-8</v>
      </c>
      <c r="L1382" s="8">
        <v>6.2984070000000006E-8</v>
      </c>
      <c r="M1382" s="8">
        <v>6.8679430000000001E-8</v>
      </c>
      <c r="N1382" s="8">
        <v>7.4983209999999998E-8</v>
      </c>
      <c r="O1382">
        <v>0</v>
      </c>
      <c r="P1382">
        <v>0</v>
      </c>
      <c r="Q1382">
        <v>0</v>
      </c>
      <c r="R1382" t="s">
        <v>243</v>
      </c>
    </row>
    <row r="1383" spans="1:18" x14ac:dyDescent="0.3">
      <c r="A1383" t="s">
        <v>259</v>
      </c>
      <c r="B1383" t="s">
        <v>34</v>
      </c>
      <c r="C1383" t="s">
        <v>282</v>
      </c>
      <c r="D1383" s="8">
        <v>2.4323400000000001E-8</v>
      </c>
      <c r="E1383" s="8">
        <v>2.9597E-8</v>
      </c>
      <c r="F1383" s="8">
        <v>2.87956E-8</v>
      </c>
      <c r="G1383" s="8">
        <v>2.8014199999999999E-8</v>
      </c>
      <c r="H1383" s="8">
        <v>4.744986E-8</v>
      </c>
      <c r="I1383" s="8">
        <v>6.3348980000000001E-8</v>
      </c>
      <c r="J1383" s="8">
        <v>6.6211999999999998E-8</v>
      </c>
      <c r="K1383" s="8">
        <v>7.0377600000000001E-8</v>
      </c>
      <c r="L1383" s="8">
        <v>7.5902230000000001E-8</v>
      </c>
      <c r="M1383" s="8">
        <v>8.2544129999999996E-8</v>
      </c>
      <c r="N1383" s="8">
        <v>9.000648E-8</v>
      </c>
      <c r="O1383">
        <v>0</v>
      </c>
      <c r="P1383">
        <v>0</v>
      </c>
      <c r="Q1383">
        <v>0</v>
      </c>
      <c r="R1383" t="s">
        <v>243</v>
      </c>
    </row>
    <row r="1384" spans="1:18" x14ac:dyDescent="0.3">
      <c r="A1384" t="s">
        <v>259</v>
      </c>
      <c r="B1384" t="s">
        <v>34</v>
      </c>
      <c r="C1384" t="s">
        <v>283</v>
      </c>
      <c r="D1384" s="8">
        <v>3.1364399999999997E-8</v>
      </c>
      <c r="E1384" s="8">
        <v>3.7884200000000001E-8</v>
      </c>
      <c r="F1384" s="8">
        <v>3.68584E-8</v>
      </c>
      <c r="G1384" s="8">
        <v>3.5297799999999999E-8</v>
      </c>
      <c r="H1384" s="8">
        <v>6.0190499999999999E-8</v>
      </c>
      <c r="I1384" s="8">
        <v>8.0409620000000001E-8</v>
      </c>
      <c r="J1384" s="8">
        <v>8.4127440000000004E-8</v>
      </c>
      <c r="K1384" s="8">
        <v>8.9553499999999995E-8</v>
      </c>
      <c r="L1384" s="8">
        <v>9.6814940000000004E-8</v>
      </c>
      <c r="M1384" s="8">
        <v>1.0548075E-7</v>
      </c>
      <c r="N1384" s="8">
        <v>1.15008279999999E-7</v>
      </c>
      <c r="O1384">
        <v>0</v>
      </c>
      <c r="P1384">
        <v>0</v>
      </c>
      <c r="Q1384">
        <v>0</v>
      </c>
      <c r="R1384" t="s">
        <v>243</v>
      </c>
    </row>
    <row r="1385" spans="1:18" x14ac:dyDescent="0.3">
      <c r="A1385" t="s">
        <v>259</v>
      </c>
      <c r="B1385" t="s">
        <v>34</v>
      </c>
      <c r="C1385" t="s">
        <v>334</v>
      </c>
      <c r="D1385">
        <v>1.6371199999999999E-2</v>
      </c>
      <c r="E1385">
        <v>6.1796000000000004E-3</v>
      </c>
      <c r="F1385">
        <v>6.0658300000000004E-3</v>
      </c>
      <c r="G1385">
        <v>5.8249E-3</v>
      </c>
      <c r="H1385">
        <v>6.4096899999999896E-3</v>
      </c>
      <c r="I1385">
        <v>4.8257719999999999E-3</v>
      </c>
      <c r="J1385">
        <v>3.1245040000000002E-3</v>
      </c>
      <c r="K1385">
        <v>3.0675390000000002E-3</v>
      </c>
      <c r="L1385">
        <v>3.00425E-3</v>
      </c>
      <c r="M1385">
        <v>2.9102109999999998E-3</v>
      </c>
      <c r="N1385">
        <v>2.7954690000000001E-3</v>
      </c>
      <c r="O1385">
        <v>0</v>
      </c>
      <c r="P1385">
        <v>0</v>
      </c>
      <c r="Q1385">
        <v>0</v>
      </c>
      <c r="R1385" t="s">
        <v>243</v>
      </c>
    </row>
    <row r="1386" spans="1:18" x14ac:dyDescent="0.3">
      <c r="A1386" t="s">
        <v>259</v>
      </c>
      <c r="B1386" t="s">
        <v>34</v>
      </c>
      <c r="C1386" t="s">
        <v>335</v>
      </c>
      <c r="D1386" s="8">
        <v>9.3373399999999997E-4</v>
      </c>
      <c r="E1386" s="8">
        <v>2.96118E-4</v>
      </c>
      <c r="F1386" s="8">
        <v>2.6664800000000003E-4</v>
      </c>
      <c r="G1386" s="8">
        <v>2.2054299999999999E-4</v>
      </c>
      <c r="H1386" s="8">
        <v>2.4056300000000001E-4</v>
      </c>
      <c r="I1386" s="8">
        <v>2.6578680000000001E-4</v>
      </c>
      <c r="J1386" s="8">
        <v>2.740857E-4</v>
      </c>
      <c r="K1386" s="8">
        <v>2.8248290000000001E-4</v>
      </c>
      <c r="L1386" s="8">
        <v>2.9168659999999997E-4</v>
      </c>
      <c r="M1386" s="8">
        <v>2.9994800000000002E-4</v>
      </c>
      <c r="N1386" s="8">
        <v>3.0685719999999899E-4</v>
      </c>
      <c r="O1386">
        <v>0</v>
      </c>
      <c r="P1386">
        <v>0</v>
      </c>
      <c r="Q1386">
        <v>0</v>
      </c>
      <c r="R1386" t="s">
        <v>243</v>
      </c>
    </row>
    <row r="1387" spans="1:18" x14ac:dyDescent="0.3">
      <c r="A1387" t="s">
        <v>259</v>
      </c>
      <c r="B1387" t="s">
        <v>34</v>
      </c>
      <c r="C1387" t="s">
        <v>336</v>
      </c>
      <c r="D1387">
        <v>9.6101199999999998E-3</v>
      </c>
      <c r="E1387">
        <v>3.2931100000000001E-3</v>
      </c>
      <c r="F1387">
        <v>3.1871999999999998E-3</v>
      </c>
      <c r="G1387">
        <v>2.9169299999999999E-3</v>
      </c>
      <c r="H1387">
        <v>3.26729E-3</v>
      </c>
      <c r="I1387">
        <v>2.9540909999999998E-3</v>
      </c>
      <c r="J1387">
        <v>2.4107540000000002E-3</v>
      </c>
      <c r="K1387">
        <v>2.4059619999999898E-3</v>
      </c>
      <c r="L1387">
        <v>2.4012119999999998E-3</v>
      </c>
      <c r="M1387">
        <v>2.38069E-3</v>
      </c>
      <c r="N1387">
        <v>2.347961E-3</v>
      </c>
      <c r="O1387">
        <v>0</v>
      </c>
      <c r="P1387">
        <v>0</v>
      </c>
      <c r="Q1387">
        <v>0</v>
      </c>
      <c r="R1387" t="s">
        <v>243</v>
      </c>
    </row>
    <row r="1388" spans="1:18" x14ac:dyDescent="0.3">
      <c r="A1388" t="s">
        <v>259</v>
      </c>
      <c r="B1388" t="s">
        <v>34</v>
      </c>
      <c r="C1388" t="s">
        <v>337</v>
      </c>
      <c r="D1388">
        <v>6.7789E-3</v>
      </c>
      <c r="E1388">
        <v>2.38763E-3</v>
      </c>
      <c r="F1388">
        <v>2.2373200000000001E-3</v>
      </c>
      <c r="G1388">
        <v>1.9871899999999998E-3</v>
      </c>
      <c r="H1388">
        <v>2.18673E-3</v>
      </c>
      <c r="I1388">
        <v>2.360011E-3</v>
      </c>
      <c r="J1388">
        <v>2.2013499999999999E-3</v>
      </c>
      <c r="K1388">
        <v>2.220535E-3</v>
      </c>
      <c r="L1388">
        <v>2.2382489999999999E-3</v>
      </c>
      <c r="M1388">
        <v>2.2451889999999999E-3</v>
      </c>
      <c r="N1388">
        <v>2.2410709999999999E-3</v>
      </c>
      <c r="O1388">
        <v>0</v>
      </c>
      <c r="P1388">
        <v>0</v>
      </c>
      <c r="Q1388">
        <v>0</v>
      </c>
      <c r="R1388" t="s">
        <v>243</v>
      </c>
    </row>
    <row r="1389" spans="1:18" x14ac:dyDescent="0.3">
      <c r="A1389" t="s">
        <v>259</v>
      </c>
      <c r="B1389" t="s">
        <v>34</v>
      </c>
      <c r="C1389" t="s">
        <v>338</v>
      </c>
      <c r="D1389">
        <v>5.4104499999999998E-3</v>
      </c>
      <c r="E1389">
        <v>1.8944000000000001E-3</v>
      </c>
      <c r="F1389">
        <v>1.74231E-3</v>
      </c>
      <c r="G1389">
        <v>1.5155399999999999E-3</v>
      </c>
      <c r="H1389">
        <v>1.664652E-3</v>
      </c>
      <c r="I1389">
        <v>1.8616749999999999E-3</v>
      </c>
      <c r="J1389">
        <v>1.9251509999999999E-3</v>
      </c>
      <c r="K1389">
        <v>1.9876909999999898E-3</v>
      </c>
      <c r="L1389">
        <v>2.0577399999999902E-3</v>
      </c>
      <c r="M1389">
        <v>2.1230419999999999E-3</v>
      </c>
      <c r="N1389">
        <v>2.1805369999999902E-3</v>
      </c>
      <c r="O1389">
        <v>0</v>
      </c>
      <c r="P1389">
        <v>0</v>
      </c>
      <c r="Q1389">
        <v>0</v>
      </c>
      <c r="R1389" t="s">
        <v>243</v>
      </c>
    </row>
    <row r="1390" spans="1:18" x14ac:dyDescent="0.3">
      <c r="A1390" t="s">
        <v>259</v>
      </c>
      <c r="B1390" t="s">
        <v>34</v>
      </c>
      <c r="C1390" t="s">
        <v>339</v>
      </c>
      <c r="D1390">
        <v>4.4262299999999997E-3</v>
      </c>
      <c r="E1390">
        <v>1.5368199999999999E-3</v>
      </c>
      <c r="F1390">
        <v>1.4110100000000001E-3</v>
      </c>
      <c r="G1390">
        <v>1.2167600000000001E-3</v>
      </c>
      <c r="H1390">
        <v>1.336472E-3</v>
      </c>
      <c r="I1390">
        <v>1.4924510000000001E-3</v>
      </c>
      <c r="J1390">
        <v>1.5427139999999999E-3</v>
      </c>
      <c r="K1390">
        <v>1.5922390000000001E-3</v>
      </c>
      <c r="L1390">
        <v>1.648165E-3</v>
      </c>
      <c r="M1390">
        <v>1.6998199999999899E-3</v>
      </c>
      <c r="N1390">
        <v>1.7448629999999999E-3</v>
      </c>
      <c r="O1390">
        <v>0</v>
      </c>
      <c r="P1390">
        <v>0</v>
      </c>
      <c r="Q1390">
        <v>0</v>
      </c>
      <c r="R1390" t="s">
        <v>243</v>
      </c>
    </row>
    <row r="1391" spans="1:18" x14ac:dyDescent="0.3">
      <c r="A1391" t="s">
        <v>259</v>
      </c>
      <c r="B1391" t="s">
        <v>34</v>
      </c>
      <c r="C1391" t="s">
        <v>340</v>
      </c>
      <c r="D1391">
        <v>3.6612400000000001E-3</v>
      </c>
      <c r="E1391">
        <v>1.2652399999999999E-3</v>
      </c>
      <c r="F1391">
        <v>1.15723E-3</v>
      </c>
      <c r="G1391" s="8">
        <v>9.8824999999999998E-4</v>
      </c>
      <c r="H1391">
        <v>1.085433E-3</v>
      </c>
      <c r="I1391">
        <v>1.2100819999999999E-3</v>
      </c>
      <c r="J1391">
        <v>1.2501089999999999E-3</v>
      </c>
      <c r="K1391">
        <v>1.290093E-3</v>
      </c>
      <c r="L1391">
        <v>1.3347559999999899E-3</v>
      </c>
      <c r="M1391">
        <v>1.3762570000000001E-3</v>
      </c>
      <c r="N1391">
        <v>1.4122399999999999E-3</v>
      </c>
      <c r="O1391">
        <v>0</v>
      </c>
      <c r="P1391">
        <v>0</v>
      </c>
      <c r="Q1391">
        <v>0</v>
      </c>
      <c r="R1391" t="s">
        <v>243</v>
      </c>
    </row>
    <row r="1392" spans="1:18" x14ac:dyDescent="0.3">
      <c r="A1392" t="s">
        <v>259</v>
      </c>
      <c r="B1392" t="s">
        <v>34</v>
      </c>
      <c r="C1392" t="s">
        <v>341</v>
      </c>
      <c r="D1392">
        <v>3.0017799999999999E-3</v>
      </c>
      <c r="E1392">
        <v>1.03856E-3</v>
      </c>
      <c r="F1392" s="8">
        <v>9.4450700000000003E-4</v>
      </c>
      <c r="G1392" s="8">
        <v>8.0496300000000001E-4</v>
      </c>
      <c r="H1392" s="8">
        <v>8.8476799999999997E-4</v>
      </c>
      <c r="I1392" s="8">
        <v>9.8463900000000004E-4</v>
      </c>
      <c r="J1392">
        <v>1.016779E-3</v>
      </c>
      <c r="K1392">
        <v>1.048975E-3</v>
      </c>
      <c r="L1392">
        <v>1.0850009999999999E-3</v>
      </c>
      <c r="M1392">
        <v>1.118125E-3</v>
      </c>
      <c r="N1392">
        <v>1.1465289999999901E-3</v>
      </c>
      <c r="O1392">
        <v>0</v>
      </c>
      <c r="P1392">
        <v>0</v>
      </c>
      <c r="Q1392">
        <v>0</v>
      </c>
      <c r="R1392" t="s">
        <v>243</v>
      </c>
    </row>
    <row r="1393" spans="1:18" x14ac:dyDescent="0.3">
      <c r="A1393" t="s">
        <v>259</v>
      </c>
      <c r="B1393" t="s">
        <v>34</v>
      </c>
      <c r="C1393" t="s">
        <v>342</v>
      </c>
      <c r="D1393">
        <v>2.4225499999999999E-3</v>
      </c>
      <c r="E1393" s="8">
        <v>8.28223E-4</v>
      </c>
      <c r="F1393" s="8">
        <v>7.5291099999999999E-4</v>
      </c>
      <c r="G1393" s="8">
        <v>6.2666299999999996E-4</v>
      </c>
      <c r="H1393" s="8">
        <v>6.8717599999999995E-4</v>
      </c>
      <c r="I1393" s="8">
        <v>7.6385600000000004E-4</v>
      </c>
      <c r="J1393" s="8">
        <v>7.8870199999999996E-4</v>
      </c>
      <c r="K1393" s="8">
        <v>8.1344899999999897E-4</v>
      </c>
      <c r="L1393" s="8">
        <v>8.4092499999999996E-4</v>
      </c>
      <c r="M1393" s="8">
        <v>8.6608400000000004E-4</v>
      </c>
      <c r="N1393" s="8">
        <v>8.8768099999999997E-4</v>
      </c>
      <c r="O1393">
        <v>0</v>
      </c>
      <c r="P1393">
        <v>0</v>
      </c>
      <c r="Q1393">
        <v>0</v>
      </c>
      <c r="R1393" t="s">
        <v>243</v>
      </c>
    </row>
    <row r="1394" spans="1:18" x14ac:dyDescent="0.3">
      <c r="A1394" t="s">
        <v>259</v>
      </c>
      <c r="B1394" t="s">
        <v>34</v>
      </c>
      <c r="C1394" t="s">
        <v>343</v>
      </c>
      <c r="D1394">
        <v>1.7924900000000001E-3</v>
      </c>
      <c r="E1394" s="8">
        <v>6.0935000000000004E-4</v>
      </c>
      <c r="F1394" s="8">
        <v>5.5399500000000005E-4</v>
      </c>
      <c r="G1394" s="8">
        <v>4.6739299999999998E-4</v>
      </c>
      <c r="H1394" s="8">
        <v>5.1276800000000003E-4</v>
      </c>
      <c r="I1394" s="8">
        <v>5.6893199999999997E-4</v>
      </c>
      <c r="J1394" s="8">
        <v>5.8718369999999896E-4</v>
      </c>
      <c r="K1394" s="8">
        <v>6.0557470000000002E-4</v>
      </c>
      <c r="L1394" s="8">
        <v>6.2600500000000001E-4</v>
      </c>
      <c r="M1394" s="8">
        <v>6.44624E-4</v>
      </c>
      <c r="N1394" s="8">
        <v>6.6041499999999905E-4</v>
      </c>
      <c r="O1394">
        <v>0</v>
      </c>
      <c r="P1394">
        <v>0</v>
      </c>
      <c r="Q1394">
        <v>0</v>
      </c>
      <c r="R1394" t="s">
        <v>243</v>
      </c>
    </row>
    <row r="1395" spans="1:18" x14ac:dyDescent="0.3">
      <c r="A1395" t="s">
        <v>259</v>
      </c>
      <c r="B1395" t="s">
        <v>34</v>
      </c>
      <c r="C1395" t="s">
        <v>284</v>
      </c>
      <c r="D1395" s="8">
        <v>4.8414424703000002E-4</v>
      </c>
      <c r="E1395">
        <v>2.4074270167000001E-3</v>
      </c>
      <c r="F1395">
        <v>2.3466678149000001E-3</v>
      </c>
      <c r="G1395">
        <v>1.7731126524E-3</v>
      </c>
      <c r="H1395">
        <v>2.3501120932999998E-3</v>
      </c>
      <c r="I1395">
        <v>2.9307756646000001E-3</v>
      </c>
      <c r="J1395">
        <v>3.1809336006999901E-3</v>
      </c>
      <c r="K1395">
        <v>3.3153653724999998E-3</v>
      </c>
      <c r="L1395">
        <v>3.5126168274000002E-3</v>
      </c>
      <c r="M1395">
        <v>3.7435124789999899E-3</v>
      </c>
      <c r="N1395">
        <v>4.0138385060000002E-3</v>
      </c>
      <c r="O1395">
        <v>0</v>
      </c>
      <c r="P1395">
        <v>0</v>
      </c>
      <c r="Q1395">
        <v>0</v>
      </c>
      <c r="R1395" t="s">
        <v>243</v>
      </c>
    </row>
    <row r="1396" spans="1:18" x14ac:dyDescent="0.3">
      <c r="A1396" t="s">
        <v>259</v>
      </c>
      <c r="B1396" t="s">
        <v>34</v>
      </c>
      <c r="C1396" t="s">
        <v>285</v>
      </c>
      <c r="D1396">
        <v>4.2194875869E-3</v>
      </c>
      <c r="E1396">
        <v>1.2735320436E-2</v>
      </c>
      <c r="F1396">
        <v>1.5834950734999999E-2</v>
      </c>
      <c r="G1396">
        <v>1.0394862326000001E-2</v>
      </c>
      <c r="H1396">
        <v>1.0617454177E-2</v>
      </c>
      <c r="I1396">
        <v>1.1448657741E-2</v>
      </c>
      <c r="J1396">
        <v>1.09864229314E-2</v>
      </c>
      <c r="K1396">
        <v>1.0713739696999999E-2</v>
      </c>
      <c r="L1396">
        <v>1.0575975925E-2</v>
      </c>
      <c r="M1396">
        <v>1.0348905113E-2</v>
      </c>
      <c r="N1396">
        <v>1.01222134779999E-2</v>
      </c>
      <c r="O1396">
        <v>0</v>
      </c>
      <c r="P1396">
        <v>0</v>
      </c>
      <c r="Q1396">
        <v>0</v>
      </c>
      <c r="R1396" t="s">
        <v>243</v>
      </c>
    </row>
    <row r="1397" spans="1:18" x14ac:dyDescent="0.3">
      <c r="A1397" t="s">
        <v>259</v>
      </c>
      <c r="B1397" t="s">
        <v>34</v>
      </c>
      <c r="C1397" t="s">
        <v>286</v>
      </c>
      <c r="D1397" s="8">
        <v>7.9502026728000001E-4</v>
      </c>
      <c r="E1397">
        <v>3.9432264070999997E-3</v>
      </c>
      <c r="F1397">
        <v>3.9376909388000002E-3</v>
      </c>
      <c r="G1397">
        <v>2.9666093886000001E-3</v>
      </c>
      <c r="H1397">
        <v>3.6820841280999902E-3</v>
      </c>
      <c r="I1397">
        <v>4.4899075743000004E-3</v>
      </c>
      <c r="J1397">
        <v>4.7761068885999996E-3</v>
      </c>
      <c r="K1397">
        <v>4.9445031950999998E-3</v>
      </c>
      <c r="L1397">
        <v>5.1849032042E-3</v>
      </c>
      <c r="M1397">
        <v>5.4535601109999996E-3</v>
      </c>
      <c r="N1397">
        <v>5.753412399E-3</v>
      </c>
      <c r="O1397">
        <v>0</v>
      </c>
      <c r="P1397">
        <v>0</v>
      </c>
      <c r="Q1397">
        <v>0</v>
      </c>
      <c r="R1397" t="s">
        <v>243</v>
      </c>
    </row>
    <row r="1398" spans="1:18" x14ac:dyDescent="0.3">
      <c r="A1398" t="s">
        <v>259</v>
      </c>
      <c r="B1398" t="s">
        <v>34</v>
      </c>
      <c r="C1398" t="s">
        <v>287</v>
      </c>
      <c r="D1398">
        <v>1.0767960042399999E-3</v>
      </c>
      <c r="E1398">
        <v>4.9425201653E-3</v>
      </c>
      <c r="F1398">
        <v>5.1164970846999999E-3</v>
      </c>
      <c r="G1398">
        <v>3.8456938729999998E-3</v>
      </c>
      <c r="H1398">
        <v>4.3708840238000004E-3</v>
      </c>
      <c r="I1398">
        <v>5.6434122745000004E-3</v>
      </c>
      <c r="J1398">
        <v>5.8960475521999903E-3</v>
      </c>
      <c r="K1398">
        <v>6.0445525403999998E-3</v>
      </c>
      <c r="L1398">
        <v>6.25973085089999E-3</v>
      </c>
      <c r="M1398">
        <v>6.496432398E-3</v>
      </c>
      <c r="N1398">
        <v>6.7546464079999997E-3</v>
      </c>
      <c r="O1398">
        <v>0</v>
      </c>
      <c r="P1398">
        <v>0</v>
      </c>
      <c r="Q1398">
        <v>0</v>
      </c>
      <c r="R1398" t="s">
        <v>243</v>
      </c>
    </row>
    <row r="1399" spans="1:18" x14ac:dyDescent="0.3">
      <c r="A1399" t="s">
        <v>259</v>
      </c>
      <c r="B1399" t="s">
        <v>34</v>
      </c>
      <c r="C1399" t="s">
        <v>288</v>
      </c>
      <c r="D1399">
        <v>1.2981080092399999E-3</v>
      </c>
      <c r="E1399">
        <v>5.7465461355000001E-3</v>
      </c>
      <c r="F1399">
        <v>6.0912114471000003E-3</v>
      </c>
      <c r="G1399">
        <v>4.5600697199999997E-3</v>
      </c>
      <c r="H1399">
        <v>5.1139826677999997E-3</v>
      </c>
      <c r="I1399">
        <v>6.4696428067999899E-3</v>
      </c>
      <c r="J1399">
        <v>6.6840248716999902E-3</v>
      </c>
      <c r="K1399">
        <v>6.8147764418999999E-3</v>
      </c>
      <c r="L1399">
        <v>7.0192536638999997E-3</v>
      </c>
      <c r="M1399">
        <v>7.2317337589999997E-3</v>
      </c>
      <c r="N1399">
        <v>7.4488297249999998E-3</v>
      </c>
      <c r="O1399">
        <v>0</v>
      </c>
      <c r="P1399">
        <v>0</v>
      </c>
      <c r="Q1399">
        <v>0</v>
      </c>
      <c r="R1399" t="s">
        <v>243</v>
      </c>
    </row>
    <row r="1400" spans="1:18" x14ac:dyDescent="0.3">
      <c r="A1400" t="s">
        <v>259</v>
      </c>
      <c r="B1400" t="s">
        <v>34</v>
      </c>
      <c r="C1400" t="s">
        <v>289</v>
      </c>
      <c r="D1400">
        <v>1.5237939132000001E-3</v>
      </c>
      <c r="E1400">
        <v>6.526270275E-3</v>
      </c>
      <c r="F1400">
        <v>7.0042674533999901E-3</v>
      </c>
      <c r="G1400">
        <v>5.1907878169999899E-3</v>
      </c>
      <c r="H1400">
        <v>5.7920776942999904E-3</v>
      </c>
      <c r="I1400">
        <v>7.2023591464E-3</v>
      </c>
      <c r="J1400">
        <v>7.3739745066E-3</v>
      </c>
      <c r="K1400">
        <v>7.4731923615999904E-3</v>
      </c>
      <c r="L1400">
        <v>7.6584827936000003E-3</v>
      </c>
      <c r="M1400">
        <v>7.8316538500000001E-3</v>
      </c>
      <c r="N1400">
        <v>7.9968931759999903E-3</v>
      </c>
      <c r="O1400">
        <v>0</v>
      </c>
      <c r="P1400">
        <v>0</v>
      </c>
      <c r="Q1400">
        <v>0</v>
      </c>
      <c r="R1400" t="s">
        <v>243</v>
      </c>
    </row>
    <row r="1401" spans="1:18" x14ac:dyDescent="0.3">
      <c r="A1401" t="s">
        <v>259</v>
      </c>
      <c r="B1401" t="s">
        <v>34</v>
      </c>
      <c r="C1401" t="s">
        <v>290</v>
      </c>
      <c r="D1401">
        <v>1.76332826672E-3</v>
      </c>
      <c r="E1401">
        <v>7.2868345549999998E-3</v>
      </c>
      <c r="F1401">
        <v>7.9348856240000001E-3</v>
      </c>
      <c r="G1401">
        <v>5.8243171189999998E-3</v>
      </c>
      <c r="H1401">
        <v>6.4609797389999996E-3</v>
      </c>
      <c r="I1401">
        <v>7.8856195704999996E-3</v>
      </c>
      <c r="J1401">
        <v>7.9964381859000001E-3</v>
      </c>
      <c r="K1401">
        <v>8.0633597929999998E-3</v>
      </c>
      <c r="L1401">
        <v>8.2110197696999999E-3</v>
      </c>
      <c r="M1401">
        <v>8.3404049649999992E-3</v>
      </c>
      <c r="N1401">
        <v>8.4525854120000004E-3</v>
      </c>
      <c r="O1401">
        <v>0</v>
      </c>
      <c r="P1401">
        <v>0</v>
      </c>
      <c r="Q1401">
        <v>0</v>
      </c>
      <c r="R1401" t="s">
        <v>243</v>
      </c>
    </row>
    <row r="1402" spans="1:18" x14ac:dyDescent="0.3">
      <c r="A1402" t="s">
        <v>259</v>
      </c>
      <c r="B1402" t="s">
        <v>34</v>
      </c>
      <c r="C1402" t="s">
        <v>291</v>
      </c>
      <c r="D1402">
        <v>2.0423499366999998E-3</v>
      </c>
      <c r="E1402">
        <v>8.0827642610000004E-3</v>
      </c>
      <c r="F1402">
        <v>8.9537596489999999E-3</v>
      </c>
      <c r="G1402">
        <v>6.4749961059999998E-3</v>
      </c>
      <c r="H1402">
        <v>7.1552944489999904E-3</v>
      </c>
      <c r="I1402">
        <v>8.5599001719999998E-3</v>
      </c>
      <c r="J1402">
        <v>8.6010629523000006E-3</v>
      </c>
      <c r="K1402">
        <v>8.6208746189999994E-3</v>
      </c>
      <c r="L1402">
        <v>8.7288058329999998E-3</v>
      </c>
      <c r="M1402">
        <v>8.7976758229999993E-3</v>
      </c>
      <c r="N1402">
        <v>8.8420975530000001E-3</v>
      </c>
      <c r="O1402">
        <v>0</v>
      </c>
      <c r="P1402">
        <v>0</v>
      </c>
      <c r="Q1402">
        <v>0</v>
      </c>
      <c r="R1402" t="s">
        <v>243</v>
      </c>
    </row>
    <row r="1403" spans="1:18" x14ac:dyDescent="0.3">
      <c r="A1403" t="s">
        <v>259</v>
      </c>
      <c r="B1403" t="s">
        <v>34</v>
      </c>
      <c r="C1403" t="s">
        <v>292</v>
      </c>
      <c r="D1403">
        <v>2.3764226264E-3</v>
      </c>
      <c r="E1403">
        <v>9.0067385730000001E-3</v>
      </c>
      <c r="F1403">
        <v>1.015599096E-2</v>
      </c>
      <c r="G1403">
        <v>7.2886138340000003E-3</v>
      </c>
      <c r="H1403">
        <v>7.9086702979999906E-3</v>
      </c>
      <c r="I1403">
        <v>9.2703970969999997E-3</v>
      </c>
      <c r="J1403">
        <v>9.2254735914999893E-3</v>
      </c>
      <c r="K1403">
        <v>9.1863373189999993E-3</v>
      </c>
      <c r="L1403">
        <v>9.2361926805999903E-3</v>
      </c>
      <c r="M1403">
        <v>9.2331775889999898E-3</v>
      </c>
      <c r="N1403">
        <v>9.2088539060000002E-3</v>
      </c>
      <c r="O1403">
        <v>0</v>
      </c>
      <c r="P1403">
        <v>0</v>
      </c>
      <c r="Q1403">
        <v>0</v>
      </c>
      <c r="R1403" t="s">
        <v>243</v>
      </c>
    </row>
    <row r="1404" spans="1:18" x14ac:dyDescent="0.3">
      <c r="A1404" t="s">
        <v>259</v>
      </c>
      <c r="B1404" t="s">
        <v>34</v>
      </c>
      <c r="C1404" t="s">
        <v>293</v>
      </c>
      <c r="D1404">
        <v>2.9017106335999898E-3</v>
      </c>
      <c r="E1404">
        <v>1.0238687603E-2</v>
      </c>
      <c r="F1404">
        <v>1.1854826216E-2</v>
      </c>
      <c r="G1404">
        <v>8.2391632340000007E-3</v>
      </c>
      <c r="H1404">
        <v>8.8414621289999995E-3</v>
      </c>
      <c r="I1404">
        <v>1.00825831489999E-2</v>
      </c>
      <c r="J1404">
        <v>9.9098823967999992E-3</v>
      </c>
      <c r="K1404">
        <v>9.7967840569999892E-3</v>
      </c>
      <c r="L1404">
        <v>9.7852071954999901E-3</v>
      </c>
      <c r="M1404">
        <v>9.7024448909999901E-3</v>
      </c>
      <c r="N1404">
        <v>9.5971443779999995E-3</v>
      </c>
      <c r="O1404">
        <v>0</v>
      </c>
      <c r="P1404">
        <v>0</v>
      </c>
      <c r="Q1404">
        <v>0</v>
      </c>
      <c r="R1404" t="s">
        <v>243</v>
      </c>
    </row>
    <row r="1405" spans="1:18" x14ac:dyDescent="0.3">
      <c r="A1405" t="s">
        <v>259</v>
      </c>
      <c r="B1405" t="s">
        <v>34</v>
      </c>
      <c r="C1405" t="s">
        <v>344</v>
      </c>
      <c r="D1405">
        <v>1.3275299999999999E-3</v>
      </c>
      <c r="E1405" s="8">
        <v>4.9996299999999997E-4</v>
      </c>
      <c r="F1405" s="8">
        <v>4.9026199999999999E-4</v>
      </c>
      <c r="G1405" s="8">
        <v>4.7006499999999998E-4</v>
      </c>
      <c r="H1405" s="8">
        <v>5.3324899999999996E-4</v>
      </c>
      <c r="I1405" s="8">
        <v>5.8975800000000001E-4</v>
      </c>
      <c r="J1405" s="8">
        <v>5.4159419999999904E-4</v>
      </c>
      <c r="K1405" s="8">
        <v>4.6265909999999898E-4</v>
      </c>
      <c r="L1405" s="8">
        <v>3.8331999999999998E-4</v>
      </c>
      <c r="M1405" s="8">
        <v>3.1607139999999999E-4</v>
      </c>
      <c r="N1405" s="8">
        <v>2.64825E-4</v>
      </c>
      <c r="O1405">
        <v>0</v>
      </c>
      <c r="P1405">
        <v>0</v>
      </c>
      <c r="Q1405">
        <v>0</v>
      </c>
      <c r="R1405" t="s">
        <v>243</v>
      </c>
    </row>
    <row r="1406" spans="1:18" x14ac:dyDescent="0.3">
      <c r="A1406" t="s">
        <v>259</v>
      </c>
      <c r="B1406" t="s">
        <v>34</v>
      </c>
      <c r="C1406" t="s">
        <v>345</v>
      </c>
      <c r="D1406" s="8">
        <v>1.35084E-4</v>
      </c>
      <c r="E1406" s="8">
        <v>4.3565E-5</v>
      </c>
      <c r="F1406" s="8">
        <v>3.9637700000000002E-5</v>
      </c>
      <c r="G1406" s="8">
        <v>3.3334100000000003E-5</v>
      </c>
      <c r="H1406" s="8">
        <v>3.6365799999999997E-5</v>
      </c>
      <c r="I1406" s="8">
        <v>4.0159700000000001E-5</v>
      </c>
      <c r="J1406" s="8">
        <v>4.1423849999999998E-5</v>
      </c>
      <c r="K1406" s="8">
        <v>4.2698760000000002E-5</v>
      </c>
      <c r="L1406" s="8">
        <v>4.4079300000000003E-5</v>
      </c>
      <c r="M1406" s="8">
        <v>4.5332489999999999E-5</v>
      </c>
      <c r="N1406" s="8">
        <v>4.6378739999999898E-5</v>
      </c>
      <c r="O1406">
        <v>0</v>
      </c>
      <c r="P1406">
        <v>0</v>
      </c>
      <c r="Q1406">
        <v>0</v>
      </c>
      <c r="R1406" t="s">
        <v>243</v>
      </c>
    </row>
    <row r="1407" spans="1:18" x14ac:dyDescent="0.3">
      <c r="A1407" t="s">
        <v>259</v>
      </c>
      <c r="B1407" t="s">
        <v>34</v>
      </c>
      <c r="C1407" t="s">
        <v>346</v>
      </c>
      <c r="D1407" s="8">
        <v>8.7203400000000005E-4</v>
      </c>
      <c r="E1407" s="8">
        <v>3.0291900000000002E-4</v>
      </c>
      <c r="F1407" s="8">
        <v>2.9321000000000002E-4</v>
      </c>
      <c r="G1407" s="8">
        <v>2.6969E-4</v>
      </c>
      <c r="H1407" s="8">
        <v>3.0213099999999899E-4</v>
      </c>
      <c r="I1407" s="8">
        <v>2.6247059999999999E-4</v>
      </c>
      <c r="J1407" s="8">
        <v>2.012339E-4</v>
      </c>
      <c r="K1407" s="8">
        <v>1.9592699999999901E-4</v>
      </c>
      <c r="L1407" s="8">
        <v>1.9231939999999999E-4</v>
      </c>
      <c r="M1407" s="8">
        <v>1.898503E-4</v>
      </c>
      <c r="N1407" s="8">
        <v>1.88705E-4</v>
      </c>
      <c r="O1407">
        <v>0</v>
      </c>
      <c r="P1407">
        <v>0</v>
      </c>
      <c r="Q1407">
        <v>0</v>
      </c>
      <c r="R1407" t="s">
        <v>243</v>
      </c>
    </row>
    <row r="1408" spans="1:18" x14ac:dyDescent="0.3">
      <c r="A1408" t="s">
        <v>259</v>
      </c>
      <c r="B1408" t="s">
        <v>34</v>
      </c>
      <c r="C1408" t="s">
        <v>347</v>
      </c>
      <c r="D1408" s="8">
        <v>6.6117900000000002E-4</v>
      </c>
      <c r="E1408" s="8">
        <v>2.3425099999999999E-4</v>
      </c>
      <c r="F1408" s="8">
        <v>2.2077899999999999E-4</v>
      </c>
      <c r="G1408" s="8">
        <v>1.97951E-4</v>
      </c>
      <c r="H1408" s="8">
        <v>2.178619E-4</v>
      </c>
      <c r="I1408" s="8">
        <v>1.9324930000000001E-4</v>
      </c>
      <c r="J1408" s="8">
        <v>1.7611349999999999E-4</v>
      </c>
      <c r="K1408" s="8">
        <v>1.7863659999999999E-4</v>
      </c>
      <c r="L1408" s="8">
        <v>1.820918E-4</v>
      </c>
      <c r="M1408" s="8">
        <v>1.8544779999999999E-4</v>
      </c>
      <c r="N1408" s="8">
        <v>1.8869310000000001E-4</v>
      </c>
      <c r="O1408">
        <v>0</v>
      </c>
      <c r="P1408">
        <v>0</v>
      </c>
      <c r="Q1408">
        <v>0</v>
      </c>
      <c r="R1408" t="s">
        <v>243</v>
      </c>
    </row>
    <row r="1409" spans="1:18" x14ac:dyDescent="0.3">
      <c r="A1409" t="s">
        <v>259</v>
      </c>
      <c r="B1409" t="s">
        <v>34</v>
      </c>
      <c r="C1409" t="s">
        <v>348</v>
      </c>
      <c r="D1409" s="8">
        <v>5.5261199999999996E-4</v>
      </c>
      <c r="E1409" s="8">
        <v>1.9460699999999999E-4</v>
      </c>
      <c r="F1409" s="8">
        <v>1.8059799999999999E-4</v>
      </c>
      <c r="G1409" s="8">
        <v>1.5906899999999999E-4</v>
      </c>
      <c r="H1409" s="8">
        <v>1.747474E-4</v>
      </c>
      <c r="I1409" s="8">
        <v>1.719197E-4</v>
      </c>
      <c r="J1409" s="8">
        <v>1.7375619999999999E-4</v>
      </c>
      <c r="K1409" s="8">
        <v>1.7803670000000001E-4</v>
      </c>
      <c r="L1409" s="8">
        <v>1.8306299999999999E-4</v>
      </c>
      <c r="M1409" s="8">
        <v>1.8781329999999999E-4</v>
      </c>
      <c r="N1409" s="8">
        <v>1.92127E-4</v>
      </c>
      <c r="O1409">
        <v>0</v>
      </c>
      <c r="P1409">
        <v>0</v>
      </c>
      <c r="Q1409">
        <v>0</v>
      </c>
      <c r="R1409" t="s">
        <v>243</v>
      </c>
    </row>
    <row r="1410" spans="1:18" x14ac:dyDescent="0.3">
      <c r="A1410" t="s">
        <v>259</v>
      </c>
      <c r="B1410" t="s">
        <v>34</v>
      </c>
      <c r="C1410" t="s">
        <v>349</v>
      </c>
      <c r="D1410" s="8">
        <v>4.7088400000000003E-4</v>
      </c>
      <c r="E1410" s="8">
        <v>1.64532E-4</v>
      </c>
      <c r="F1410" s="8">
        <v>1.5241300000000001E-4</v>
      </c>
      <c r="G1410" s="8">
        <v>1.3320899999999999E-4</v>
      </c>
      <c r="H1410" s="8">
        <v>1.463371E-4</v>
      </c>
      <c r="I1410" s="8">
        <v>1.613462E-4</v>
      </c>
      <c r="J1410" s="8">
        <v>1.6887130000000001E-4</v>
      </c>
      <c r="K1410" s="8">
        <v>1.7432050000000001E-4</v>
      </c>
      <c r="L1410" s="8">
        <v>1.8041239999999999E-4</v>
      </c>
      <c r="M1410" s="8">
        <v>1.8607730000000001E-4</v>
      </c>
      <c r="N1410" s="8">
        <v>1.9101719999999999E-4</v>
      </c>
      <c r="O1410">
        <v>0</v>
      </c>
      <c r="P1410">
        <v>0</v>
      </c>
      <c r="Q1410">
        <v>0</v>
      </c>
      <c r="R1410" t="s">
        <v>243</v>
      </c>
    </row>
    <row r="1411" spans="1:18" x14ac:dyDescent="0.3">
      <c r="A1411" t="s">
        <v>259</v>
      </c>
      <c r="B1411" t="s">
        <v>34</v>
      </c>
      <c r="C1411" t="s">
        <v>350</v>
      </c>
      <c r="D1411" s="8">
        <v>4.0468399999999999E-4</v>
      </c>
      <c r="E1411" s="8">
        <v>1.4072800000000001E-4</v>
      </c>
      <c r="F1411" s="8">
        <v>1.29918E-4</v>
      </c>
      <c r="G1411" s="8">
        <v>1.1258E-4</v>
      </c>
      <c r="H1411" s="8">
        <v>1.2367079999999999E-4</v>
      </c>
      <c r="I1411" s="8">
        <v>1.3780859999999999E-4</v>
      </c>
      <c r="J1411" s="8">
        <v>1.424009E-4</v>
      </c>
      <c r="K1411" s="8">
        <v>1.4697479999999999E-4</v>
      </c>
      <c r="L1411" s="8">
        <v>1.5202769999999999E-4</v>
      </c>
      <c r="M1411" s="8">
        <v>1.5677059999999999E-4</v>
      </c>
      <c r="N1411" s="8">
        <v>1.608759E-4</v>
      </c>
      <c r="O1411">
        <v>0</v>
      </c>
      <c r="P1411">
        <v>0</v>
      </c>
      <c r="Q1411">
        <v>0</v>
      </c>
      <c r="R1411" t="s">
        <v>243</v>
      </c>
    </row>
    <row r="1412" spans="1:18" x14ac:dyDescent="0.3">
      <c r="A1412" t="s">
        <v>259</v>
      </c>
      <c r="B1412" t="s">
        <v>34</v>
      </c>
      <c r="C1412" t="s">
        <v>351</v>
      </c>
      <c r="D1412" s="8">
        <v>3.4525300000000001E-4</v>
      </c>
      <c r="E1412" s="8">
        <v>1.2005799999999999E-4</v>
      </c>
      <c r="F1412" s="8">
        <v>1.1029E-4</v>
      </c>
      <c r="G1412" s="8">
        <v>9.5354900000000004E-5</v>
      </c>
      <c r="H1412" s="8">
        <v>1.048252E-4</v>
      </c>
      <c r="I1412" s="8">
        <v>1.166032E-4</v>
      </c>
      <c r="J1412" s="8">
        <v>1.204378E-4</v>
      </c>
      <c r="K1412" s="8">
        <v>1.2426780000000001E-4</v>
      </c>
      <c r="L1412" s="8">
        <v>1.2850580000000001E-4</v>
      </c>
      <c r="M1412" s="8">
        <v>1.324424E-4</v>
      </c>
      <c r="N1412" s="8">
        <v>1.3581229999999999E-4</v>
      </c>
      <c r="O1412">
        <v>0</v>
      </c>
      <c r="P1412">
        <v>0</v>
      </c>
      <c r="Q1412">
        <v>0</v>
      </c>
      <c r="R1412" t="s">
        <v>243</v>
      </c>
    </row>
    <row r="1413" spans="1:18" x14ac:dyDescent="0.3">
      <c r="A1413" t="s">
        <v>259</v>
      </c>
      <c r="B1413" t="s">
        <v>34</v>
      </c>
      <c r="C1413" t="s">
        <v>352</v>
      </c>
      <c r="D1413" s="8">
        <v>2.9077600000000002E-4</v>
      </c>
      <c r="E1413" s="8">
        <v>1.00047E-4</v>
      </c>
      <c r="F1413" s="8">
        <v>9.1844799999999999E-5</v>
      </c>
      <c r="G1413" s="8">
        <v>7.7845399999999998E-5</v>
      </c>
      <c r="H1413" s="8">
        <v>8.5375999999999895E-5</v>
      </c>
      <c r="I1413" s="8">
        <v>9.4858200000000006E-5</v>
      </c>
      <c r="J1413" s="8">
        <v>9.7967200000000006E-5</v>
      </c>
      <c r="K1413" s="8">
        <v>1.0105450000000001E-4</v>
      </c>
      <c r="L1413" s="8">
        <v>1.044433E-4</v>
      </c>
      <c r="M1413" s="8">
        <v>1.075793E-4</v>
      </c>
      <c r="N1413" s="8">
        <v>1.102663E-4</v>
      </c>
      <c r="O1413">
        <v>0</v>
      </c>
      <c r="P1413">
        <v>0</v>
      </c>
      <c r="Q1413">
        <v>0</v>
      </c>
      <c r="R1413" t="s">
        <v>243</v>
      </c>
    </row>
    <row r="1414" spans="1:18" x14ac:dyDescent="0.3">
      <c r="A1414" t="s">
        <v>259</v>
      </c>
      <c r="B1414" t="s">
        <v>34</v>
      </c>
      <c r="C1414" t="s">
        <v>353</v>
      </c>
      <c r="D1414" s="8">
        <v>2.2834099999999999E-4</v>
      </c>
      <c r="E1414" s="8">
        <v>7.8103900000000003E-5</v>
      </c>
      <c r="F1414" s="8">
        <v>7.1675300000000001E-5</v>
      </c>
      <c r="G1414" s="8">
        <v>6.1367900000000006E-5</v>
      </c>
      <c r="H1414" s="8">
        <v>6.7336199999999994E-5</v>
      </c>
      <c r="I1414" s="8">
        <v>7.4676499999999996E-5</v>
      </c>
      <c r="J1414" s="8">
        <v>7.7090700000000004E-5</v>
      </c>
      <c r="K1414" s="8">
        <v>7.9515699999999995E-5</v>
      </c>
      <c r="L1414" s="8">
        <v>8.2179E-5</v>
      </c>
      <c r="M1414" s="8">
        <v>8.4631900000000005E-5</v>
      </c>
      <c r="N1414" s="8">
        <v>8.6708700000000006E-5</v>
      </c>
      <c r="O1414">
        <v>0</v>
      </c>
      <c r="P1414">
        <v>0</v>
      </c>
      <c r="Q1414">
        <v>0</v>
      </c>
      <c r="R1414" t="s">
        <v>243</v>
      </c>
    </row>
    <row r="1415" spans="1:18" x14ac:dyDescent="0.3">
      <c r="A1415" t="s">
        <v>259</v>
      </c>
      <c r="B1415" t="s">
        <v>34</v>
      </c>
      <c r="C1415" t="s">
        <v>294</v>
      </c>
      <c r="D1415" s="8">
        <v>2.03736879E-4</v>
      </c>
      <c r="E1415">
        <v>1.0988634199999999E-3</v>
      </c>
      <c r="F1415">
        <v>1.1319374600000001E-3</v>
      </c>
      <c r="G1415" s="8">
        <v>9.5578454000000001E-4</v>
      </c>
      <c r="H1415">
        <v>1.2222903699999901E-3</v>
      </c>
      <c r="I1415">
        <v>1.49418056999999E-3</v>
      </c>
      <c r="J1415">
        <v>1.6269021249999899E-3</v>
      </c>
      <c r="K1415">
        <v>1.728567573E-3</v>
      </c>
      <c r="L1415">
        <v>1.8451934600000001E-3</v>
      </c>
      <c r="M1415">
        <v>1.972175655E-3</v>
      </c>
      <c r="N1415">
        <v>2.1038380320000001E-3</v>
      </c>
      <c r="O1415">
        <v>0</v>
      </c>
      <c r="P1415">
        <v>0</v>
      </c>
      <c r="Q1415">
        <v>0</v>
      </c>
      <c r="R1415" t="s">
        <v>243</v>
      </c>
    </row>
    <row r="1416" spans="1:18" x14ac:dyDescent="0.3">
      <c r="A1416" t="s">
        <v>259</v>
      </c>
      <c r="B1416" t="s">
        <v>34</v>
      </c>
      <c r="C1416" t="s">
        <v>295</v>
      </c>
      <c r="D1416">
        <v>1.3378431889999999E-3</v>
      </c>
      <c r="E1416">
        <v>3.3890694500000001E-3</v>
      </c>
      <c r="F1416">
        <v>4.0913169999999997E-3</v>
      </c>
      <c r="G1416">
        <v>2.8282858999999902E-3</v>
      </c>
      <c r="H1416">
        <v>2.9861970699999901E-3</v>
      </c>
      <c r="I1416">
        <v>3.2526215500000002E-3</v>
      </c>
      <c r="J1416">
        <v>3.2679817699999901E-3</v>
      </c>
      <c r="K1416">
        <v>3.3448712999999998E-3</v>
      </c>
      <c r="L1416">
        <v>3.4230786799999999E-3</v>
      </c>
      <c r="M1416">
        <v>3.4847969099999999E-3</v>
      </c>
      <c r="N1416">
        <v>3.5416864299999901E-3</v>
      </c>
      <c r="O1416">
        <v>0</v>
      </c>
      <c r="P1416">
        <v>0</v>
      </c>
      <c r="Q1416">
        <v>0</v>
      </c>
      <c r="R1416" t="s">
        <v>243</v>
      </c>
    </row>
    <row r="1417" spans="1:18" x14ac:dyDescent="0.3">
      <c r="A1417" t="s">
        <v>259</v>
      </c>
      <c r="B1417" t="s">
        <v>34</v>
      </c>
      <c r="C1417" t="s">
        <v>296</v>
      </c>
      <c r="D1417" s="8">
        <v>3.2612974499999999E-4</v>
      </c>
      <c r="E1417">
        <v>1.64926902999999E-3</v>
      </c>
      <c r="F1417">
        <v>1.7496644399999999E-3</v>
      </c>
      <c r="G1417">
        <v>1.4375437699999901E-3</v>
      </c>
      <c r="H1417">
        <v>1.71979644E-3</v>
      </c>
      <c r="I1417">
        <v>2.0351143599999901E-3</v>
      </c>
      <c r="J1417">
        <v>2.16272889E-3</v>
      </c>
      <c r="K1417">
        <v>2.2733737110000002E-3</v>
      </c>
      <c r="L1417">
        <v>2.3912925099999999E-3</v>
      </c>
      <c r="M1417">
        <v>2.5096104199999998E-3</v>
      </c>
      <c r="N1417">
        <v>2.6239079300000002E-3</v>
      </c>
      <c r="O1417">
        <v>0</v>
      </c>
      <c r="P1417">
        <v>0</v>
      </c>
      <c r="Q1417">
        <v>0</v>
      </c>
      <c r="R1417" t="s">
        <v>243</v>
      </c>
    </row>
    <row r="1418" spans="1:18" x14ac:dyDescent="0.3">
      <c r="A1418" t="s">
        <v>259</v>
      </c>
      <c r="B1418" t="s">
        <v>34</v>
      </c>
      <c r="C1418" t="s">
        <v>297</v>
      </c>
      <c r="D1418" s="8">
        <v>4.3208985900000001E-4</v>
      </c>
      <c r="E1418">
        <v>1.9557885200000001E-3</v>
      </c>
      <c r="F1418">
        <v>2.1442050699999999E-3</v>
      </c>
      <c r="G1418">
        <v>1.72729083E-3</v>
      </c>
      <c r="H1418">
        <v>1.9310373499999999E-3</v>
      </c>
      <c r="I1418">
        <v>2.3428370399999998E-3</v>
      </c>
      <c r="J1418">
        <v>2.4455960299999998E-3</v>
      </c>
      <c r="K1418">
        <v>2.54594607E-3</v>
      </c>
      <c r="L1418">
        <v>2.6495911200000001E-3</v>
      </c>
      <c r="M1418">
        <v>2.74814132E-3</v>
      </c>
      <c r="N1418">
        <v>2.8407688099999899E-3</v>
      </c>
      <c r="O1418">
        <v>0</v>
      </c>
      <c r="P1418">
        <v>0</v>
      </c>
      <c r="Q1418">
        <v>0</v>
      </c>
      <c r="R1418" t="s">
        <v>243</v>
      </c>
    </row>
    <row r="1419" spans="1:18" x14ac:dyDescent="0.3">
      <c r="A1419" t="s">
        <v>259</v>
      </c>
      <c r="B1419" t="s">
        <v>34</v>
      </c>
      <c r="C1419" t="s">
        <v>298</v>
      </c>
      <c r="D1419" s="8">
        <v>5.1216163199999901E-4</v>
      </c>
      <c r="E1419">
        <v>2.1757967700000002E-3</v>
      </c>
      <c r="F1419">
        <v>2.43431820999999E-3</v>
      </c>
      <c r="G1419">
        <v>1.9277253999999901E-3</v>
      </c>
      <c r="H1419">
        <v>2.1295230500000002E-3</v>
      </c>
      <c r="I1419">
        <v>2.5229683499999899E-3</v>
      </c>
      <c r="J1419">
        <v>2.6069764099999901E-3</v>
      </c>
      <c r="K1419">
        <v>2.70135942E-3</v>
      </c>
      <c r="L1419">
        <v>2.7979955500000001E-3</v>
      </c>
      <c r="M1419">
        <v>2.8859161999999902E-3</v>
      </c>
      <c r="N1419">
        <v>2.9662845699999999E-3</v>
      </c>
      <c r="O1419">
        <v>0</v>
      </c>
      <c r="P1419">
        <v>0</v>
      </c>
      <c r="Q1419">
        <v>0</v>
      </c>
      <c r="R1419" t="s">
        <v>243</v>
      </c>
    </row>
    <row r="1420" spans="1:18" x14ac:dyDescent="0.3">
      <c r="A1420" t="s">
        <v>259</v>
      </c>
      <c r="B1420" t="s">
        <v>34</v>
      </c>
      <c r="C1420" t="s">
        <v>299</v>
      </c>
      <c r="D1420" s="8">
        <v>5.9105980399999896E-4</v>
      </c>
      <c r="E1420">
        <v>2.36825578E-3</v>
      </c>
      <c r="F1420">
        <v>2.6789830799999999E-3</v>
      </c>
      <c r="G1420">
        <v>2.0815808999999998E-3</v>
      </c>
      <c r="H1420">
        <v>2.2862301400000001E-3</v>
      </c>
      <c r="I1420">
        <v>2.6590298000000001E-3</v>
      </c>
      <c r="J1420">
        <v>2.7274059199999998E-3</v>
      </c>
      <c r="K1420">
        <v>2.8152460199999999E-3</v>
      </c>
      <c r="L1420">
        <v>2.9060534799999998E-3</v>
      </c>
      <c r="M1420">
        <v>2.9850940799999999E-3</v>
      </c>
      <c r="N1420">
        <v>3.0566584199999999E-3</v>
      </c>
      <c r="O1420">
        <v>0</v>
      </c>
      <c r="P1420">
        <v>0</v>
      </c>
      <c r="Q1420">
        <v>0</v>
      </c>
      <c r="R1420" t="s">
        <v>243</v>
      </c>
    </row>
    <row r="1421" spans="1:18" x14ac:dyDescent="0.3">
      <c r="A1421" t="s">
        <v>259</v>
      </c>
      <c r="B1421" t="s">
        <v>34</v>
      </c>
      <c r="C1421" t="s">
        <v>300</v>
      </c>
      <c r="D1421" s="8">
        <v>6.7183489299999996E-4</v>
      </c>
      <c r="E1421">
        <v>2.5376972200000002E-3</v>
      </c>
      <c r="F1421">
        <v>2.9035850200000001E-3</v>
      </c>
      <c r="G1421">
        <v>2.2167127999999999E-3</v>
      </c>
      <c r="H1421">
        <v>2.4204441599999901E-3</v>
      </c>
      <c r="I1421">
        <v>2.7691189299999999E-3</v>
      </c>
      <c r="J1421">
        <v>2.82270088E-3</v>
      </c>
      <c r="K1421">
        <v>2.9060819999999999E-3</v>
      </c>
      <c r="L1421">
        <v>2.99086664999999E-3</v>
      </c>
      <c r="M1421">
        <v>3.0639137600000001E-3</v>
      </c>
      <c r="N1421">
        <v>3.1302074700000002E-3</v>
      </c>
      <c r="O1421">
        <v>0</v>
      </c>
      <c r="P1421">
        <v>0</v>
      </c>
      <c r="Q1421">
        <v>0</v>
      </c>
      <c r="R1421" t="s">
        <v>243</v>
      </c>
    </row>
    <row r="1422" spans="1:18" x14ac:dyDescent="0.3">
      <c r="A1422" t="s">
        <v>259</v>
      </c>
      <c r="B1422" t="s">
        <v>34</v>
      </c>
      <c r="C1422" t="s">
        <v>301</v>
      </c>
      <c r="D1422" s="8">
        <v>7.6216909299999902E-4</v>
      </c>
      <c r="E1422">
        <v>2.6973214299999999E-3</v>
      </c>
      <c r="F1422">
        <v>3.1232336100000002E-3</v>
      </c>
      <c r="G1422">
        <v>2.3375976000000001E-3</v>
      </c>
      <c r="H1422">
        <v>2.5412911799999999E-3</v>
      </c>
      <c r="I1422">
        <v>2.8652781099999902E-3</v>
      </c>
      <c r="J1422">
        <v>2.9066412999999998E-3</v>
      </c>
      <c r="K1422">
        <v>2.98575676E-3</v>
      </c>
      <c r="L1422">
        <v>3.0668652500000001E-3</v>
      </c>
      <c r="M1422">
        <v>3.1346720100000002E-3</v>
      </c>
      <c r="N1422">
        <v>3.1963282499999999E-3</v>
      </c>
      <c r="O1422">
        <v>0</v>
      </c>
      <c r="P1422">
        <v>0</v>
      </c>
      <c r="Q1422">
        <v>0</v>
      </c>
      <c r="R1422" t="s">
        <v>243</v>
      </c>
    </row>
    <row r="1423" spans="1:18" x14ac:dyDescent="0.3">
      <c r="A1423" t="s">
        <v>259</v>
      </c>
      <c r="B1423" t="s">
        <v>34</v>
      </c>
      <c r="C1423" t="s">
        <v>302</v>
      </c>
      <c r="D1423" s="8">
        <v>8.6513730199999997E-4</v>
      </c>
      <c r="E1423">
        <v>2.8623758899999998E-3</v>
      </c>
      <c r="F1423">
        <v>3.3506228399999998E-3</v>
      </c>
      <c r="G1423">
        <v>2.4669109E-3</v>
      </c>
      <c r="H1423">
        <v>2.6542345999999999E-3</v>
      </c>
      <c r="I1423">
        <v>2.9571204899999999E-3</v>
      </c>
      <c r="J1423">
        <v>2.98863747E-3</v>
      </c>
      <c r="K1423">
        <v>3.0648793599999998E-3</v>
      </c>
      <c r="L1423">
        <v>3.14272246E-3</v>
      </c>
      <c r="M1423">
        <v>3.2068554499999902E-3</v>
      </c>
      <c r="N1423">
        <v>3.26635485999999E-3</v>
      </c>
      <c r="O1423">
        <v>0</v>
      </c>
      <c r="P1423">
        <v>0</v>
      </c>
      <c r="Q1423">
        <v>0</v>
      </c>
      <c r="R1423" t="s">
        <v>243</v>
      </c>
    </row>
    <row r="1424" spans="1:18" x14ac:dyDescent="0.3">
      <c r="A1424" t="s">
        <v>259</v>
      </c>
      <c r="B1424" t="s">
        <v>34</v>
      </c>
      <c r="C1424" t="s">
        <v>303</v>
      </c>
      <c r="D1424">
        <v>1.0159606310000001E-3</v>
      </c>
      <c r="E1424">
        <v>3.0542208100000001E-3</v>
      </c>
      <c r="F1424">
        <v>3.62125344E-3</v>
      </c>
      <c r="G1424">
        <v>2.5933953999999898E-3</v>
      </c>
      <c r="H1424">
        <v>2.7752116099999998E-3</v>
      </c>
      <c r="I1424">
        <v>3.0575344500000001E-3</v>
      </c>
      <c r="J1424">
        <v>3.0804947099999998E-3</v>
      </c>
      <c r="K1424">
        <v>3.1561826999999998E-3</v>
      </c>
      <c r="L1424">
        <v>3.2342375099999902E-3</v>
      </c>
      <c r="M1424">
        <v>3.2978006199999902E-3</v>
      </c>
      <c r="N1424">
        <v>3.3565730499999901E-3</v>
      </c>
      <c r="O1424">
        <v>0</v>
      </c>
      <c r="P1424">
        <v>0</v>
      </c>
      <c r="Q1424">
        <v>0</v>
      </c>
      <c r="R1424" t="s">
        <v>243</v>
      </c>
    </row>
    <row r="1425" spans="1:18" x14ac:dyDescent="0.3">
      <c r="A1425" t="s">
        <v>259</v>
      </c>
      <c r="B1425" t="s">
        <v>34</v>
      </c>
      <c r="C1425" t="s">
        <v>304</v>
      </c>
      <c r="D1425" s="8">
        <v>4.9974199999999996E-4</v>
      </c>
      <c r="E1425">
        <v>1.2884000000000001E-3</v>
      </c>
      <c r="F1425">
        <v>1.44819E-3</v>
      </c>
      <c r="G1425">
        <v>1.42238E-3</v>
      </c>
      <c r="H1425">
        <v>1.751133E-3</v>
      </c>
      <c r="I1425">
        <v>1.9423999999999999E-3</v>
      </c>
      <c r="J1425">
        <v>2.0220159999999902E-3</v>
      </c>
      <c r="K1425">
        <v>2.09516E-3</v>
      </c>
      <c r="L1425">
        <v>2.177249E-3</v>
      </c>
      <c r="M1425">
        <v>2.2554899999999902E-3</v>
      </c>
      <c r="N1425">
        <v>2.3256599999999998E-3</v>
      </c>
      <c r="O1425">
        <v>0</v>
      </c>
      <c r="P1425">
        <v>0</v>
      </c>
      <c r="Q1425">
        <v>0</v>
      </c>
      <c r="R1425" t="s">
        <v>243</v>
      </c>
    </row>
    <row r="1426" spans="1:18" x14ac:dyDescent="0.3">
      <c r="A1426" t="s">
        <v>259</v>
      </c>
      <c r="B1426" t="s">
        <v>34</v>
      </c>
      <c r="C1426" t="s">
        <v>305</v>
      </c>
      <c r="D1426">
        <v>1.4090000000000001E-3</v>
      </c>
      <c r="E1426">
        <v>2.2556299999999998E-3</v>
      </c>
      <c r="F1426">
        <v>2.5505699999999998E-3</v>
      </c>
      <c r="G1426">
        <v>2.2897500000000001E-3</v>
      </c>
      <c r="H1426">
        <v>2.4979299999999898E-3</v>
      </c>
      <c r="I1426">
        <v>2.75844E-3</v>
      </c>
      <c r="J1426">
        <v>2.845176E-3</v>
      </c>
      <c r="K1426">
        <v>2.932755E-3</v>
      </c>
      <c r="L1426">
        <v>3.0275699999999998E-3</v>
      </c>
      <c r="M1426">
        <v>3.1136480000000001E-3</v>
      </c>
      <c r="N1426">
        <v>3.1855E-3</v>
      </c>
      <c r="O1426">
        <v>0</v>
      </c>
      <c r="P1426">
        <v>0</v>
      </c>
      <c r="Q1426">
        <v>0</v>
      </c>
      <c r="R1426" t="s">
        <v>243</v>
      </c>
    </row>
    <row r="1427" spans="1:18" x14ac:dyDescent="0.3">
      <c r="A1427" t="s">
        <v>259</v>
      </c>
      <c r="B1427" t="s">
        <v>34</v>
      </c>
      <c r="C1427" t="s">
        <v>306</v>
      </c>
      <c r="D1427" s="8">
        <v>7.0670499999999996E-4</v>
      </c>
      <c r="E1427">
        <v>1.57877E-3</v>
      </c>
      <c r="F1427">
        <v>1.7894E-3</v>
      </c>
      <c r="G1427">
        <v>1.6946800000000001E-3</v>
      </c>
      <c r="H1427">
        <v>1.9339629999999999E-3</v>
      </c>
      <c r="I1427">
        <v>2.135723E-3</v>
      </c>
      <c r="J1427">
        <v>2.214616E-3</v>
      </c>
      <c r="K1427">
        <v>2.2900709999999999E-3</v>
      </c>
      <c r="L1427">
        <v>2.3738240000000001E-3</v>
      </c>
      <c r="M1427">
        <v>2.4537999999999999E-3</v>
      </c>
      <c r="N1427">
        <v>2.5253939999999998E-3</v>
      </c>
      <c r="O1427">
        <v>0</v>
      </c>
      <c r="P1427">
        <v>0</v>
      </c>
      <c r="Q1427">
        <v>0</v>
      </c>
      <c r="R1427" t="s">
        <v>243</v>
      </c>
    </row>
    <row r="1428" spans="1:18" x14ac:dyDescent="0.3">
      <c r="A1428" t="s">
        <v>259</v>
      </c>
      <c r="B1428" t="s">
        <v>34</v>
      </c>
      <c r="C1428" t="s">
        <v>307</v>
      </c>
      <c r="D1428" s="8">
        <v>8.4818000000000003E-4</v>
      </c>
      <c r="E1428">
        <v>1.69651E-3</v>
      </c>
      <c r="F1428">
        <v>1.9367500000000001E-3</v>
      </c>
      <c r="G1428">
        <v>1.8073099999999999E-3</v>
      </c>
      <c r="H1428">
        <v>1.9999309999999999E-3</v>
      </c>
      <c r="I1428">
        <v>2.2406609999999902E-3</v>
      </c>
      <c r="J1428">
        <v>2.3192040000000001E-3</v>
      </c>
      <c r="K1428">
        <v>2.3953099999999999E-3</v>
      </c>
      <c r="L1428">
        <v>2.4796150000000001E-3</v>
      </c>
      <c r="M1428">
        <v>2.5592660000000001E-3</v>
      </c>
      <c r="N1428">
        <v>2.6301329999999898E-3</v>
      </c>
      <c r="O1428">
        <v>0</v>
      </c>
      <c r="P1428">
        <v>0</v>
      </c>
      <c r="Q1428">
        <v>0</v>
      </c>
      <c r="R1428" t="s">
        <v>243</v>
      </c>
    </row>
    <row r="1429" spans="1:18" x14ac:dyDescent="0.3">
      <c r="A1429" t="s">
        <v>259</v>
      </c>
      <c r="B1429" t="s">
        <v>34</v>
      </c>
      <c r="C1429" t="s">
        <v>308</v>
      </c>
      <c r="D1429" s="8">
        <v>9.3679799999999997E-4</v>
      </c>
      <c r="E1429">
        <v>1.7709100000000001E-3</v>
      </c>
      <c r="F1429">
        <v>2.0258699999999999E-3</v>
      </c>
      <c r="G1429">
        <v>1.87609E-3</v>
      </c>
      <c r="H1429">
        <v>2.0648400000000001E-3</v>
      </c>
      <c r="I1429">
        <v>2.3081569999999999E-3</v>
      </c>
      <c r="J1429">
        <v>2.3873929999999998E-3</v>
      </c>
      <c r="K1429">
        <v>2.4652540000000001E-3</v>
      </c>
      <c r="L1429">
        <v>2.5515360000000001E-3</v>
      </c>
      <c r="M1429">
        <v>2.6327989999999999E-3</v>
      </c>
      <c r="N1429">
        <v>2.7041909999999999E-3</v>
      </c>
      <c r="O1429">
        <v>0</v>
      </c>
      <c r="P1429">
        <v>0</v>
      </c>
      <c r="Q1429">
        <v>0</v>
      </c>
      <c r="R1429" t="s">
        <v>243</v>
      </c>
    </row>
    <row r="1430" spans="1:18" x14ac:dyDescent="0.3">
      <c r="A1430" t="s">
        <v>259</v>
      </c>
      <c r="B1430" t="s">
        <v>34</v>
      </c>
      <c r="C1430" t="s">
        <v>309</v>
      </c>
      <c r="D1430">
        <v>1.0115199999999999E-3</v>
      </c>
      <c r="E1430">
        <v>1.8328699999999999E-3</v>
      </c>
      <c r="F1430">
        <v>2.0939700000000001E-3</v>
      </c>
      <c r="G1430">
        <v>1.9279799999999999E-3</v>
      </c>
      <c r="H1430">
        <v>2.1193649999999998E-3</v>
      </c>
      <c r="I1430">
        <v>2.3655569999999999E-3</v>
      </c>
      <c r="J1430">
        <v>2.4457469999999999E-3</v>
      </c>
      <c r="K1430">
        <v>2.5245789999999999E-3</v>
      </c>
      <c r="L1430">
        <v>2.6126500000000002E-3</v>
      </c>
      <c r="M1430">
        <v>2.6948129999999999E-3</v>
      </c>
      <c r="N1430">
        <v>2.7663289999999901E-3</v>
      </c>
      <c r="O1430">
        <v>0</v>
      </c>
      <c r="P1430">
        <v>0</v>
      </c>
      <c r="Q1430">
        <v>0</v>
      </c>
      <c r="R1430" t="s">
        <v>243</v>
      </c>
    </row>
    <row r="1431" spans="1:18" x14ac:dyDescent="0.3">
      <c r="A1431" t="s">
        <v>259</v>
      </c>
      <c r="B1431" t="s">
        <v>34</v>
      </c>
      <c r="C1431" t="s">
        <v>310</v>
      </c>
      <c r="D1431">
        <v>1.0772799999999999E-3</v>
      </c>
      <c r="E1431">
        <v>1.8873799999999999E-3</v>
      </c>
      <c r="F1431">
        <v>2.1539300000000001E-3</v>
      </c>
      <c r="G1431">
        <v>1.9751999999999999E-3</v>
      </c>
      <c r="H1431">
        <v>2.170192E-3</v>
      </c>
      <c r="I1431">
        <v>2.4182090000000002E-3</v>
      </c>
      <c r="J1431">
        <v>2.498723E-3</v>
      </c>
      <c r="K1431">
        <v>2.5789769999999901E-3</v>
      </c>
      <c r="L1431">
        <v>2.6676410000000001E-3</v>
      </c>
      <c r="M1431">
        <v>2.7508599999999999E-3</v>
      </c>
      <c r="N1431">
        <v>2.8229010000000001E-3</v>
      </c>
      <c r="O1431">
        <v>0</v>
      </c>
      <c r="P1431">
        <v>0</v>
      </c>
      <c r="Q1431">
        <v>0</v>
      </c>
      <c r="R1431" t="s">
        <v>243</v>
      </c>
    </row>
    <row r="1432" spans="1:18" x14ac:dyDescent="0.3">
      <c r="A1432" t="s">
        <v>259</v>
      </c>
      <c r="B1432" t="s">
        <v>34</v>
      </c>
      <c r="C1432" t="s">
        <v>311</v>
      </c>
      <c r="D1432">
        <v>1.1402999999999999E-3</v>
      </c>
      <c r="E1432">
        <v>1.9407000000000001E-3</v>
      </c>
      <c r="F1432">
        <v>2.2126400000000001E-3</v>
      </c>
      <c r="G1432">
        <v>2.0205700000000002E-3</v>
      </c>
      <c r="H1432">
        <v>2.2213199999999902E-3</v>
      </c>
      <c r="I1432">
        <v>2.4708149999999999E-3</v>
      </c>
      <c r="J1432">
        <v>2.5519879999999998E-3</v>
      </c>
      <c r="K1432">
        <v>2.6331499999999999E-3</v>
      </c>
      <c r="L1432">
        <v>2.72295E-3</v>
      </c>
      <c r="M1432">
        <v>2.8063630000000001E-3</v>
      </c>
      <c r="N1432">
        <v>2.8777630000000002E-3</v>
      </c>
      <c r="O1432">
        <v>0</v>
      </c>
      <c r="P1432">
        <v>0</v>
      </c>
      <c r="Q1432">
        <v>0</v>
      </c>
      <c r="R1432" t="s">
        <v>243</v>
      </c>
    </row>
    <row r="1433" spans="1:18" x14ac:dyDescent="0.3">
      <c r="A1433" t="s">
        <v>259</v>
      </c>
      <c r="B1433" t="s">
        <v>34</v>
      </c>
      <c r="C1433" t="s">
        <v>312</v>
      </c>
      <c r="D1433">
        <v>1.2014599999999999E-3</v>
      </c>
      <c r="E1433">
        <v>2.0001200000000002E-3</v>
      </c>
      <c r="F1433">
        <v>2.2760800000000002E-3</v>
      </c>
      <c r="G1433">
        <v>2.0747999999999999E-3</v>
      </c>
      <c r="H1433">
        <v>2.2754699999999999E-3</v>
      </c>
      <c r="I1433">
        <v>2.5281050000000001E-3</v>
      </c>
      <c r="J1433">
        <v>2.6108820000000001E-3</v>
      </c>
      <c r="K1433">
        <v>2.69316E-3</v>
      </c>
      <c r="L1433">
        <v>2.7834699999999902E-3</v>
      </c>
      <c r="M1433">
        <v>2.8670480000000001E-3</v>
      </c>
      <c r="N1433">
        <v>2.9386630000000002E-3</v>
      </c>
      <c r="O1433">
        <v>0</v>
      </c>
      <c r="P1433">
        <v>0</v>
      </c>
      <c r="Q1433">
        <v>0</v>
      </c>
      <c r="R1433" t="s">
        <v>243</v>
      </c>
    </row>
    <row r="1434" spans="1:18" x14ac:dyDescent="0.3">
      <c r="A1434" t="s">
        <v>259</v>
      </c>
      <c r="B1434" t="s">
        <v>34</v>
      </c>
      <c r="C1434" t="s">
        <v>313</v>
      </c>
      <c r="D1434">
        <v>1.27637E-3</v>
      </c>
      <c r="E1434">
        <v>2.07865E-3</v>
      </c>
      <c r="F1434">
        <v>2.3596099999999998E-3</v>
      </c>
      <c r="G1434">
        <v>2.1369499999999999E-3</v>
      </c>
      <c r="H1434">
        <v>2.3447099999999998E-3</v>
      </c>
      <c r="I1434">
        <v>2.600223E-3</v>
      </c>
      <c r="J1434">
        <v>2.6842009999999898E-3</v>
      </c>
      <c r="K1434">
        <v>2.768646E-3</v>
      </c>
      <c r="L1434">
        <v>2.8613760000000001E-3</v>
      </c>
      <c r="M1434">
        <v>2.9467740000000001E-3</v>
      </c>
      <c r="N1434">
        <v>3.0190880000000001E-3</v>
      </c>
      <c r="O1434">
        <v>0</v>
      </c>
      <c r="P1434">
        <v>0</v>
      </c>
      <c r="Q1434">
        <v>0</v>
      </c>
      <c r="R1434" t="s">
        <v>243</v>
      </c>
    </row>
    <row r="1435" spans="1:18" x14ac:dyDescent="0.3">
      <c r="A1435" t="s">
        <v>259</v>
      </c>
      <c r="B1435" t="s">
        <v>34</v>
      </c>
      <c r="C1435" t="s">
        <v>314</v>
      </c>
      <c r="D1435" s="8">
        <v>1.4965E-5</v>
      </c>
      <c r="E1435" s="8">
        <v>3.6971500000000003E-5</v>
      </c>
      <c r="F1435" s="8">
        <v>4.0679900000000003E-5</v>
      </c>
      <c r="G1435" s="8">
        <v>4.0655000000000003E-5</v>
      </c>
      <c r="H1435" s="8">
        <v>7.0419299999999998E-5</v>
      </c>
      <c r="I1435" s="8">
        <v>8.1421799999999994E-5</v>
      </c>
      <c r="J1435" s="8">
        <v>8.9954499999999994E-5</v>
      </c>
      <c r="K1435" s="8">
        <v>9.6755800000000006E-5</v>
      </c>
      <c r="L1435" s="8">
        <v>1.04685E-4</v>
      </c>
      <c r="M1435" s="8">
        <v>1.1324600000000001E-4</v>
      </c>
      <c r="N1435" s="8">
        <v>1.21617E-4</v>
      </c>
      <c r="O1435">
        <v>0</v>
      </c>
      <c r="P1435">
        <v>0</v>
      </c>
      <c r="Q1435">
        <v>0</v>
      </c>
      <c r="R1435" t="s">
        <v>243</v>
      </c>
    </row>
    <row r="1436" spans="1:18" x14ac:dyDescent="0.3">
      <c r="A1436" t="s">
        <v>259</v>
      </c>
      <c r="B1436" t="s">
        <v>34</v>
      </c>
      <c r="C1436" t="s">
        <v>315</v>
      </c>
      <c r="D1436" s="8">
        <v>1.2246499999999999E-4</v>
      </c>
      <c r="E1436" s="8">
        <v>1.6675899999999999E-4</v>
      </c>
      <c r="F1436" s="8">
        <v>1.9144400000000001E-4</v>
      </c>
      <c r="G1436" s="8">
        <v>1.61526E-4</v>
      </c>
      <c r="H1436" s="8">
        <v>1.7442299999999999E-4</v>
      </c>
      <c r="I1436" s="8">
        <v>1.88877E-4</v>
      </c>
      <c r="J1436" s="8">
        <v>1.9202299999999999E-4</v>
      </c>
      <c r="K1436" s="8">
        <v>1.9581000000000001E-4</v>
      </c>
      <c r="L1436" s="8">
        <v>2.0009199999999999E-4</v>
      </c>
      <c r="M1436" s="8">
        <v>2.0385999999999999E-4</v>
      </c>
      <c r="N1436" s="8">
        <v>2.0645099999999999E-4</v>
      </c>
      <c r="O1436">
        <v>0</v>
      </c>
      <c r="P1436">
        <v>0</v>
      </c>
      <c r="Q1436">
        <v>0</v>
      </c>
      <c r="R1436" t="s">
        <v>243</v>
      </c>
    </row>
    <row r="1437" spans="1:18" x14ac:dyDescent="0.3">
      <c r="A1437" t="s">
        <v>259</v>
      </c>
      <c r="B1437" t="s">
        <v>34</v>
      </c>
      <c r="C1437" t="s">
        <v>316</v>
      </c>
      <c r="D1437" s="8">
        <v>2.4444399999999999E-5</v>
      </c>
      <c r="E1437" s="8">
        <v>5.9293699999999998E-5</v>
      </c>
      <c r="F1437" s="8">
        <v>6.5460600000000001E-5</v>
      </c>
      <c r="G1437" s="8">
        <v>6.4612599999999999E-5</v>
      </c>
      <c r="H1437" s="8">
        <v>9.9236900000000005E-5</v>
      </c>
      <c r="I1437" s="8">
        <v>1.12868E-4</v>
      </c>
      <c r="J1437" s="8">
        <v>1.21978E-4</v>
      </c>
      <c r="K1437" s="8">
        <v>1.29326E-4</v>
      </c>
      <c r="L1437" s="8">
        <v>1.3730700000000001E-4</v>
      </c>
      <c r="M1437" s="8">
        <v>1.45308E-4</v>
      </c>
      <c r="N1437" s="8">
        <v>1.52323E-4</v>
      </c>
      <c r="O1437">
        <v>0</v>
      </c>
      <c r="P1437">
        <v>0</v>
      </c>
      <c r="Q1437">
        <v>0</v>
      </c>
      <c r="R1437" t="s">
        <v>243</v>
      </c>
    </row>
    <row r="1438" spans="1:18" x14ac:dyDescent="0.3">
      <c r="A1438" t="s">
        <v>259</v>
      </c>
      <c r="B1438" t="s">
        <v>34</v>
      </c>
      <c r="C1438" t="s">
        <v>317</v>
      </c>
      <c r="D1438" s="8">
        <v>3.2953900000000003E-5</v>
      </c>
      <c r="E1438" s="8">
        <v>7.3298200000000002E-5</v>
      </c>
      <c r="F1438" s="8">
        <v>8.2506300000000007E-5</v>
      </c>
      <c r="G1438" s="8">
        <v>8.0654499999999998E-5</v>
      </c>
      <c r="H1438" s="8">
        <v>1.1139E-4</v>
      </c>
      <c r="I1438" s="8">
        <v>1.3154E-4</v>
      </c>
      <c r="J1438" s="8">
        <v>1.3966400000000001E-4</v>
      </c>
      <c r="K1438" s="8">
        <v>1.46181E-4</v>
      </c>
      <c r="L1438" s="8">
        <v>1.5316599999999999E-4</v>
      </c>
      <c r="M1438" s="8">
        <v>1.59779E-4</v>
      </c>
      <c r="N1438" s="8">
        <v>1.6521099999999999E-4</v>
      </c>
      <c r="O1438">
        <v>0</v>
      </c>
      <c r="P1438">
        <v>0</v>
      </c>
      <c r="Q1438">
        <v>0</v>
      </c>
      <c r="R1438" t="s">
        <v>243</v>
      </c>
    </row>
    <row r="1439" spans="1:18" x14ac:dyDescent="0.3">
      <c r="A1439" t="s">
        <v>259</v>
      </c>
      <c r="B1439" t="s">
        <v>34</v>
      </c>
      <c r="C1439" t="s">
        <v>318</v>
      </c>
      <c r="D1439" s="8">
        <v>3.95842E-5</v>
      </c>
      <c r="E1439" s="8">
        <v>8.4258999999999994E-5</v>
      </c>
      <c r="F1439" s="8">
        <v>9.5787199999999997E-5</v>
      </c>
      <c r="G1439" s="8">
        <v>9.2719099999999998E-5</v>
      </c>
      <c r="H1439" s="8">
        <v>1.2306E-4</v>
      </c>
      <c r="I1439" s="8">
        <v>1.4279599999999999E-4</v>
      </c>
      <c r="J1439" s="8">
        <v>1.5007E-4</v>
      </c>
      <c r="K1439" s="8">
        <v>1.56031E-4</v>
      </c>
      <c r="L1439" s="8">
        <v>1.6237599999999999E-4</v>
      </c>
      <c r="M1439" s="8">
        <v>1.6818700000000001E-4</v>
      </c>
      <c r="N1439" s="8">
        <v>1.7268200000000001E-4</v>
      </c>
      <c r="O1439">
        <v>0</v>
      </c>
      <c r="P1439">
        <v>0</v>
      </c>
      <c r="Q1439">
        <v>0</v>
      </c>
      <c r="R1439" t="s">
        <v>243</v>
      </c>
    </row>
    <row r="1440" spans="1:18" x14ac:dyDescent="0.3">
      <c r="A1440" t="s">
        <v>259</v>
      </c>
      <c r="B1440" t="s">
        <v>34</v>
      </c>
      <c r="C1440" t="s">
        <v>319</v>
      </c>
      <c r="D1440" s="8">
        <v>4.62968E-5</v>
      </c>
      <c r="E1440" s="8">
        <v>9.46208E-5</v>
      </c>
      <c r="F1440" s="8">
        <v>1.07575E-4</v>
      </c>
      <c r="G1440" s="8">
        <v>1.02661E-4</v>
      </c>
      <c r="H1440" s="8">
        <v>1.3234499999999999E-4</v>
      </c>
      <c r="I1440" s="8">
        <v>1.51483E-4</v>
      </c>
      <c r="J1440" s="8">
        <v>1.57966E-4</v>
      </c>
      <c r="K1440" s="8">
        <v>1.6332099999999999E-4</v>
      </c>
      <c r="L1440" s="8">
        <v>1.6910300000000001E-4</v>
      </c>
      <c r="M1440" s="8">
        <v>1.7423199999999999E-4</v>
      </c>
      <c r="N1440" s="8">
        <v>1.7804799999999999E-4</v>
      </c>
      <c r="O1440">
        <v>0</v>
      </c>
      <c r="P1440">
        <v>0</v>
      </c>
      <c r="Q1440">
        <v>0</v>
      </c>
      <c r="R1440" t="s">
        <v>243</v>
      </c>
    </row>
    <row r="1441" spans="1:18" x14ac:dyDescent="0.3">
      <c r="A1441" t="s">
        <v>259</v>
      </c>
      <c r="B1441" t="s">
        <v>34</v>
      </c>
      <c r="C1441" t="s">
        <v>320</v>
      </c>
      <c r="D1441" s="8">
        <v>5.3368000000000001E-5</v>
      </c>
      <c r="E1441" s="8">
        <v>1.0446399999999999E-4</v>
      </c>
      <c r="F1441" s="8">
        <v>1.18952E-4</v>
      </c>
      <c r="G1441" s="8">
        <v>1.11989E-4</v>
      </c>
      <c r="H1441" s="8">
        <v>1.4034200000000001E-4</v>
      </c>
      <c r="I1441" s="8">
        <v>1.5860000000000001E-4</v>
      </c>
      <c r="J1441" s="8">
        <v>1.6425700000000001E-4</v>
      </c>
      <c r="K1441" s="8">
        <v>1.6914100000000001E-4</v>
      </c>
      <c r="L1441" s="8">
        <v>1.7435899999999999E-4</v>
      </c>
      <c r="M1441" s="8">
        <v>1.7900899999999999E-4</v>
      </c>
      <c r="N1441" s="8">
        <v>1.82397E-4</v>
      </c>
      <c r="O1441">
        <v>0</v>
      </c>
      <c r="P1441">
        <v>0</v>
      </c>
      <c r="Q1441">
        <v>0</v>
      </c>
      <c r="R1441" t="s">
        <v>243</v>
      </c>
    </row>
    <row r="1442" spans="1:18" x14ac:dyDescent="0.3">
      <c r="A1442" t="s">
        <v>259</v>
      </c>
      <c r="B1442" t="s">
        <v>34</v>
      </c>
      <c r="C1442" t="s">
        <v>321</v>
      </c>
      <c r="D1442" s="8">
        <v>6.1534799999999999E-5</v>
      </c>
      <c r="E1442" s="8">
        <v>1.1448E-4</v>
      </c>
      <c r="F1442" s="8">
        <v>1.3067999999999999E-4</v>
      </c>
      <c r="G1442" s="8">
        <v>1.20894E-4</v>
      </c>
      <c r="H1442" s="8">
        <v>1.4758999999999999E-4</v>
      </c>
      <c r="I1442" s="8">
        <v>1.6485299999999999E-4</v>
      </c>
      <c r="J1442" s="8">
        <v>1.6977600000000001E-4</v>
      </c>
      <c r="K1442" s="8">
        <v>1.74203E-4</v>
      </c>
      <c r="L1442" s="8">
        <v>1.7901899999999999E-4</v>
      </c>
      <c r="M1442" s="8">
        <v>1.83258E-4</v>
      </c>
      <c r="N1442" s="8">
        <v>1.86288E-4</v>
      </c>
      <c r="O1442">
        <v>0</v>
      </c>
      <c r="P1442">
        <v>0</v>
      </c>
      <c r="Q1442">
        <v>0</v>
      </c>
      <c r="R1442" t="s">
        <v>243</v>
      </c>
    </row>
    <row r="1443" spans="1:18" x14ac:dyDescent="0.3">
      <c r="A1443" t="s">
        <v>259</v>
      </c>
      <c r="B1443" t="s">
        <v>34</v>
      </c>
      <c r="C1443" t="s">
        <v>322</v>
      </c>
      <c r="D1443" s="8">
        <v>7.1210699999999999E-5</v>
      </c>
      <c r="E1443" s="8">
        <v>1.25723E-4</v>
      </c>
      <c r="F1443" s="8">
        <v>1.4356300000000001E-4</v>
      </c>
      <c r="G1443" s="8">
        <v>1.31087E-4</v>
      </c>
      <c r="H1443" s="8">
        <v>1.5438600000000001E-4</v>
      </c>
      <c r="I1443" s="8">
        <v>1.7077699999999999E-4</v>
      </c>
      <c r="J1443" s="8">
        <v>1.7507300000000001E-4</v>
      </c>
      <c r="K1443" s="8">
        <v>1.7913299999999999E-4</v>
      </c>
      <c r="L1443" s="8">
        <v>1.8359999999999999E-4</v>
      </c>
      <c r="M1443" s="8">
        <v>1.8755099999999999E-4</v>
      </c>
      <c r="N1443" s="8">
        <v>1.9039E-4</v>
      </c>
      <c r="O1443">
        <v>0</v>
      </c>
      <c r="P1443">
        <v>0</v>
      </c>
      <c r="Q1443">
        <v>0</v>
      </c>
      <c r="R1443" t="s">
        <v>243</v>
      </c>
    </row>
    <row r="1444" spans="1:18" x14ac:dyDescent="0.3">
      <c r="A1444" t="s">
        <v>259</v>
      </c>
      <c r="B1444" t="s">
        <v>34</v>
      </c>
      <c r="C1444" t="s">
        <v>323</v>
      </c>
      <c r="D1444" s="8">
        <v>8.6196299999999993E-5</v>
      </c>
      <c r="E1444" s="8">
        <v>1.4004800000000001E-4</v>
      </c>
      <c r="F1444" s="8">
        <v>1.60051E-4</v>
      </c>
      <c r="G1444" s="8">
        <v>1.4172300000000001E-4</v>
      </c>
      <c r="H1444" s="8">
        <v>1.6171600000000001E-4</v>
      </c>
      <c r="I1444" s="8">
        <v>1.77133E-4</v>
      </c>
      <c r="J1444" s="8">
        <v>1.8081799999999999E-4</v>
      </c>
      <c r="K1444" s="8">
        <v>1.84678E-4</v>
      </c>
      <c r="L1444" s="8">
        <v>1.8903299999999999E-4</v>
      </c>
      <c r="M1444" s="8">
        <v>1.92907E-4</v>
      </c>
      <c r="N1444" s="8">
        <v>1.95658E-4</v>
      </c>
      <c r="O1444">
        <v>0</v>
      </c>
      <c r="P1444">
        <v>0</v>
      </c>
      <c r="Q1444">
        <v>0</v>
      </c>
      <c r="R1444" t="s">
        <v>243</v>
      </c>
    </row>
    <row r="1445" spans="1:18" x14ac:dyDescent="0.3">
      <c r="A1445" t="s">
        <v>259</v>
      </c>
      <c r="B1445" t="s">
        <v>36</v>
      </c>
      <c r="C1445" t="s">
        <v>261</v>
      </c>
      <c r="D1445">
        <v>7.3126889999999998E-3</v>
      </c>
      <c r="E1445">
        <v>1.39070009999999E-2</v>
      </c>
      <c r="F1445">
        <v>1.6300099999999901E-2</v>
      </c>
      <c r="G1445">
        <v>1.7369800000000001E-2</v>
      </c>
      <c r="H1445">
        <v>1.6948583E-2</v>
      </c>
      <c r="I1445">
        <v>1.9554457000000001E-2</v>
      </c>
      <c r="J1445">
        <v>2.0091899900000001E-2</v>
      </c>
      <c r="K1445">
        <v>2.1189890999999999E-2</v>
      </c>
      <c r="L1445">
        <v>2.2061774400000001E-2</v>
      </c>
      <c r="M1445">
        <v>2.27764136E-2</v>
      </c>
      <c r="N1445">
        <v>2.3335217599999999E-2</v>
      </c>
      <c r="O1445">
        <v>0</v>
      </c>
      <c r="P1445">
        <v>0</v>
      </c>
      <c r="Q1445">
        <v>0</v>
      </c>
      <c r="R1445" t="s">
        <v>243</v>
      </c>
    </row>
    <row r="1446" spans="1:18" x14ac:dyDescent="0.3">
      <c r="A1446" t="s">
        <v>259</v>
      </c>
      <c r="B1446" t="s">
        <v>36</v>
      </c>
      <c r="C1446" t="s">
        <v>262</v>
      </c>
      <c r="D1446">
        <v>5.4703300000000003E-2</v>
      </c>
      <c r="E1446">
        <v>0.1031544232</v>
      </c>
      <c r="F1446">
        <v>0.123740218999999</v>
      </c>
      <c r="G1446">
        <v>0.11625276700000001</v>
      </c>
      <c r="H1446">
        <v>0.11871707099999999</v>
      </c>
      <c r="I1446">
        <v>0.13241840999999999</v>
      </c>
      <c r="J1446">
        <v>0.13554886816</v>
      </c>
      <c r="K1446">
        <v>0.134604839619999</v>
      </c>
      <c r="L1446">
        <v>0.12839744777000001</v>
      </c>
      <c r="M1446">
        <v>0.123843737429999</v>
      </c>
      <c r="N1446">
        <v>0.1188219725</v>
      </c>
      <c r="O1446">
        <v>0</v>
      </c>
      <c r="P1446">
        <v>0</v>
      </c>
      <c r="Q1446">
        <v>0</v>
      </c>
      <c r="R1446" t="s">
        <v>243</v>
      </c>
    </row>
    <row r="1447" spans="1:18" x14ac:dyDescent="0.3">
      <c r="A1447" t="s">
        <v>259</v>
      </c>
      <c r="B1447" t="s">
        <v>36</v>
      </c>
      <c r="C1447" t="s">
        <v>263</v>
      </c>
      <c r="D1447">
        <v>0.26826601100000003</v>
      </c>
      <c r="E1447">
        <v>0.48541810200000002</v>
      </c>
      <c r="F1447">
        <v>0.54513510399999998</v>
      </c>
      <c r="G1447">
        <v>0.48396441000000001</v>
      </c>
      <c r="H1447">
        <v>0.41971048</v>
      </c>
      <c r="I1447">
        <v>0.47069708239999902</v>
      </c>
      <c r="J1447">
        <v>0.48763909</v>
      </c>
      <c r="K1447">
        <v>0.50197210000000003</v>
      </c>
      <c r="L1447">
        <v>0.51275645999999997</v>
      </c>
      <c r="M1447">
        <v>0.52327935000000003</v>
      </c>
      <c r="N1447">
        <v>0.52916085000000002</v>
      </c>
      <c r="O1447">
        <v>0</v>
      </c>
      <c r="P1447">
        <v>0</v>
      </c>
      <c r="Q1447">
        <v>0</v>
      </c>
      <c r="R1447" t="s">
        <v>243</v>
      </c>
    </row>
    <row r="1448" spans="1:18" x14ac:dyDescent="0.3">
      <c r="A1448" t="s">
        <v>259</v>
      </c>
      <c r="B1448" t="s">
        <v>36</v>
      </c>
      <c r="C1448" t="s">
        <v>324</v>
      </c>
      <c r="D1448" s="8">
        <v>3.1039000000000001E-4</v>
      </c>
      <c r="E1448" s="8">
        <v>2.3314300000000001E-5</v>
      </c>
      <c r="F1448" s="8">
        <v>1.23972E-5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243</v>
      </c>
    </row>
    <row r="1449" spans="1:18" x14ac:dyDescent="0.3">
      <c r="A1449" t="s">
        <v>259</v>
      </c>
      <c r="B1449" t="s">
        <v>36</v>
      </c>
      <c r="C1449" t="s">
        <v>325</v>
      </c>
      <c r="D1449" s="8">
        <v>1.6565499999999999E-5</v>
      </c>
      <c r="E1449" s="8">
        <v>1.1264299999999999E-6</v>
      </c>
      <c r="F1449" s="8">
        <v>5.66431E-7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243</v>
      </c>
    </row>
    <row r="1450" spans="1:18" x14ac:dyDescent="0.3">
      <c r="A1450" t="s">
        <v>259</v>
      </c>
      <c r="B1450" t="s">
        <v>36</v>
      </c>
      <c r="C1450" t="s">
        <v>326</v>
      </c>
      <c r="D1450" s="8">
        <v>1.7917000000000001E-4</v>
      </c>
      <c r="E1450" s="8">
        <v>1.24555E-5</v>
      </c>
      <c r="F1450" s="8">
        <v>6.5917599999999999E-6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243</v>
      </c>
    </row>
    <row r="1451" spans="1:18" x14ac:dyDescent="0.3">
      <c r="A1451" t="s">
        <v>259</v>
      </c>
      <c r="B1451" t="s">
        <v>36</v>
      </c>
      <c r="C1451" t="s">
        <v>327</v>
      </c>
      <c r="D1451" s="8">
        <v>1.25191E-4</v>
      </c>
      <c r="E1451" s="8">
        <v>9.04068E-6</v>
      </c>
      <c r="F1451" s="8">
        <v>4.6538600000000002E-6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243</v>
      </c>
    </row>
    <row r="1452" spans="1:18" x14ac:dyDescent="0.3">
      <c r="A1452" t="s">
        <v>259</v>
      </c>
      <c r="B1452" t="s">
        <v>36</v>
      </c>
      <c r="C1452" t="s">
        <v>328</v>
      </c>
      <c r="D1452" s="8">
        <v>9.9357099999999998E-5</v>
      </c>
      <c r="E1452" s="8">
        <v>7.1786299999999997E-6</v>
      </c>
      <c r="F1452" s="8">
        <v>3.6371899999999998E-6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243</v>
      </c>
    </row>
    <row r="1453" spans="1:18" x14ac:dyDescent="0.3">
      <c r="A1453" t="s">
        <v>259</v>
      </c>
      <c r="B1453" t="s">
        <v>36</v>
      </c>
      <c r="C1453" t="s">
        <v>329</v>
      </c>
      <c r="D1453" s="8">
        <v>8.0900099999999995E-5</v>
      </c>
      <c r="E1453" s="8">
        <v>5.8265E-6</v>
      </c>
      <c r="F1453" s="8">
        <v>2.9525000000000001E-6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243</v>
      </c>
    </row>
    <row r="1454" spans="1:18" x14ac:dyDescent="0.3">
      <c r="A1454" t="s">
        <v>259</v>
      </c>
      <c r="B1454" t="s">
        <v>36</v>
      </c>
      <c r="C1454" t="s">
        <v>330</v>
      </c>
      <c r="D1454" s="8">
        <v>6.6634499999999994E-5</v>
      </c>
      <c r="E1454" s="8">
        <v>4.8003800000000001E-6</v>
      </c>
      <c r="F1454" s="8">
        <v>2.42756E-6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243</v>
      </c>
    </row>
    <row r="1455" spans="1:18" x14ac:dyDescent="0.3">
      <c r="A1455" t="s">
        <v>259</v>
      </c>
      <c r="B1455" t="s">
        <v>36</v>
      </c>
      <c r="C1455" t="s">
        <v>331</v>
      </c>
      <c r="D1455" s="8">
        <v>5.4402900000000001E-5</v>
      </c>
      <c r="E1455" s="8">
        <v>3.9414500000000002E-6</v>
      </c>
      <c r="F1455" s="8">
        <v>1.9856199999999998E-6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">
        <v>243</v>
      </c>
    </row>
    <row r="1456" spans="1:18" x14ac:dyDescent="0.3">
      <c r="A1456" t="s">
        <v>259</v>
      </c>
      <c r="B1456" t="s">
        <v>36</v>
      </c>
      <c r="C1456" t="s">
        <v>332</v>
      </c>
      <c r="D1456" s="8">
        <v>4.3715899999999999E-5</v>
      </c>
      <c r="E1456" s="8">
        <v>3.1452200000000001E-6</v>
      </c>
      <c r="F1456" s="8">
        <v>1.5872499999999999E-6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243</v>
      </c>
    </row>
    <row r="1457" spans="1:18" x14ac:dyDescent="0.3">
      <c r="A1457" t="s">
        <v>259</v>
      </c>
      <c r="B1457" t="s">
        <v>36</v>
      </c>
      <c r="C1457" t="s">
        <v>333</v>
      </c>
      <c r="D1457" s="8">
        <v>3.2160899999999999E-5</v>
      </c>
      <c r="E1457" s="8">
        <v>2.3155499999999998E-6</v>
      </c>
      <c r="F1457" s="8">
        <v>1.1702100000000001E-6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243</v>
      </c>
    </row>
    <row r="1458" spans="1:18" x14ac:dyDescent="0.3">
      <c r="A1458" t="s">
        <v>259</v>
      </c>
      <c r="B1458" t="s">
        <v>36</v>
      </c>
      <c r="C1458" t="s">
        <v>264</v>
      </c>
      <c r="D1458">
        <v>6.3324490000000004E-3</v>
      </c>
      <c r="E1458">
        <v>1.1156815E-2</v>
      </c>
      <c r="F1458">
        <v>1.3319899E-2</v>
      </c>
      <c r="G1458">
        <v>1.0843836000000001E-2</v>
      </c>
      <c r="H1458">
        <v>1.0862411000000001E-2</v>
      </c>
      <c r="I1458">
        <v>1.2191192999999999E-2</v>
      </c>
      <c r="J1458">
        <v>1.3591689000000001E-2</v>
      </c>
      <c r="K1458">
        <v>1.4379268000000001E-2</v>
      </c>
      <c r="L1458">
        <v>1.48669489999999E-2</v>
      </c>
      <c r="M1458">
        <v>1.5053349999999899E-2</v>
      </c>
      <c r="N1458">
        <v>1.5161374E-2</v>
      </c>
      <c r="O1458">
        <v>0</v>
      </c>
      <c r="P1458">
        <v>0</v>
      </c>
      <c r="Q1458">
        <v>0</v>
      </c>
      <c r="R1458" t="s">
        <v>243</v>
      </c>
    </row>
    <row r="1459" spans="1:18" x14ac:dyDescent="0.3">
      <c r="A1459" t="s">
        <v>259</v>
      </c>
      <c r="B1459" t="s">
        <v>36</v>
      </c>
      <c r="C1459" t="s">
        <v>265</v>
      </c>
      <c r="D1459">
        <v>1.505837E-2</v>
      </c>
      <c r="E1459">
        <v>2.4506790000000001E-2</v>
      </c>
      <c r="F1459">
        <v>3.2825960000000001E-2</v>
      </c>
      <c r="G1459">
        <v>2.973835E-2</v>
      </c>
      <c r="H1459">
        <v>2.9067225999999901E-2</v>
      </c>
      <c r="I1459">
        <v>2.9975300999999899E-2</v>
      </c>
      <c r="J1459">
        <v>3.0878453E-2</v>
      </c>
      <c r="K1459">
        <v>3.1355833E-2</v>
      </c>
      <c r="L1459">
        <v>3.1387789999999999E-2</v>
      </c>
      <c r="M1459">
        <v>3.0862156000000002E-2</v>
      </c>
      <c r="N1459">
        <v>3.0126797E-2</v>
      </c>
      <c r="O1459">
        <v>0</v>
      </c>
      <c r="P1459">
        <v>0</v>
      </c>
      <c r="Q1459">
        <v>0</v>
      </c>
      <c r="R1459" t="s">
        <v>243</v>
      </c>
    </row>
    <row r="1460" spans="1:18" x14ac:dyDescent="0.3">
      <c r="A1460" t="s">
        <v>259</v>
      </c>
      <c r="B1460" t="s">
        <v>36</v>
      </c>
      <c r="C1460" t="s">
        <v>266</v>
      </c>
      <c r="D1460">
        <v>8.5645770000000003E-3</v>
      </c>
      <c r="E1460">
        <v>1.5162810000000001E-2</v>
      </c>
      <c r="F1460">
        <v>1.8845420000000002E-2</v>
      </c>
      <c r="G1460">
        <v>1.6044119999999999E-2</v>
      </c>
      <c r="H1460">
        <v>1.5663818999999999E-2</v>
      </c>
      <c r="I1460">
        <v>1.7165362999999999E-2</v>
      </c>
      <c r="J1460">
        <v>1.8661074E-2</v>
      </c>
      <c r="K1460">
        <v>1.9488538999999999E-2</v>
      </c>
      <c r="L1460">
        <v>1.9920851999999999E-2</v>
      </c>
      <c r="M1460">
        <v>1.99630739999999E-2</v>
      </c>
      <c r="N1460">
        <v>1.9872015999999999E-2</v>
      </c>
      <c r="O1460">
        <v>0</v>
      </c>
      <c r="P1460">
        <v>0</v>
      </c>
      <c r="Q1460">
        <v>0</v>
      </c>
      <c r="R1460" t="s">
        <v>243</v>
      </c>
    </row>
    <row r="1461" spans="1:18" x14ac:dyDescent="0.3">
      <c r="A1461" t="s">
        <v>259</v>
      </c>
      <c r="B1461" t="s">
        <v>36</v>
      </c>
      <c r="C1461" t="s">
        <v>267</v>
      </c>
      <c r="D1461">
        <v>9.9819279999999993E-3</v>
      </c>
      <c r="E1461">
        <v>1.701892E-2</v>
      </c>
      <c r="F1461">
        <v>2.178507E-2</v>
      </c>
      <c r="G1461">
        <v>1.897542E-2</v>
      </c>
      <c r="H1461">
        <v>1.7938903999999999E-2</v>
      </c>
      <c r="I1461">
        <v>2.0101033000000001E-2</v>
      </c>
      <c r="J1461">
        <v>2.1422409E-2</v>
      </c>
      <c r="K1461">
        <v>2.2121417000000001E-2</v>
      </c>
      <c r="L1461">
        <v>2.2424784999999899E-2</v>
      </c>
      <c r="M1461">
        <v>2.2297730000000002E-2</v>
      </c>
      <c r="N1461">
        <v>2.2023495000000001E-2</v>
      </c>
      <c r="O1461">
        <v>0</v>
      </c>
      <c r="P1461">
        <v>0</v>
      </c>
      <c r="Q1461">
        <v>0</v>
      </c>
      <c r="R1461" t="s">
        <v>243</v>
      </c>
    </row>
    <row r="1462" spans="1:18" x14ac:dyDescent="0.3">
      <c r="A1462" t="s">
        <v>259</v>
      </c>
      <c r="B1462" t="s">
        <v>36</v>
      </c>
      <c r="C1462" t="s">
        <v>268</v>
      </c>
      <c r="D1462">
        <v>1.0825319999999999E-2</v>
      </c>
      <c r="E1462">
        <v>1.8211829999999998E-2</v>
      </c>
      <c r="F1462">
        <v>2.3687389999999999E-2</v>
      </c>
      <c r="G1462">
        <v>2.0912489999999999E-2</v>
      </c>
      <c r="H1462">
        <v>1.9906330999999899E-2</v>
      </c>
      <c r="I1462">
        <v>2.1843698000000002E-2</v>
      </c>
      <c r="J1462">
        <v>2.30445229999999E-2</v>
      </c>
      <c r="K1462">
        <v>2.3681861999999901E-2</v>
      </c>
      <c r="L1462">
        <v>2.3926866000000001E-2</v>
      </c>
      <c r="M1462">
        <v>2.3721843999999902E-2</v>
      </c>
      <c r="N1462">
        <v>2.3347848000000001E-2</v>
      </c>
      <c r="O1462">
        <v>0</v>
      </c>
      <c r="P1462">
        <v>0</v>
      </c>
      <c r="Q1462">
        <v>0</v>
      </c>
      <c r="R1462" t="s">
        <v>243</v>
      </c>
    </row>
    <row r="1463" spans="1:18" x14ac:dyDescent="0.3">
      <c r="A1463" t="s">
        <v>259</v>
      </c>
      <c r="B1463" t="s">
        <v>36</v>
      </c>
      <c r="C1463" t="s">
        <v>269</v>
      </c>
      <c r="D1463">
        <v>1.151131E-2</v>
      </c>
      <c r="E1463">
        <v>1.9177639999999999E-2</v>
      </c>
      <c r="F1463">
        <v>2.5142459999999998E-2</v>
      </c>
      <c r="G1463">
        <v>2.2352750000000001E-2</v>
      </c>
      <c r="H1463">
        <v>2.1436300999999901E-2</v>
      </c>
      <c r="I1463">
        <v>2.3197006999999999E-2</v>
      </c>
      <c r="J1463">
        <v>2.4296453999999999E-2</v>
      </c>
      <c r="K1463">
        <v>2.4871023999999999E-2</v>
      </c>
      <c r="L1463">
        <v>2.50702539999999E-2</v>
      </c>
      <c r="M1463">
        <v>2.4797597000000001E-2</v>
      </c>
      <c r="N1463">
        <v>2.4345805000000002E-2</v>
      </c>
      <c r="O1463">
        <v>0</v>
      </c>
      <c r="P1463">
        <v>0</v>
      </c>
      <c r="Q1463">
        <v>0</v>
      </c>
      <c r="R1463" t="s">
        <v>243</v>
      </c>
    </row>
    <row r="1464" spans="1:18" x14ac:dyDescent="0.3">
      <c r="A1464" t="s">
        <v>259</v>
      </c>
      <c r="B1464" t="s">
        <v>36</v>
      </c>
      <c r="C1464" t="s">
        <v>270</v>
      </c>
      <c r="D1464">
        <v>1.2098090000000001E-2</v>
      </c>
      <c r="E1464">
        <v>1.998403E-2</v>
      </c>
      <c r="F1464">
        <v>2.637662E-2</v>
      </c>
      <c r="G1464">
        <v>2.359151E-2</v>
      </c>
      <c r="H1464">
        <v>2.2758010999999901E-2</v>
      </c>
      <c r="I1464">
        <v>2.43236009999999E-2</v>
      </c>
      <c r="J1464">
        <v>2.5327081000000001E-2</v>
      </c>
      <c r="K1464">
        <v>2.5862664E-2</v>
      </c>
      <c r="L1464">
        <v>2.6009669999999999E-2</v>
      </c>
      <c r="M1464">
        <v>2.5689417999999999E-2</v>
      </c>
      <c r="N1464">
        <v>2.5185127000000002E-2</v>
      </c>
      <c r="O1464">
        <v>0</v>
      </c>
      <c r="P1464">
        <v>0</v>
      </c>
      <c r="Q1464">
        <v>0</v>
      </c>
      <c r="R1464" t="s">
        <v>243</v>
      </c>
    </row>
    <row r="1465" spans="1:18" x14ac:dyDescent="0.3">
      <c r="A1465" t="s">
        <v>259</v>
      </c>
      <c r="B1465" t="s">
        <v>36</v>
      </c>
      <c r="C1465" t="s">
        <v>271</v>
      </c>
      <c r="D1465">
        <v>1.2649199999999999E-2</v>
      </c>
      <c r="E1465">
        <v>2.072423E-2</v>
      </c>
      <c r="F1465">
        <v>2.7511549999999999E-2</v>
      </c>
      <c r="G1465">
        <v>2.4689989999999998E-2</v>
      </c>
      <c r="H1465">
        <v>2.3942237000000002E-2</v>
      </c>
      <c r="I1465">
        <v>2.5345138E-2</v>
      </c>
      <c r="J1465">
        <v>2.6276994000000001E-2</v>
      </c>
      <c r="K1465">
        <v>2.6775467000000001E-2</v>
      </c>
      <c r="L1465">
        <v>2.6889922E-2</v>
      </c>
      <c r="M1465">
        <v>2.6519035E-2</v>
      </c>
      <c r="N1465">
        <v>2.5957561000000001E-2</v>
      </c>
      <c r="O1465">
        <v>0</v>
      </c>
      <c r="P1465">
        <v>0</v>
      </c>
      <c r="Q1465">
        <v>0</v>
      </c>
      <c r="R1465" t="s">
        <v>243</v>
      </c>
    </row>
    <row r="1466" spans="1:18" x14ac:dyDescent="0.3">
      <c r="A1466" t="s">
        <v>259</v>
      </c>
      <c r="B1466" t="s">
        <v>36</v>
      </c>
      <c r="C1466" t="s">
        <v>272</v>
      </c>
      <c r="D1466">
        <v>1.317921E-2</v>
      </c>
      <c r="E1466">
        <v>2.1495589999999998E-2</v>
      </c>
      <c r="F1466">
        <v>2.8642899999999999E-2</v>
      </c>
      <c r="G1466">
        <v>2.5877339999999902E-2</v>
      </c>
      <c r="H1466">
        <v>2.5162232999999999E-2</v>
      </c>
      <c r="I1466">
        <v>2.6359319999999999E-2</v>
      </c>
      <c r="J1466">
        <v>2.7253699999999999E-2</v>
      </c>
      <c r="K1466">
        <v>2.7727292999999899E-2</v>
      </c>
      <c r="L1466">
        <v>2.7806233999999999E-2</v>
      </c>
      <c r="M1466">
        <v>2.7389825999999999E-2</v>
      </c>
      <c r="N1466">
        <v>2.67881359999999E-2</v>
      </c>
      <c r="O1466">
        <v>0</v>
      </c>
      <c r="P1466">
        <v>0</v>
      </c>
      <c r="Q1466">
        <v>0</v>
      </c>
      <c r="R1466" t="s">
        <v>243</v>
      </c>
    </row>
    <row r="1467" spans="1:18" x14ac:dyDescent="0.3">
      <c r="A1467" t="s">
        <v>259</v>
      </c>
      <c r="B1467" t="s">
        <v>36</v>
      </c>
      <c r="C1467" t="s">
        <v>273</v>
      </c>
      <c r="D1467">
        <v>1.383465E-2</v>
      </c>
      <c r="E1467">
        <v>2.2451570000000001E-2</v>
      </c>
      <c r="F1467">
        <v>3.000067E-2</v>
      </c>
      <c r="G1467">
        <v>2.70935499999999E-2</v>
      </c>
      <c r="H1467">
        <v>2.6431368999999899E-2</v>
      </c>
      <c r="I1467">
        <v>2.7536590999999999E-2</v>
      </c>
      <c r="J1467">
        <v>2.8405772999999999E-2</v>
      </c>
      <c r="K1467">
        <v>2.8878756999999901E-2</v>
      </c>
      <c r="L1467">
        <v>2.8951592000000002E-2</v>
      </c>
      <c r="M1467">
        <v>2.85108639999999E-2</v>
      </c>
      <c r="N1467">
        <v>2.7871198999999999E-2</v>
      </c>
      <c r="O1467">
        <v>0</v>
      </c>
      <c r="P1467">
        <v>0</v>
      </c>
      <c r="Q1467">
        <v>0</v>
      </c>
      <c r="R1467" t="s">
        <v>243</v>
      </c>
    </row>
    <row r="1468" spans="1:18" x14ac:dyDescent="0.3">
      <c r="A1468" t="s">
        <v>259</v>
      </c>
      <c r="B1468" t="s">
        <v>36</v>
      </c>
      <c r="C1468" t="s">
        <v>274</v>
      </c>
      <c r="D1468" s="8">
        <v>6.4931018286999904E-4</v>
      </c>
      <c r="E1468" s="8">
        <v>8.4952740058000004E-4</v>
      </c>
      <c r="F1468" s="8">
        <v>8.6242623402000001E-4</v>
      </c>
      <c r="G1468" s="8">
        <v>7.8207389270999999E-4</v>
      </c>
      <c r="H1468">
        <v>1.06847550468E-3</v>
      </c>
      <c r="I1468">
        <v>1.0675948942500001E-3</v>
      </c>
      <c r="J1468">
        <v>1.04350844234999E-3</v>
      </c>
      <c r="K1468">
        <v>1.027836664206E-3</v>
      </c>
      <c r="L1468">
        <v>1.0118510641999999E-3</v>
      </c>
      <c r="M1468" s="8">
        <v>9.823843912570001E-4</v>
      </c>
      <c r="N1468" s="8">
        <v>9.5001185800200002E-4</v>
      </c>
      <c r="O1468">
        <v>0</v>
      </c>
      <c r="P1468">
        <v>0</v>
      </c>
      <c r="Q1468">
        <v>0</v>
      </c>
      <c r="R1468" t="s">
        <v>243</v>
      </c>
    </row>
    <row r="1469" spans="1:18" x14ac:dyDescent="0.3">
      <c r="A1469" t="s">
        <v>259</v>
      </c>
      <c r="B1469" t="s">
        <v>36</v>
      </c>
      <c r="C1469" t="s">
        <v>275</v>
      </c>
      <c r="D1469">
        <v>1.1157823431999999E-3</v>
      </c>
      <c r="E1469">
        <v>1.4146823238999999E-3</v>
      </c>
      <c r="F1469">
        <v>1.4749323717E-3</v>
      </c>
      <c r="G1469">
        <v>1.4143624653000001E-3</v>
      </c>
      <c r="H1469">
        <v>1.64359127534E-3</v>
      </c>
      <c r="I1469">
        <v>1.61861812514E-3</v>
      </c>
      <c r="J1469">
        <v>1.53485042989E-3</v>
      </c>
      <c r="K1469">
        <v>1.4765511619399901E-3</v>
      </c>
      <c r="L1469">
        <v>1.4196221260099999E-3</v>
      </c>
      <c r="M1469">
        <v>1.3479820249400001E-3</v>
      </c>
      <c r="N1469">
        <v>1.2774531952000001E-3</v>
      </c>
      <c r="O1469">
        <v>0</v>
      </c>
      <c r="P1469">
        <v>0</v>
      </c>
      <c r="Q1469">
        <v>0</v>
      </c>
      <c r="R1469" t="s">
        <v>243</v>
      </c>
    </row>
    <row r="1470" spans="1:18" x14ac:dyDescent="0.3">
      <c r="A1470" t="s">
        <v>259</v>
      </c>
      <c r="B1470" t="s">
        <v>36</v>
      </c>
      <c r="C1470" t="s">
        <v>276</v>
      </c>
      <c r="D1470" s="8">
        <v>7.6938151112999995E-4</v>
      </c>
      <c r="E1470" s="8">
        <v>9.9539567130000001E-4</v>
      </c>
      <c r="F1470">
        <v>1.02474859556999E-3</v>
      </c>
      <c r="G1470" s="8">
        <v>9.6314348852999897E-4</v>
      </c>
      <c r="H1470">
        <v>1.23714089979999E-3</v>
      </c>
      <c r="I1470">
        <v>1.2274111211799999E-3</v>
      </c>
      <c r="J1470">
        <v>1.18430030027999E-3</v>
      </c>
      <c r="K1470">
        <v>1.153724365479E-3</v>
      </c>
      <c r="L1470">
        <v>1.1236936310099999E-3</v>
      </c>
      <c r="M1470">
        <v>1.080631830672E-3</v>
      </c>
      <c r="N1470">
        <v>1.03667921215E-3</v>
      </c>
      <c r="O1470">
        <v>0</v>
      </c>
      <c r="P1470">
        <v>0</v>
      </c>
      <c r="Q1470">
        <v>0</v>
      </c>
      <c r="R1470" t="s">
        <v>243</v>
      </c>
    </row>
    <row r="1471" spans="1:18" x14ac:dyDescent="0.3">
      <c r="A1471" t="s">
        <v>259</v>
      </c>
      <c r="B1471" t="s">
        <v>36</v>
      </c>
      <c r="C1471" t="s">
        <v>277</v>
      </c>
      <c r="D1471" s="8">
        <v>8.3318521695000002E-4</v>
      </c>
      <c r="E1471">
        <v>1.05814921794E-3</v>
      </c>
      <c r="F1471">
        <v>1.0981792114899999E-3</v>
      </c>
      <c r="G1471">
        <v>1.0435791974499999E-3</v>
      </c>
      <c r="H1471">
        <v>1.3034914570199999E-3</v>
      </c>
      <c r="I1471">
        <v>1.29974666892E-3</v>
      </c>
      <c r="J1471">
        <v>1.24711568083E-3</v>
      </c>
      <c r="K1471">
        <v>1.2098496802199999E-3</v>
      </c>
      <c r="L1471">
        <v>1.1738368839E-3</v>
      </c>
      <c r="M1471">
        <v>1.1250250290700001E-3</v>
      </c>
      <c r="N1471">
        <v>1.076224373942E-3</v>
      </c>
      <c r="O1471">
        <v>0</v>
      </c>
      <c r="P1471">
        <v>0</v>
      </c>
      <c r="Q1471">
        <v>0</v>
      </c>
      <c r="R1471" t="s">
        <v>243</v>
      </c>
    </row>
    <row r="1472" spans="1:18" x14ac:dyDescent="0.3">
      <c r="A1472" t="s">
        <v>259</v>
      </c>
      <c r="B1472" t="s">
        <v>36</v>
      </c>
      <c r="C1472" t="s">
        <v>278</v>
      </c>
      <c r="D1472" s="8">
        <v>8.6987862286999997E-4</v>
      </c>
      <c r="E1472">
        <v>1.10078958941E-3</v>
      </c>
      <c r="F1472">
        <v>1.1462896151E-3</v>
      </c>
      <c r="G1472">
        <v>1.0945096463199999E-3</v>
      </c>
      <c r="H1472">
        <v>1.3516388545799999E-3</v>
      </c>
      <c r="I1472">
        <v>1.3424440003400001E-3</v>
      </c>
      <c r="J1472">
        <v>1.2850359119199999E-3</v>
      </c>
      <c r="K1472">
        <v>1.2448978744950001E-3</v>
      </c>
      <c r="L1472">
        <v>1.2064420487699901E-3</v>
      </c>
      <c r="M1472">
        <v>1.15500816288E-3</v>
      </c>
      <c r="N1472">
        <v>1.103591485508E-3</v>
      </c>
      <c r="O1472">
        <v>0</v>
      </c>
      <c r="P1472">
        <v>0</v>
      </c>
      <c r="Q1472">
        <v>0</v>
      </c>
      <c r="R1472" t="s">
        <v>243</v>
      </c>
    </row>
    <row r="1473" spans="1:18" x14ac:dyDescent="0.3">
      <c r="A1473" t="s">
        <v>259</v>
      </c>
      <c r="B1473" t="s">
        <v>36</v>
      </c>
      <c r="C1473" t="s">
        <v>279</v>
      </c>
      <c r="D1473" s="8">
        <v>9.0060696279999997E-4</v>
      </c>
      <c r="E1473">
        <v>1.1382899160800001E-3</v>
      </c>
      <c r="F1473">
        <v>1.18549994396E-3</v>
      </c>
      <c r="G1473">
        <v>1.13364999124E-3</v>
      </c>
      <c r="H1473">
        <v>1.3879891553600001E-3</v>
      </c>
      <c r="I1473">
        <v>1.37764326957E-3</v>
      </c>
      <c r="J1473">
        <v>1.3168691056099999E-3</v>
      </c>
      <c r="K1473">
        <v>1.2743080380449999E-3</v>
      </c>
      <c r="L1473">
        <v>1.23393718738E-3</v>
      </c>
      <c r="M1473">
        <v>1.1801792752799999E-3</v>
      </c>
      <c r="N1473">
        <v>1.1264615788720001E-3</v>
      </c>
      <c r="O1473">
        <v>0</v>
      </c>
      <c r="P1473">
        <v>0</v>
      </c>
      <c r="Q1473">
        <v>0</v>
      </c>
      <c r="R1473" t="s">
        <v>243</v>
      </c>
    </row>
    <row r="1474" spans="1:18" x14ac:dyDescent="0.3">
      <c r="A1474" t="s">
        <v>259</v>
      </c>
      <c r="B1474" t="s">
        <v>36</v>
      </c>
      <c r="C1474" t="s">
        <v>280</v>
      </c>
      <c r="D1474" s="8">
        <v>9.285492719E-4</v>
      </c>
      <c r="E1474">
        <v>1.1725402144999999E-3</v>
      </c>
      <c r="F1474">
        <v>1.2216302469999999E-3</v>
      </c>
      <c r="G1474">
        <v>1.1696403085000001E-3</v>
      </c>
      <c r="H1474">
        <v>1.4210524292899999E-3</v>
      </c>
      <c r="I1474">
        <v>1.4096815148399999E-3</v>
      </c>
      <c r="J1474">
        <v>1.34564128062E-3</v>
      </c>
      <c r="K1474">
        <v>1.30124318771999E-3</v>
      </c>
      <c r="L1474">
        <v>1.2586383120799999E-3</v>
      </c>
      <c r="M1474">
        <v>1.2028953767399999E-3</v>
      </c>
      <c r="N1474">
        <v>1.1472516636239999E-3</v>
      </c>
      <c r="O1474">
        <v>0</v>
      </c>
      <c r="P1474">
        <v>0</v>
      </c>
      <c r="Q1474">
        <v>0</v>
      </c>
      <c r="R1474" t="s">
        <v>243</v>
      </c>
    </row>
    <row r="1475" spans="1:18" x14ac:dyDescent="0.3">
      <c r="A1475" t="s">
        <v>259</v>
      </c>
      <c r="B1475" t="s">
        <v>36</v>
      </c>
      <c r="C1475" t="s">
        <v>281</v>
      </c>
      <c r="D1475" s="8">
        <v>9.5704558709999905E-4</v>
      </c>
      <c r="E1475">
        <v>1.2068505134E-3</v>
      </c>
      <c r="F1475">
        <v>1.258110553E-3</v>
      </c>
      <c r="G1475">
        <v>1.2044806155000001E-3</v>
      </c>
      <c r="H1475">
        <v>1.4528456929199999E-3</v>
      </c>
      <c r="I1475">
        <v>1.44161875792E-3</v>
      </c>
      <c r="J1475">
        <v>1.37455545639E-3</v>
      </c>
      <c r="K1475">
        <v>1.3280293368499901E-3</v>
      </c>
      <c r="L1475">
        <v>1.2834064369199999E-3</v>
      </c>
      <c r="M1475">
        <v>1.2252364765899899E-3</v>
      </c>
      <c r="N1475">
        <v>1.167149744956E-3</v>
      </c>
      <c r="O1475">
        <v>0</v>
      </c>
      <c r="P1475">
        <v>0</v>
      </c>
      <c r="Q1475">
        <v>0</v>
      </c>
      <c r="R1475" t="s">
        <v>243</v>
      </c>
    </row>
    <row r="1476" spans="1:18" x14ac:dyDescent="0.3">
      <c r="A1476" t="s">
        <v>259</v>
      </c>
      <c r="B1476" t="s">
        <v>36</v>
      </c>
      <c r="C1476" t="s">
        <v>282</v>
      </c>
      <c r="D1476" s="8">
        <v>9.8721392089999994E-4</v>
      </c>
      <c r="E1476">
        <v>1.2456408513E-3</v>
      </c>
      <c r="F1476">
        <v>1.2982808900000001E-3</v>
      </c>
      <c r="G1476">
        <v>1.2463509846000001E-3</v>
      </c>
      <c r="H1476">
        <v>1.4909970093300001E-3</v>
      </c>
      <c r="I1476">
        <v>1.47656702847E-3</v>
      </c>
      <c r="J1476">
        <v>1.4065376505299999E-3</v>
      </c>
      <c r="K1476">
        <v>1.35765950139E-3</v>
      </c>
      <c r="L1476">
        <v>1.3104345738099901E-3</v>
      </c>
      <c r="M1476">
        <v>1.2494885849499899E-3</v>
      </c>
      <c r="N1476">
        <v>1.189059834331E-3</v>
      </c>
      <c r="O1476">
        <v>0</v>
      </c>
      <c r="P1476">
        <v>0</v>
      </c>
      <c r="Q1476">
        <v>0</v>
      </c>
      <c r="R1476" t="s">
        <v>243</v>
      </c>
    </row>
    <row r="1477" spans="1:18" x14ac:dyDescent="0.3">
      <c r="A1477" t="s">
        <v>259</v>
      </c>
      <c r="B1477" t="s">
        <v>36</v>
      </c>
      <c r="C1477" t="s">
        <v>283</v>
      </c>
      <c r="D1477">
        <v>1.0287813807E-3</v>
      </c>
      <c r="E1477">
        <v>1.2973513016999901E-3</v>
      </c>
      <c r="F1477">
        <v>1.3517613385000001E-3</v>
      </c>
      <c r="G1477">
        <v>1.2946214098999999E-3</v>
      </c>
      <c r="H1477">
        <v>1.5348643732399901E-3</v>
      </c>
      <c r="I1477">
        <v>1.52072436456E-3</v>
      </c>
      <c r="J1477">
        <v>1.44662189413E-3</v>
      </c>
      <c r="K1477">
        <v>1.39520371028E-3</v>
      </c>
      <c r="L1477">
        <v>1.3454887503299899E-3</v>
      </c>
      <c r="M1477">
        <v>1.2817647290899899E-3</v>
      </c>
      <c r="N1477">
        <v>1.2184559543050001E-3</v>
      </c>
      <c r="O1477">
        <v>0</v>
      </c>
      <c r="P1477">
        <v>0</v>
      </c>
      <c r="Q1477">
        <v>0</v>
      </c>
      <c r="R1477" t="s">
        <v>243</v>
      </c>
    </row>
    <row r="1478" spans="1:18" x14ac:dyDescent="0.3">
      <c r="A1478" t="s">
        <v>259</v>
      </c>
      <c r="B1478" t="s">
        <v>36</v>
      </c>
      <c r="C1478" t="s">
        <v>334</v>
      </c>
      <c r="D1478" s="8">
        <v>3.0907900000000003E-4</v>
      </c>
      <c r="E1478" s="8">
        <v>2.32118E-5</v>
      </c>
      <c r="F1478" s="8">
        <v>1.2317899999999999E-5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243</v>
      </c>
    </row>
    <row r="1479" spans="1:18" x14ac:dyDescent="0.3">
      <c r="A1479" t="s">
        <v>259</v>
      </c>
      <c r="B1479" t="s">
        <v>36</v>
      </c>
      <c r="C1479" t="s">
        <v>335</v>
      </c>
      <c r="D1479" s="8">
        <v>1.6741599999999999E-5</v>
      </c>
      <c r="E1479" s="8">
        <v>1.13926E-6</v>
      </c>
      <c r="F1479" s="8">
        <v>5.7202100000000004E-7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243</v>
      </c>
    </row>
    <row r="1480" spans="1:18" x14ac:dyDescent="0.3">
      <c r="A1480" t="s">
        <v>259</v>
      </c>
      <c r="B1480" t="s">
        <v>36</v>
      </c>
      <c r="C1480" t="s">
        <v>336</v>
      </c>
      <c r="D1480" s="8">
        <v>1.78927E-4</v>
      </c>
      <c r="E1480" s="8">
        <v>1.24404E-5</v>
      </c>
      <c r="F1480" s="8">
        <v>6.5717600000000001E-6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243</v>
      </c>
    </row>
    <row r="1481" spans="1:18" x14ac:dyDescent="0.3">
      <c r="A1481" t="s">
        <v>259</v>
      </c>
      <c r="B1481" t="s">
        <v>36</v>
      </c>
      <c r="C1481" t="s">
        <v>337</v>
      </c>
      <c r="D1481" s="8">
        <v>1.25251E-4</v>
      </c>
      <c r="E1481" s="8">
        <v>9.0443999999999993E-6</v>
      </c>
      <c r="F1481" s="8">
        <v>4.6467699999999997E-6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243</v>
      </c>
    </row>
    <row r="1482" spans="1:18" x14ac:dyDescent="0.3">
      <c r="A1482" t="s">
        <v>259</v>
      </c>
      <c r="B1482" t="s">
        <v>36</v>
      </c>
      <c r="C1482" t="s">
        <v>338</v>
      </c>
      <c r="D1482" s="8">
        <v>9.95218E-5</v>
      </c>
      <c r="E1482" s="8">
        <v>7.1896599999999997E-6</v>
      </c>
      <c r="F1482" s="8">
        <v>3.6352899999999999E-6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243</v>
      </c>
    </row>
    <row r="1483" spans="1:18" x14ac:dyDescent="0.3">
      <c r="A1483" t="s">
        <v>259</v>
      </c>
      <c r="B1483" t="s">
        <v>36</v>
      </c>
      <c r="C1483" t="s">
        <v>339</v>
      </c>
      <c r="D1483" s="8">
        <v>8.1118000000000005E-5</v>
      </c>
      <c r="E1483" s="8">
        <v>5.84287E-6</v>
      </c>
      <c r="F1483" s="8">
        <v>2.9552000000000001E-6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243</v>
      </c>
    </row>
    <row r="1484" spans="1:18" x14ac:dyDescent="0.3">
      <c r="A1484" t="s">
        <v>259</v>
      </c>
      <c r="B1484" t="s">
        <v>36</v>
      </c>
      <c r="C1484" t="s">
        <v>340</v>
      </c>
      <c r="D1484" s="8">
        <v>6.6880700000000005E-5</v>
      </c>
      <c r="E1484" s="8">
        <v>4.8182599999999998E-6</v>
      </c>
      <c r="F1484" s="8">
        <v>2.4321699999999998E-6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243</v>
      </c>
    </row>
    <row r="1485" spans="1:18" x14ac:dyDescent="0.3">
      <c r="A1485" t="s">
        <v>259</v>
      </c>
      <c r="B1485" t="s">
        <v>36</v>
      </c>
      <c r="C1485" t="s">
        <v>341</v>
      </c>
      <c r="D1485" s="8">
        <v>5.4658799999999999E-5</v>
      </c>
      <c r="E1485" s="8">
        <v>3.9605499999999997E-6</v>
      </c>
      <c r="F1485" s="8">
        <v>1.9912699999999999E-6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243</v>
      </c>
    </row>
    <row r="1486" spans="1:18" x14ac:dyDescent="0.3">
      <c r="A1486" t="s">
        <v>259</v>
      </c>
      <c r="B1486" t="s">
        <v>36</v>
      </c>
      <c r="C1486" t="s">
        <v>342</v>
      </c>
      <c r="D1486" s="8">
        <v>4.3969099999999999E-5</v>
      </c>
      <c r="E1486" s="8">
        <v>3.1638000000000001E-6</v>
      </c>
      <c r="F1486" s="8">
        <v>1.59359E-6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243</v>
      </c>
    </row>
    <row r="1487" spans="1:18" x14ac:dyDescent="0.3">
      <c r="A1487" t="s">
        <v>259</v>
      </c>
      <c r="B1487" t="s">
        <v>36</v>
      </c>
      <c r="C1487" t="s">
        <v>343</v>
      </c>
      <c r="D1487" s="8">
        <v>3.2397200000000002E-5</v>
      </c>
      <c r="E1487" s="8">
        <v>2.3322100000000002E-6</v>
      </c>
      <c r="F1487" s="8">
        <v>1.17718E-6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243</v>
      </c>
    </row>
    <row r="1488" spans="1:18" x14ac:dyDescent="0.3">
      <c r="A1488" t="s">
        <v>259</v>
      </c>
      <c r="B1488" t="s">
        <v>36</v>
      </c>
      <c r="C1488" t="s">
        <v>284</v>
      </c>
      <c r="D1488">
        <v>5.1403132101999899E-2</v>
      </c>
      <c r="E1488">
        <v>6.4768367681999894E-2</v>
      </c>
      <c r="F1488">
        <v>6.214772415E-2</v>
      </c>
      <c r="G1488">
        <v>5.4185567039999903E-2</v>
      </c>
      <c r="H1488">
        <v>5.1920205589999997E-2</v>
      </c>
      <c r="I1488">
        <v>5.1548530168999997E-2</v>
      </c>
      <c r="J1488">
        <v>5.1439619504E-2</v>
      </c>
      <c r="K1488">
        <v>5.1192669816999999E-2</v>
      </c>
      <c r="L1488">
        <v>5.1010088696999897E-2</v>
      </c>
      <c r="M1488">
        <v>5.0522833412999901E-2</v>
      </c>
      <c r="N1488">
        <v>4.9639157790999998E-2</v>
      </c>
      <c r="O1488">
        <v>0</v>
      </c>
      <c r="P1488">
        <v>0</v>
      </c>
      <c r="Q1488">
        <v>0</v>
      </c>
      <c r="R1488" t="s">
        <v>243</v>
      </c>
    </row>
    <row r="1489" spans="1:18" x14ac:dyDescent="0.3">
      <c r="A1489" t="s">
        <v>259</v>
      </c>
      <c r="B1489" t="s">
        <v>36</v>
      </c>
      <c r="C1489" t="s">
        <v>285</v>
      </c>
      <c r="D1489">
        <v>8.5021361593999895E-2</v>
      </c>
      <c r="E1489">
        <v>0.10650706258000001</v>
      </c>
      <c r="F1489">
        <v>0.10698910011</v>
      </c>
      <c r="G1489">
        <v>9.7958868960000001E-2</v>
      </c>
      <c r="H1489">
        <v>9.1937324629999997E-2</v>
      </c>
      <c r="I1489">
        <v>9.0279948550000003E-2</v>
      </c>
      <c r="J1489">
        <v>8.7475729599999996E-2</v>
      </c>
      <c r="K1489">
        <v>8.4779688655999899E-2</v>
      </c>
      <c r="L1489">
        <v>8.2434334852999905E-2</v>
      </c>
      <c r="M1489">
        <v>7.9580246255999895E-2</v>
      </c>
      <c r="N1489">
        <v>7.6163001999999994E-2</v>
      </c>
      <c r="O1489">
        <v>0</v>
      </c>
      <c r="P1489">
        <v>0</v>
      </c>
      <c r="Q1489">
        <v>0</v>
      </c>
      <c r="R1489" t="s">
        <v>243</v>
      </c>
    </row>
    <row r="1490" spans="1:18" x14ac:dyDescent="0.3">
      <c r="A1490" t="s">
        <v>259</v>
      </c>
      <c r="B1490" t="s">
        <v>36</v>
      </c>
      <c r="C1490" t="s">
        <v>286</v>
      </c>
      <c r="D1490">
        <v>5.9426428910999897E-2</v>
      </c>
      <c r="E1490">
        <v>7.5135374608000002E-2</v>
      </c>
      <c r="F1490">
        <v>7.4198144959999907E-2</v>
      </c>
      <c r="G1490">
        <v>6.6715100329999999E-2</v>
      </c>
      <c r="H1490">
        <v>6.2860568419999999E-2</v>
      </c>
      <c r="I1490">
        <v>6.1957271389999999E-2</v>
      </c>
      <c r="J1490">
        <v>6.1041968079000003E-2</v>
      </c>
      <c r="K1490">
        <v>6.0085753981000002E-2</v>
      </c>
      <c r="L1490">
        <v>5.9305058931999999E-2</v>
      </c>
      <c r="M1490">
        <v>5.8145355440999899E-2</v>
      </c>
      <c r="N1490">
        <v>5.6568468808999899E-2</v>
      </c>
      <c r="O1490">
        <v>0</v>
      </c>
      <c r="P1490">
        <v>0</v>
      </c>
      <c r="Q1490">
        <v>0</v>
      </c>
      <c r="R1490" t="s">
        <v>243</v>
      </c>
    </row>
    <row r="1491" spans="1:18" x14ac:dyDescent="0.3">
      <c r="A1491" t="s">
        <v>259</v>
      </c>
      <c r="B1491" t="s">
        <v>36</v>
      </c>
      <c r="C1491" t="s">
        <v>287</v>
      </c>
      <c r="D1491">
        <v>6.3808698289999993E-2</v>
      </c>
      <c r="E1491">
        <v>7.9727641385999901E-2</v>
      </c>
      <c r="F1491">
        <v>7.9610268499999998E-2</v>
      </c>
      <c r="G1491">
        <v>7.22816328199999E-2</v>
      </c>
      <c r="H1491">
        <v>6.7488219919999995E-2</v>
      </c>
      <c r="I1491">
        <v>6.7063586169999995E-2</v>
      </c>
      <c r="J1491">
        <v>6.5671118841999901E-2</v>
      </c>
      <c r="K1491">
        <v>6.43173603879999E-2</v>
      </c>
      <c r="L1491">
        <v>6.3214486998999994E-2</v>
      </c>
      <c r="M1491">
        <v>6.1707403165000001E-2</v>
      </c>
      <c r="N1491">
        <v>5.9793807444000001E-2</v>
      </c>
      <c r="O1491">
        <v>0</v>
      </c>
      <c r="P1491">
        <v>0</v>
      </c>
      <c r="Q1491">
        <v>0</v>
      </c>
      <c r="R1491" t="s">
        <v>243</v>
      </c>
    </row>
    <row r="1492" spans="1:18" x14ac:dyDescent="0.3">
      <c r="A1492" t="s">
        <v>259</v>
      </c>
      <c r="B1492" t="s">
        <v>36</v>
      </c>
      <c r="C1492" t="s">
        <v>288</v>
      </c>
      <c r="D1492">
        <v>6.6432290714999995E-2</v>
      </c>
      <c r="E1492">
        <v>8.2897576062000003E-2</v>
      </c>
      <c r="F1492">
        <v>8.3130605009999997E-2</v>
      </c>
      <c r="G1492">
        <v>7.5807390729999896E-2</v>
      </c>
      <c r="H1492">
        <v>7.0904144229999896E-2</v>
      </c>
      <c r="I1492">
        <v>7.0141458219999994E-2</v>
      </c>
      <c r="J1492">
        <v>6.8526021871999895E-2</v>
      </c>
      <c r="K1492">
        <v>6.7000935742999895E-2</v>
      </c>
      <c r="L1492">
        <v>6.5765438611999905E-2</v>
      </c>
      <c r="M1492">
        <v>6.4114912968999904E-2</v>
      </c>
      <c r="N1492">
        <v>6.2023636096E-2</v>
      </c>
      <c r="O1492">
        <v>0</v>
      </c>
      <c r="P1492">
        <v>0</v>
      </c>
      <c r="Q1492">
        <v>0</v>
      </c>
      <c r="R1492" t="s">
        <v>243</v>
      </c>
    </row>
    <row r="1493" spans="1:18" x14ac:dyDescent="0.3">
      <c r="A1493" t="s">
        <v>259</v>
      </c>
      <c r="B1493" t="s">
        <v>36</v>
      </c>
      <c r="C1493" t="s">
        <v>289</v>
      </c>
      <c r="D1493">
        <v>6.8690318086999894E-2</v>
      </c>
      <c r="E1493">
        <v>8.5705571788000007E-2</v>
      </c>
      <c r="F1493">
        <v>8.598648448E-2</v>
      </c>
      <c r="G1493">
        <v>7.8517105000000004E-2</v>
      </c>
      <c r="H1493">
        <v>7.3511272619999998E-2</v>
      </c>
      <c r="I1493">
        <v>7.2703317579999996E-2</v>
      </c>
      <c r="J1493">
        <v>7.0935262516000006E-2</v>
      </c>
      <c r="K1493">
        <v>6.9257149448000002E-2</v>
      </c>
      <c r="L1493">
        <v>6.7917491334999996E-2</v>
      </c>
      <c r="M1493">
        <v>6.6133072060000006E-2</v>
      </c>
      <c r="N1493">
        <v>6.3884401987000003E-2</v>
      </c>
      <c r="O1493">
        <v>0</v>
      </c>
      <c r="P1493">
        <v>0</v>
      </c>
      <c r="Q1493">
        <v>0</v>
      </c>
      <c r="R1493" t="s">
        <v>243</v>
      </c>
    </row>
    <row r="1494" spans="1:18" x14ac:dyDescent="0.3">
      <c r="A1494" t="s">
        <v>259</v>
      </c>
      <c r="B1494" t="s">
        <v>36</v>
      </c>
      <c r="C1494" t="s">
        <v>290</v>
      </c>
      <c r="D1494">
        <v>7.0780301507999993E-2</v>
      </c>
      <c r="E1494">
        <v>8.8279406619999903E-2</v>
      </c>
      <c r="F1494">
        <v>8.8612441340000001E-2</v>
      </c>
      <c r="G1494">
        <v>8.1010082709999903E-2</v>
      </c>
      <c r="H1494">
        <v>7.5892524370000006E-2</v>
      </c>
      <c r="I1494">
        <v>7.504048026E-2</v>
      </c>
      <c r="J1494">
        <v>7.3116609631000001E-2</v>
      </c>
      <c r="K1494">
        <v>7.1324799612999895E-2</v>
      </c>
      <c r="L1494">
        <v>6.9849636156999906E-2</v>
      </c>
      <c r="M1494">
        <v>6.7953805704999995E-2</v>
      </c>
      <c r="N1494">
        <v>6.5575842590000002E-2</v>
      </c>
      <c r="O1494">
        <v>0</v>
      </c>
      <c r="P1494">
        <v>0</v>
      </c>
      <c r="Q1494">
        <v>0</v>
      </c>
      <c r="R1494" t="s">
        <v>243</v>
      </c>
    </row>
    <row r="1495" spans="1:18" x14ac:dyDescent="0.3">
      <c r="A1495" t="s">
        <v>259</v>
      </c>
      <c r="B1495" t="s">
        <v>36</v>
      </c>
      <c r="C1495" t="s">
        <v>291</v>
      </c>
      <c r="D1495">
        <v>7.2933998786000001E-2</v>
      </c>
      <c r="E1495">
        <v>9.086057031E-2</v>
      </c>
      <c r="F1495">
        <v>9.1260583130000003E-2</v>
      </c>
      <c r="G1495">
        <v>8.3422674820000001E-2</v>
      </c>
      <c r="H1495">
        <v>7.8184824909999895E-2</v>
      </c>
      <c r="I1495">
        <v>7.7373653509999904E-2</v>
      </c>
      <c r="J1495">
        <v>7.5309322126E-2</v>
      </c>
      <c r="K1495">
        <v>7.3380112168E-2</v>
      </c>
      <c r="L1495">
        <v>7.1787216325E-2</v>
      </c>
      <c r="M1495">
        <v>6.9743399797999997E-2</v>
      </c>
      <c r="N1495">
        <v>6.7193586518999995E-2</v>
      </c>
      <c r="O1495">
        <v>0</v>
      </c>
      <c r="P1495">
        <v>0</v>
      </c>
      <c r="Q1495">
        <v>0</v>
      </c>
      <c r="R1495" t="s">
        <v>243</v>
      </c>
    </row>
    <row r="1496" spans="1:18" x14ac:dyDescent="0.3">
      <c r="A1496" t="s">
        <v>259</v>
      </c>
      <c r="B1496" t="s">
        <v>36</v>
      </c>
      <c r="C1496" t="s">
        <v>292</v>
      </c>
      <c r="D1496">
        <v>7.5226294633999893E-2</v>
      </c>
      <c r="E1496">
        <v>9.3780847889999894E-2</v>
      </c>
      <c r="F1496">
        <v>9.4175054480000006E-2</v>
      </c>
      <c r="G1496">
        <v>8.6322779209999895E-2</v>
      </c>
      <c r="H1496">
        <v>8.093580014E-2</v>
      </c>
      <c r="I1496">
        <v>7.9921114059999895E-2</v>
      </c>
      <c r="J1496">
        <v>7.7737293118999906E-2</v>
      </c>
      <c r="K1496">
        <v>7.5654665687999903E-2</v>
      </c>
      <c r="L1496">
        <v>7.3899468215E-2</v>
      </c>
      <c r="M1496">
        <v>7.1687092763000004E-2</v>
      </c>
      <c r="N1496">
        <v>6.8975479120999994E-2</v>
      </c>
      <c r="O1496">
        <v>0</v>
      </c>
      <c r="P1496">
        <v>0</v>
      </c>
      <c r="Q1496">
        <v>0</v>
      </c>
      <c r="R1496" t="s">
        <v>243</v>
      </c>
    </row>
    <row r="1497" spans="1:18" x14ac:dyDescent="0.3">
      <c r="A1497" t="s">
        <v>259</v>
      </c>
      <c r="B1497" t="s">
        <v>36</v>
      </c>
      <c r="C1497" t="s">
        <v>293</v>
      </c>
      <c r="D1497">
        <v>7.8392106141000006E-2</v>
      </c>
      <c r="E1497">
        <v>9.7673592379999993E-2</v>
      </c>
      <c r="F1497">
        <v>9.8054290719999895E-2</v>
      </c>
      <c r="G1497">
        <v>8.9665470129999994E-2</v>
      </c>
      <c r="H1497">
        <v>8.4098640380000006E-2</v>
      </c>
      <c r="I1497">
        <v>8.3147630269999898E-2</v>
      </c>
      <c r="J1497">
        <v>8.0777534499999998E-2</v>
      </c>
      <c r="K1497">
        <v>7.8535927685999998E-2</v>
      </c>
      <c r="L1497">
        <v>7.6641991244999902E-2</v>
      </c>
      <c r="M1497">
        <v>7.4272826412999995E-2</v>
      </c>
      <c r="N1497">
        <v>7.1366110013E-2</v>
      </c>
      <c r="O1497">
        <v>0</v>
      </c>
      <c r="P1497">
        <v>0</v>
      </c>
      <c r="Q1497">
        <v>0</v>
      </c>
      <c r="R1497" t="s">
        <v>243</v>
      </c>
    </row>
    <row r="1498" spans="1:18" x14ac:dyDescent="0.3">
      <c r="A1498" t="s">
        <v>259</v>
      </c>
      <c r="B1498" t="s">
        <v>36</v>
      </c>
      <c r="C1498" t="s">
        <v>344</v>
      </c>
      <c r="D1498" s="8">
        <v>2.5840200000000002E-4</v>
      </c>
      <c r="E1498" s="8">
        <v>1.9301799999999999E-5</v>
      </c>
      <c r="F1498" s="8">
        <v>1.0237299999999999E-5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243</v>
      </c>
    </row>
    <row r="1499" spans="1:18" x14ac:dyDescent="0.3">
      <c r="A1499" t="s">
        <v>259</v>
      </c>
      <c r="B1499" t="s">
        <v>36</v>
      </c>
      <c r="C1499" t="s">
        <v>345</v>
      </c>
      <c r="D1499" s="8">
        <v>2.49717E-5</v>
      </c>
      <c r="E1499" s="8">
        <v>1.72203E-6</v>
      </c>
      <c r="F1499" s="8">
        <v>8.7558199999999996E-7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243</v>
      </c>
    </row>
    <row r="1500" spans="1:18" x14ac:dyDescent="0.3">
      <c r="A1500" t="s">
        <v>259</v>
      </c>
      <c r="B1500" t="s">
        <v>36</v>
      </c>
      <c r="C1500" t="s">
        <v>346</v>
      </c>
      <c r="D1500" s="8">
        <v>1.6739399999999999E-4</v>
      </c>
      <c r="E1500" s="8">
        <v>1.17617E-5</v>
      </c>
      <c r="F1500" s="8">
        <v>6.2162199999999996E-6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243</v>
      </c>
    </row>
    <row r="1501" spans="1:18" x14ac:dyDescent="0.3">
      <c r="A1501" t="s">
        <v>259</v>
      </c>
      <c r="B1501" t="s">
        <v>36</v>
      </c>
      <c r="C1501" t="s">
        <v>347</v>
      </c>
      <c r="D1501" s="8">
        <v>1.2595E-4</v>
      </c>
      <c r="E1501" s="8">
        <v>9.1200999999999993E-6</v>
      </c>
      <c r="F1501" s="8">
        <v>4.7161100000000003E-6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243</v>
      </c>
    </row>
    <row r="1502" spans="1:18" x14ac:dyDescent="0.3">
      <c r="A1502" t="s">
        <v>259</v>
      </c>
      <c r="B1502" t="s">
        <v>36</v>
      </c>
      <c r="C1502" t="s">
        <v>348</v>
      </c>
      <c r="D1502" s="8">
        <v>1.04802E-4</v>
      </c>
      <c r="E1502" s="8">
        <v>7.5924200000000001E-6</v>
      </c>
      <c r="F1502" s="8">
        <v>3.8758000000000002E-6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243</v>
      </c>
    </row>
    <row r="1503" spans="1:18" x14ac:dyDescent="0.3">
      <c r="A1503" t="s">
        <v>259</v>
      </c>
      <c r="B1503" t="s">
        <v>36</v>
      </c>
      <c r="C1503" t="s">
        <v>349</v>
      </c>
      <c r="D1503" s="8">
        <v>8.8974400000000007E-5</v>
      </c>
      <c r="E1503" s="8">
        <v>6.4304600000000003E-6</v>
      </c>
      <c r="F1503" s="8">
        <v>3.2823899999999998E-6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243</v>
      </c>
    </row>
    <row r="1504" spans="1:18" x14ac:dyDescent="0.3">
      <c r="A1504" t="s">
        <v>259</v>
      </c>
      <c r="B1504" t="s">
        <v>36</v>
      </c>
      <c r="C1504" t="s">
        <v>350</v>
      </c>
      <c r="D1504" s="8">
        <v>7.6215099999999995E-5</v>
      </c>
      <c r="E1504" s="8">
        <v>5.5067500000000003E-6</v>
      </c>
      <c r="F1504" s="8">
        <v>2.80726E-6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243</v>
      </c>
    </row>
    <row r="1505" spans="1:18" x14ac:dyDescent="0.3">
      <c r="A1505" t="s">
        <v>259</v>
      </c>
      <c r="B1505" t="s">
        <v>36</v>
      </c>
      <c r="C1505" t="s">
        <v>351</v>
      </c>
      <c r="D1505" s="8">
        <v>6.4815399999999996E-5</v>
      </c>
      <c r="E1505" s="8">
        <v>4.7063400000000004E-6</v>
      </c>
      <c r="F1505" s="8">
        <v>2.3922900000000001E-6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243</v>
      </c>
    </row>
    <row r="1506" spans="1:18" x14ac:dyDescent="0.3">
      <c r="A1506" t="s">
        <v>259</v>
      </c>
      <c r="B1506" t="s">
        <v>36</v>
      </c>
      <c r="C1506" t="s">
        <v>352</v>
      </c>
      <c r="D1506" s="8">
        <v>5.4411399999999999E-5</v>
      </c>
      <c r="E1506" s="8">
        <v>3.9289099999999996E-6</v>
      </c>
      <c r="F1506" s="8">
        <v>1.99807E-6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243</v>
      </c>
    </row>
    <row r="1507" spans="1:18" x14ac:dyDescent="0.3">
      <c r="A1507" t="s">
        <v>259</v>
      </c>
      <c r="B1507" t="s">
        <v>36</v>
      </c>
      <c r="C1507" t="s">
        <v>353</v>
      </c>
      <c r="D1507" s="8">
        <v>4.25479E-5</v>
      </c>
      <c r="E1507" s="8">
        <v>3.0741700000000002E-6</v>
      </c>
      <c r="F1507" s="8">
        <v>1.5665E-6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243</v>
      </c>
    </row>
    <row r="1508" spans="1:18" x14ac:dyDescent="0.3">
      <c r="A1508" t="s">
        <v>259</v>
      </c>
      <c r="B1508" t="s">
        <v>36</v>
      </c>
      <c r="C1508" t="s">
        <v>294</v>
      </c>
      <c r="D1508">
        <v>4.3027316552999998E-3</v>
      </c>
      <c r="E1508">
        <v>5.9811572510000003E-3</v>
      </c>
      <c r="F1508">
        <v>5.5025888457999996E-3</v>
      </c>
      <c r="G1508">
        <v>4.7000847717000001E-3</v>
      </c>
      <c r="H1508">
        <v>4.5466822712999901E-3</v>
      </c>
      <c r="I1508">
        <v>4.8033529859E-3</v>
      </c>
      <c r="J1508">
        <v>5.1704065003999999E-3</v>
      </c>
      <c r="K1508">
        <v>5.40850501E-3</v>
      </c>
      <c r="L1508">
        <v>5.6342254199999997E-3</v>
      </c>
      <c r="M1508">
        <v>5.8956288000000003E-3</v>
      </c>
      <c r="N1508">
        <v>6.1727808799999897E-3</v>
      </c>
      <c r="O1508">
        <v>0</v>
      </c>
      <c r="P1508">
        <v>0</v>
      </c>
      <c r="Q1508">
        <v>0</v>
      </c>
      <c r="R1508" t="s">
        <v>243</v>
      </c>
    </row>
    <row r="1509" spans="1:18" x14ac:dyDescent="0.3">
      <c r="A1509" t="s">
        <v>259</v>
      </c>
      <c r="B1509" t="s">
        <v>36</v>
      </c>
      <c r="C1509" t="s">
        <v>295</v>
      </c>
      <c r="D1509">
        <v>2.22675668839999E-2</v>
      </c>
      <c r="E1509">
        <v>2.7070968067999999E-2</v>
      </c>
      <c r="F1509">
        <v>2.8852854381E-2</v>
      </c>
      <c r="G1509">
        <v>2.8444100024999999E-2</v>
      </c>
      <c r="H1509">
        <v>2.6697922969000001E-2</v>
      </c>
      <c r="I1509">
        <v>2.73381378119999E-2</v>
      </c>
      <c r="J1509">
        <v>2.7057677754999999E-2</v>
      </c>
      <c r="K1509">
        <v>2.69957797E-2</v>
      </c>
      <c r="L1509">
        <v>2.6996880399999999E-2</v>
      </c>
      <c r="M1509">
        <v>2.67632657E-2</v>
      </c>
      <c r="N1509">
        <v>2.6441562999999901E-2</v>
      </c>
      <c r="O1509">
        <v>0</v>
      </c>
      <c r="P1509">
        <v>0</v>
      </c>
      <c r="Q1509">
        <v>0</v>
      </c>
      <c r="R1509" t="s">
        <v>243</v>
      </c>
    </row>
    <row r="1510" spans="1:18" x14ac:dyDescent="0.3">
      <c r="A1510" t="s">
        <v>259</v>
      </c>
      <c r="B1510" t="s">
        <v>36</v>
      </c>
      <c r="C1510" t="s">
        <v>296</v>
      </c>
      <c r="D1510">
        <v>6.6615406619999996E-3</v>
      </c>
      <c r="E1510">
        <v>9.6187464859999999E-3</v>
      </c>
      <c r="F1510">
        <v>9.0533547040000002E-3</v>
      </c>
      <c r="G1510">
        <v>8.0478461530000007E-3</v>
      </c>
      <c r="H1510">
        <v>7.4777618609999999E-3</v>
      </c>
      <c r="I1510">
        <v>7.8402613762999993E-3</v>
      </c>
      <c r="J1510">
        <v>8.3255702910999905E-3</v>
      </c>
      <c r="K1510">
        <v>8.7050110499999993E-3</v>
      </c>
      <c r="L1510">
        <v>9.0456119000000001E-3</v>
      </c>
      <c r="M1510">
        <v>9.4338107999999907E-3</v>
      </c>
      <c r="N1510">
        <v>9.8338483999999907E-3</v>
      </c>
      <c r="O1510">
        <v>0</v>
      </c>
      <c r="P1510">
        <v>0</v>
      </c>
      <c r="Q1510">
        <v>0</v>
      </c>
      <c r="R1510" t="s">
        <v>243</v>
      </c>
    </row>
    <row r="1511" spans="1:18" x14ac:dyDescent="0.3">
      <c r="A1511" t="s">
        <v>259</v>
      </c>
      <c r="B1511" t="s">
        <v>36</v>
      </c>
      <c r="C1511" t="s">
        <v>297</v>
      </c>
      <c r="D1511">
        <v>8.6154216350000003E-3</v>
      </c>
      <c r="E1511">
        <v>1.1900733541E-2</v>
      </c>
      <c r="F1511">
        <v>1.1551354805999999E-2</v>
      </c>
      <c r="G1511">
        <v>1.05216367709999E-2</v>
      </c>
      <c r="H1511">
        <v>9.1759368420000001E-3</v>
      </c>
      <c r="I1511">
        <v>1.0285388885299999E-2</v>
      </c>
      <c r="J1511">
        <v>1.0773941628500001E-2</v>
      </c>
      <c r="K1511">
        <v>1.1179981079999899E-2</v>
      </c>
      <c r="L1511">
        <v>1.1534965229999999E-2</v>
      </c>
      <c r="M1511">
        <v>1.1927606099999899E-2</v>
      </c>
      <c r="N1511">
        <v>1.2328187399999999E-2</v>
      </c>
      <c r="O1511">
        <v>0</v>
      </c>
      <c r="P1511">
        <v>0</v>
      </c>
      <c r="Q1511">
        <v>0</v>
      </c>
      <c r="R1511" t="s">
        <v>243</v>
      </c>
    </row>
    <row r="1512" spans="1:18" x14ac:dyDescent="0.3">
      <c r="A1512" t="s">
        <v>259</v>
      </c>
      <c r="B1512" t="s">
        <v>36</v>
      </c>
      <c r="C1512" t="s">
        <v>298</v>
      </c>
      <c r="D1512">
        <v>1.0041054892999999E-2</v>
      </c>
      <c r="E1512">
        <v>1.3685654324000001E-2</v>
      </c>
      <c r="F1512">
        <v>1.3529005934999901E-2</v>
      </c>
      <c r="G1512">
        <v>1.2528283963E-2</v>
      </c>
      <c r="H1512">
        <v>1.0961172391E-2</v>
      </c>
      <c r="I1512">
        <v>1.2160347780999999E-2</v>
      </c>
      <c r="J1512">
        <v>1.26429768717999E-2</v>
      </c>
      <c r="K1512">
        <v>1.30823561499999E-2</v>
      </c>
      <c r="L1512">
        <v>1.3476261599999999E-2</v>
      </c>
      <c r="M1512">
        <v>1.3896840299999901E-2</v>
      </c>
      <c r="N1512">
        <v>1.42997097E-2</v>
      </c>
      <c r="O1512">
        <v>0</v>
      </c>
      <c r="P1512">
        <v>0</v>
      </c>
      <c r="Q1512">
        <v>0</v>
      </c>
      <c r="R1512" t="s">
        <v>243</v>
      </c>
    </row>
    <row r="1513" spans="1:18" x14ac:dyDescent="0.3">
      <c r="A1513" t="s">
        <v>259</v>
      </c>
      <c r="B1513" t="s">
        <v>36</v>
      </c>
      <c r="C1513" t="s">
        <v>299</v>
      </c>
      <c r="D1513">
        <v>1.1404109639E-2</v>
      </c>
      <c r="E1513">
        <v>1.5371383696E-2</v>
      </c>
      <c r="F1513">
        <v>1.5308447383000001E-2</v>
      </c>
      <c r="G1513">
        <v>1.4293795805999999E-2</v>
      </c>
      <c r="H1513">
        <v>1.2622851929999899E-2</v>
      </c>
      <c r="I1513">
        <v>1.3924477603E-2</v>
      </c>
      <c r="J1513">
        <v>1.4397432076099901E-2</v>
      </c>
      <c r="K1513">
        <v>1.48386539899999E-2</v>
      </c>
      <c r="L1513">
        <v>1.5259491599999999E-2</v>
      </c>
      <c r="M1513">
        <v>1.5674939299999999E-2</v>
      </c>
      <c r="N1513">
        <v>1.6050786099999999E-2</v>
      </c>
      <c r="O1513">
        <v>0</v>
      </c>
      <c r="P1513">
        <v>0</v>
      </c>
      <c r="Q1513">
        <v>0</v>
      </c>
      <c r="R1513" t="s">
        <v>243</v>
      </c>
    </row>
    <row r="1514" spans="1:18" x14ac:dyDescent="0.3">
      <c r="A1514" t="s">
        <v>259</v>
      </c>
      <c r="B1514" t="s">
        <v>36</v>
      </c>
      <c r="C1514" t="s">
        <v>300</v>
      </c>
      <c r="D1514">
        <v>1.2757246361000001E-2</v>
      </c>
      <c r="E1514">
        <v>1.6971225787999901E-2</v>
      </c>
      <c r="F1514">
        <v>1.7048793563999898E-2</v>
      </c>
      <c r="G1514">
        <v>1.6059282647999999E-2</v>
      </c>
      <c r="H1514">
        <v>1.4313484967999999E-2</v>
      </c>
      <c r="I1514">
        <v>1.5667294823999998E-2</v>
      </c>
      <c r="J1514">
        <v>1.6095277379999998E-2</v>
      </c>
      <c r="K1514">
        <v>1.65396004E-2</v>
      </c>
      <c r="L1514">
        <v>1.6941982099999999E-2</v>
      </c>
      <c r="M1514">
        <v>1.7342303100000001E-2</v>
      </c>
      <c r="N1514">
        <v>1.7685513699999902E-2</v>
      </c>
      <c r="O1514">
        <v>0</v>
      </c>
      <c r="P1514">
        <v>0</v>
      </c>
      <c r="Q1514">
        <v>0</v>
      </c>
      <c r="R1514" t="s">
        <v>243</v>
      </c>
    </row>
    <row r="1515" spans="1:18" x14ac:dyDescent="0.3">
      <c r="A1515" t="s">
        <v>259</v>
      </c>
      <c r="B1515" t="s">
        <v>36</v>
      </c>
      <c r="C1515" t="s">
        <v>301</v>
      </c>
      <c r="D1515">
        <v>1.4219923254E-2</v>
      </c>
      <c r="E1515">
        <v>1.85969757239999E-2</v>
      </c>
      <c r="F1515">
        <v>1.8868785603E-2</v>
      </c>
      <c r="G1515">
        <v>1.7862234168E-2</v>
      </c>
      <c r="H1515">
        <v>1.6115029074999999E-2</v>
      </c>
      <c r="I1515">
        <v>1.7500627283999998E-2</v>
      </c>
      <c r="J1515">
        <v>1.7874957992399999E-2</v>
      </c>
      <c r="K1515">
        <v>1.8288463799999901E-2</v>
      </c>
      <c r="L1515">
        <v>1.8673983299999999E-2</v>
      </c>
      <c r="M1515">
        <v>1.9012518199999998E-2</v>
      </c>
      <c r="N1515">
        <v>1.9269931800000001E-2</v>
      </c>
      <c r="O1515">
        <v>0</v>
      </c>
      <c r="P1515">
        <v>0</v>
      </c>
      <c r="Q1515">
        <v>0</v>
      </c>
      <c r="R1515" t="s">
        <v>243</v>
      </c>
    </row>
    <row r="1516" spans="1:18" x14ac:dyDescent="0.3">
      <c r="A1516" t="s">
        <v>259</v>
      </c>
      <c r="B1516" t="s">
        <v>36</v>
      </c>
      <c r="C1516" t="s">
        <v>302</v>
      </c>
      <c r="D1516">
        <v>1.5821904290000001E-2</v>
      </c>
      <c r="E1516">
        <v>2.0419688358999901E-2</v>
      </c>
      <c r="F1516">
        <v>2.0900951162000001E-2</v>
      </c>
      <c r="G1516">
        <v>2.0099675522E-2</v>
      </c>
      <c r="H1516">
        <v>1.8206683705000001E-2</v>
      </c>
      <c r="I1516">
        <v>1.95713032609999E-2</v>
      </c>
      <c r="J1516">
        <v>1.9884078017000002E-2</v>
      </c>
      <c r="K1516">
        <v>2.02418636E-2</v>
      </c>
      <c r="L1516">
        <v>2.0566192600000002E-2</v>
      </c>
      <c r="M1516">
        <v>2.0810589399999899E-2</v>
      </c>
      <c r="N1516">
        <v>2.0977385099999999E-2</v>
      </c>
      <c r="O1516">
        <v>0</v>
      </c>
      <c r="P1516">
        <v>0</v>
      </c>
      <c r="Q1516">
        <v>0</v>
      </c>
      <c r="R1516" t="s">
        <v>243</v>
      </c>
    </row>
    <row r="1517" spans="1:18" x14ac:dyDescent="0.3">
      <c r="A1517" t="s">
        <v>259</v>
      </c>
      <c r="B1517" t="s">
        <v>36</v>
      </c>
      <c r="C1517" t="s">
        <v>303</v>
      </c>
      <c r="D1517">
        <v>1.80414648559999E-2</v>
      </c>
      <c r="E1517">
        <v>2.2739010258E-2</v>
      </c>
      <c r="F1517">
        <v>2.3560099413E-2</v>
      </c>
      <c r="G1517">
        <v>2.2686246173999999E-2</v>
      </c>
      <c r="H1517">
        <v>2.0870623293999999E-2</v>
      </c>
      <c r="I1517">
        <v>2.2179771686999999E-2</v>
      </c>
      <c r="J1517">
        <v>2.23509818809999E-2</v>
      </c>
      <c r="K1517">
        <v>2.2627036999999999E-2</v>
      </c>
      <c r="L1517">
        <v>2.2898073599999898E-2</v>
      </c>
      <c r="M1517">
        <v>2.30331981999999E-2</v>
      </c>
      <c r="N1517">
        <v>2.3061234999999999E-2</v>
      </c>
      <c r="O1517">
        <v>0</v>
      </c>
      <c r="P1517">
        <v>0</v>
      </c>
      <c r="Q1517">
        <v>0</v>
      </c>
      <c r="R1517" t="s">
        <v>243</v>
      </c>
    </row>
    <row r="1518" spans="1:18" x14ac:dyDescent="0.3">
      <c r="A1518" t="s">
        <v>259</v>
      </c>
      <c r="B1518" t="s">
        <v>36</v>
      </c>
      <c r="C1518" t="s">
        <v>304</v>
      </c>
      <c r="D1518">
        <v>9.7149000000000003E-3</v>
      </c>
      <c r="E1518">
        <v>1.2621E-2</v>
      </c>
      <c r="F1518">
        <v>1.2781300000000001E-2</v>
      </c>
      <c r="G1518">
        <v>1.14568E-2</v>
      </c>
      <c r="H1518">
        <v>1.183584E-2</v>
      </c>
      <c r="I1518">
        <v>1.18507E-2</v>
      </c>
      <c r="J1518">
        <v>1.2015639999999999E-2</v>
      </c>
      <c r="K1518">
        <v>1.2249289999999999E-2</v>
      </c>
      <c r="L1518">
        <v>1.2459410000000001E-2</v>
      </c>
      <c r="M1518">
        <v>1.258302E-2</v>
      </c>
      <c r="N1518">
        <v>1.26364199999999E-2</v>
      </c>
      <c r="O1518">
        <v>0</v>
      </c>
      <c r="P1518">
        <v>0</v>
      </c>
      <c r="Q1518">
        <v>0</v>
      </c>
      <c r="R1518" t="s">
        <v>243</v>
      </c>
    </row>
    <row r="1519" spans="1:18" x14ac:dyDescent="0.3">
      <c r="A1519" t="s">
        <v>259</v>
      </c>
      <c r="B1519" t="s">
        <v>36</v>
      </c>
      <c r="C1519" t="s">
        <v>305</v>
      </c>
      <c r="D1519">
        <v>1.6288400000000001E-2</v>
      </c>
      <c r="E1519">
        <v>2.06841E-2</v>
      </c>
      <c r="F1519">
        <v>2.15692E-2</v>
      </c>
      <c r="G1519">
        <v>2.07117E-2</v>
      </c>
      <c r="H1519">
        <v>2.0427500000000001E-2</v>
      </c>
      <c r="I1519">
        <v>2.0581579999999999E-2</v>
      </c>
      <c r="J1519">
        <v>2.051774E-2</v>
      </c>
      <c r="K1519">
        <v>2.0556519999999998E-2</v>
      </c>
      <c r="L1519">
        <v>2.05919899999999E-2</v>
      </c>
      <c r="M1519">
        <v>2.0507640000000001E-2</v>
      </c>
      <c r="N1519">
        <v>2.0331349999999901E-2</v>
      </c>
      <c r="O1519">
        <v>0</v>
      </c>
      <c r="P1519">
        <v>0</v>
      </c>
      <c r="Q1519">
        <v>0</v>
      </c>
      <c r="R1519" t="s">
        <v>243</v>
      </c>
    </row>
    <row r="1520" spans="1:18" x14ac:dyDescent="0.3">
      <c r="A1520" t="s">
        <v>259</v>
      </c>
      <c r="B1520" t="s">
        <v>36</v>
      </c>
      <c r="C1520" t="s">
        <v>306</v>
      </c>
      <c r="D1520">
        <v>1.13349E-2</v>
      </c>
      <c r="E1520">
        <v>1.4600399999999999E-2</v>
      </c>
      <c r="F1520">
        <v>1.5035700000000001E-2</v>
      </c>
      <c r="G1520">
        <v>1.41058E-2</v>
      </c>
      <c r="H1520">
        <v>1.41104399999999E-2</v>
      </c>
      <c r="I1520">
        <v>1.413526E-2</v>
      </c>
      <c r="J1520">
        <v>1.42061299999999E-2</v>
      </c>
      <c r="K1520">
        <v>1.43394199999999E-2</v>
      </c>
      <c r="L1520">
        <v>1.445974E-2</v>
      </c>
      <c r="M1520">
        <v>1.449163E-2</v>
      </c>
      <c r="N1520">
        <v>1.446131E-2</v>
      </c>
      <c r="O1520">
        <v>0</v>
      </c>
      <c r="P1520">
        <v>0</v>
      </c>
      <c r="Q1520">
        <v>0</v>
      </c>
      <c r="R1520" t="s">
        <v>243</v>
      </c>
    </row>
    <row r="1521" spans="1:18" x14ac:dyDescent="0.3">
      <c r="A1521" t="s">
        <v>259</v>
      </c>
      <c r="B1521" t="s">
        <v>36</v>
      </c>
      <c r="C1521" t="s">
        <v>307</v>
      </c>
      <c r="D1521">
        <v>1.22062E-2</v>
      </c>
      <c r="E1521">
        <v>1.5486E-2</v>
      </c>
      <c r="F1521">
        <v>1.6076400000000001E-2</v>
      </c>
      <c r="G1521">
        <v>1.52827E-2</v>
      </c>
      <c r="H1521">
        <v>1.50891499999999E-2</v>
      </c>
      <c r="I1521">
        <v>1.5265580000000001E-2</v>
      </c>
      <c r="J1521">
        <v>1.5277260000000001E-2</v>
      </c>
      <c r="K1521">
        <v>1.536125E-2</v>
      </c>
      <c r="L1521">
        <v>1.5444050000000001E-2</v>
      </c>
      <c r="M1521">
        <v>1.543551E-2</v>
      </c>
      <c r="N1521">
        <v>1.5368740000000001E-2</v>
      </c>
      <c r="O1521">
        <v>0</v>
      </c>
      <c r="P1521">
        <v>0</v>
      </c>
      <c r="Q1521">
        <v>0</v>
      </c>
      <c r="R1521" t="s">
        <v>243</v>
      </c>
    </row>
    <row r="1522" spans="1:18" x14ac:dyDescent="0.3">
      <c r="A1522" t="s">
        <v>259</v>
      </c>
      <c r="B1522" t="s">
        <v>36</v>
      </c>
      <c r="C1522" t="s">
        <v>308</v>
      </c>
      <c r="D1522">
        <v>1.2719299999999999E-2</v>
      </c>
      <c r="E1522">
        <v>1.6099800000000001E-2</v>
      </c>
      <c r="F1522">
        <v>1.67695E-2</v>
      </c>
      <c r="G1522">
        <v>1.60281E-2</v>
      </c>
      <c r="H1522">
        <v>1.5814870000000002E-2</v>
      </c>
      <c r="I1522">
        <v>1.5957789999999999E-2</v>
      </c>
      <c r="J1522">
        <v>1.5949600000000001E-2</v>
      </c>
      <c r="K1522">
        <v>1.602481E-2</v>
      </c>
      <c r="L1522">
        <v>1.610439E-2</v>
      </c>
      <c r="M1522">
        <v>1.60907699999999E-2</v>
      </c>
      <c r="N1522">
        <v>1.6011959999999999E-2</v>
      </c>
      <c r="O1522">
        <v>0</v>
      </c>
      <c r="P1522">
        <v>0</v>
      </c>
      <c r="Q1522">
        <v>0</v>
      </c>
      <c r="R1522" t="s">
        <v>243</v>
      </c>
    </row>
    <row r="1523" spans="1:18" x14ac:dyDescent="0.3">
      <c r="A1523" t="s">
        <v>259</v>
      </c>
      <c r="B1523" t="s">
        <v>36</v>
      </c>
      <c r="C1523" t="s">
        <v>309</v>
      </c>
      <c r="D1523">
        <v>1.31565E-2</v>
      </c>
      <c r="E1523">
        <v>1.6644599999999999E-2</v>
      </c>
      <c r="F1523">
        <v>1.7338800000000001E-2</v>
      </c>
      <c r="G1523">
        <v>1.6601000000000001E-2</v>
      </c>
      <c r="H1523">
        <v>1.637659E-2</v>
      </c>
      <c r="I1523">
        <v>1.6538439999999901E-2</v>
      </c>
      <c r="J1523">
        <v>1.652079E-2</v>
      </c>
      <c r="K1523">
        <v>1.6587350000000001E-2</v>
      </c>
      <c r="L1523">
        <v>1.6667049999999999E-2</v>
      </c>
      <c r="M1523">
        <v>1.664655E-2</v>
      </c>
      <c r="N1523">
        <v>1.655568E-2</v>
      </c>
      <c r="O1523">
        <v>0</v>
      </c>
      <c r="P1523">
        <v>0</v>
      </c>
      <c r="Q1523">
        <v>0</v>
      </c>
      <c r="R1523" t="s">
        <v>243</v>
      </c>
    </row>
    <row r="1524" spans="1:18" x14ac:dyDescent="0.3">
      <c r="A1524" t="s">
        <v>259</v>
      </c>
      <c r="B1524" t="s">
        <v>36</v>
      </c>
      <c r="C1524" t="s">
        <v>310</v>
      </c>
      <c r="D1524">
        <v>1.35589E-2</v>
      </c>
      <c r="E1524">
        <v>1.7144300000000001E-2</v>
      </c>
      <c r="F1524">
        <v>1.7865700000000002E-2</v>
      </c>
      <c r="G1524">
        <v>1.71281E-2</v>
      </c>
      <c r="H1524">
        <v>1.6894569999999901E-2</v>
      </c>
      <c r="I1524">
        <v>1.7070499999999999E-2</v>
      </c>
      <c r="J1524">
        <v>1.7040409999999999E-2</v>
      </c>
      <c r="K1524">
        <v>1.7105530000000001E-2</v>
      </c>
      <c r="L1524">
        <v>1.7176379999999901E-2</v>
      </c>
      <c r="M1524">
        <v>1.71523499999999E-2</v>
      </c>
      <c r="N1524">
        <v>1.7054319999999901E-2</v>
      </c>
      <c r="O1524">
        <v>0</v>
      </c>
      <c r="P1524">
        <v>0</v>
      </c>
      <c r="Q1524">
        <v>0</v>
      </c>
      <c r="R1524" t="s">
        <v>243</v>
      </c>
    </row>
    <row r="1525" spans="1:18" x14ac:dyDescent="0.3">
      <c r="A1525" t="s">
        <v>259</v>
      </c>
      <c r="B1525" t="s">
        <v>36</v>
      </c>
      <c r="C1525" t="s">
        <v>311</v>
      </c>
      <c r="D1525">
        <v>1.3972399999999999E-2</v>
      </c>
      <c r="E1525">
        <v>1.7645500000000001E-2</v>
      </c>
      <c r="F1525">
        <v>1.8398600000000001E-2</v>
      </c>
      <c r="G1525">
        <v>1.76382E-2</v>
      </c>
      <c r="H1525">
        <v>1.7396789999999999E-2</v>
      </c>
      <c r="I1525">
        <v>1.7604129999999999E-2</v>
      </c>
      <c r="J1525">
        <v>1.7565709999999998E-2</v>
      </c>
      <c r="K1525">
        <v>1.7624809999999901E-2</v>
      </c>
      <c r="L1525">
        <v>1.7691949999999901E-2</v>
      </c>
      <c r="M1525">
        <v>1.765649E-2</v>
      </c>
      <c r="N1525">
        <v>1.7541279999999999E-2</v>
      </c>
      <c r="O1525">
        <v>0</v>
      </c>
      <c r="P1525">
        <v>0</v>
      </c>
      <c r="Q1525">
        <v>0</v>
      </c>
      <c r="R1525" t="s">
        <v>243</v>
      </c>
    </row>
    <row r="1526" spans="1:18" x14ac:dyDescent="0.3">
      <c r="A1526" t="s">
        <v>259</v>
      </c>
      <c r="B1526" t="s">
        <v>36</v>
      </c>
      <c r="C1526" t="s">
        <v>312</v>
      </c>
      <c r="D1526">
        <v>1.4411800000000001E-2</v>
      </c>
      <c r="E1526">
        <v>1.8212599999999999E-2</v>
      </c>
      <c r="F1526">
        <v>1.89859E-2</v>
      </c>
      <c r="G1526">
        <v>1.8251400000000001E-2</v>
      </c>
      <c r="H1526">
        <v>1.8001079999999999E-2</v>
      </c>
      <c r="I1526">
        <v>1.8189150000000001E-2</v>
      </c>
      <c r="J1526">
        <v>1.8150380000000001E-2</v>
      </c>
      <c r="K1526">
        <v>1.8203799999999999E-2</v>
      </c>
      <c r="L1526">
        <v>1.8260129999999999E-2</v>
      </c>
      <c r="M1526">
        <v>1.8211619999999901E-2</v>
      </c>
      <c r="N1526">
        <v>1.8085440000000001E-2</v>
      </c>
      <c r="O1526">
        <v>0</v>
      </c>
      <c r="P1526">
        <v>0</v>
      </c>
      <c r="Q1526">
        <v>0</v>
      </c>
      <c r="R1526" t="s">
        <v>243</v>
      </c>
    </row>
    <row r="1527" spans="1:18" x14ac:dyDescent="0.3">
      <c r="A1527" t="s">
        <v>259</v>
      </c>
      <c r="B1527" t="s">
        <v>36</v>
      </c>
      <c r="C1527" t="s">
        <v>313</v>
      </c>
      <c r="D1527">
        <v>1.5018399999999999E-2</v>
      </c>
      <c r="E1527">
        <v>1.8968599999999999E-2</v>
      </c>
      <c r="F1527">
        <v>1.9767900000000001E-2</v>
      </c>
      <c r="G1527">
        <v>1.8958200000000001E-2</v>
      </c>
      <c r="H1527">
        <v>1.8698070000000001E-2</v>
      </c>
      <c r="I1527">
        <v>1.8931E-2</v>
      </c>
      <c r="J1527">
        <v>1.88840799999999E-2</v>
      </c>
      <c r="K1527">
        <v>1.8938179999999999E-2</v>
      </c>
      <c r="L1527">
        <v>1.8997279999999998E-2</v>
      </c>
      <c r="M1527">
        <v>1.8946979999999999E-2</v>
      </c>
      <c r="N1527">
        <v>1.881031E-2</v>
      </c>
      <c r="O1527">
        <v>0</v>
      </c>
      <c r="P1527">
        <v>0</v>
      </c>
      <c r="Q1527">
        <v>0</v>
      </c>
      <c r="R1527" t="s">
        <v>243</v>
      </c>
    </row>
    <row r="1528" spans="1:18" x14ac:dyDescent="0.3">
      <c r="A1528" t="s">
        <v>259</v>
      </c>
      <c r="B1528" t="s">
        <v>36</v>
      </c>
      <c r="C1528" t="s">
        <v>416</v>
      </c>
      <c r="D1528" s="8">
        <v>7.9513200000000004E-4</v>
      </c>
      <c r="E1528" s="8">
        <v>6.0025699999999997E-5</v>
      </c>
      <c r="F1528" s="8">
        <v>3.1420800000000002E-5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243</v>
      </c>
    </row>
    <row r="1529" spans="1:18" x14ac:dyDescent="0.3">
      <c r="A1529" t="s">
        <v>259</v>
      </c>
      <c r="B1529" t="s">
        <v>36</v>
      </c>
      <c r="C1529" t="s">
        <v>417</v>
      </c>
      <c r="D1529" s="8">
        <v>6.9147200000000001E-8</v>
      </c>
      <c r="E1529" s="8">
        <v>2.6123100000000001E-9</v>
      </c>
      <c r="F1529" s="8">
        <v>2.59355E-9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243</v>
      </c>
    </row>
    <row r="1530" spans="1:18" x14ac:dyDescent="0.3">
      <c r="A1530" t="s">
        <v>259</v>
      </c>
      <c r="B1530" t="s">
        <v>36</v>
      </c>
      <c r="C1530" t="s">
        <v>418</v>
      </c>
      <c r="D1530" s="8">
        <v>1.3176799999999999E-4</v>
      </c>
      <c r="E1530" s="8">
        <v>7.7167599999999993E-6</v>
      </c>
      <c r="F1530" s="8">
        <v>3.9707199999999997E-6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243</v>
      </c>
    </row>
    <row r="1531" spans="1:18" x14ac:dyDescent="0.3">
      <c r="A1531" t="s">
        <v>259</v>
      </c>
      <c r="B1531" t="s">
        <v>36</v>
      </c>
      <c r="C1531" t="s">
        <v>419</v>
      </c>
      <c r="D1531" s="8">
        <v>4.13181E-5</v>
      </c>
      <c r="E1531" s="8">
        <v>2.7377000000000001E-6</v>
      </c>
      <c r="F1531" s="8">
        <v>1.2864000000000001E-6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">
        <v>243</v>
      </c>
    </row>
    <row r="1532" spans="1:18" x14ac:dyDescent="0.3">
      <c r="A1532" t="s">
        <v>259</v>
      </c>
      <c r="B1532" t="s">
        <v>36</v>
      </c>
      <c r="C1532" t="s">
        <v>420</v>
      </c>
      <c r="D1532" s="8">
        <v>1.96564E-5</v>
      </c>
      <c r="E1532" s="8">
        <v>1.30616E-6</v>
      </c>
      <c r="F1532" s="8">
        <v>5.8354799999999995E-7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t="s">
        <v>243</v>
      </c>
    </row>
    <row r="1533" spans="1:18" x14ac:dyDescent="0.3">
      <c r="A1533" t="s">
        <v>259</v>
      </c>
      <c r="B1533" t="s">
        <v>36</v>
      </c>
      <c r="C1533" t="s">
        <v>421</v>
      </c>
      <c r="D1533" s="8">
        <v>1.01833E-5</v>
      </c>
      <c r="E1533" s="8">
        <v>6.71364E-7</v>
      </c>
      <c r="F1533" s="8">
        <v>2.9825800000000002E-7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243</v>
      </c>
    </row>
    <row r="1534" spans="1:18" x14ac:dyDescent="0.3">
      <c r="A1534" t="s">
        <v>259</v>
      </c>
      <c r="B1534" t="s">
        <v>36</v>
      </c>
      <c r="C1534" t="s">
        <v>422</v>
      </c>
      <c r="D1534" s="8">
        <v>5.4865699999999997E-6</v>
      </c>
      <c r="E1534" s="8">
        <v>3.60499E-7</v>
      </c>
      <c r="F1534" s="8">
        <v>1.6080000000000001E-7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243</v>
      </c>
    </row>
    <row r="1535" spans="1:18" x14ac:dyDescent="0.3">
      <c r="A1535" t="s">
        <v>259</v>
      </c>
      <c r="B1535" t="s">
        <v>36</v>
      </c>
      <c r="C1535" t="s">
        <v>423</v>
      </c>
      <c r="D1535" s="8">
        <v>2.8802500000000001E-6</v>
      </c>
      <c r="E1535" s="8">
        <v>1.93311E-7</v>
      </c>
      <c r="F1535" s="8">
        <v>8.5587100000000003E-8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243</v>
      </c>
    </row>
    <row r="1536" spans="1:18" x14ac:dyDescent="0.3">
      <c r="A1536" t="s">
        <v>259</v>
      </c>
      <c r="B1536" t="s">
        <v>36</v>
      </c>
      <c r="C1536" t="s">
        <v>424</v>
      </c>
      <c r="D1536" s="8">
        <v>1.44145E-6</v>
      </c>
      <c r="E1536" s="8">
        <v>9.4043200000000001E-8</v>
      </c>
      <c r="F1536" s="8">
        <v>4.14968E-8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243</v>
      </c>
    </row>
    <row r="1537" spans="1:18" x14ac:dyDescent="0.3">
      <c r="A1537" t="s">
        <v>259</v>
      </c>
      <c r="B1537" t="s">
        <v>36</v>
      </c>
      <c r="C1537" t="s">
        <v>425</v>
      </c>
      <c r="D1537" s="8">
        <v>5.4785900000000001E-7</v>
      </c>
      <c r="E1537" s="8">
        <v>3.6572300000000001E-8</v>
      </c>
      <c r="F1537" s="8">
        <v>1.5561299999999999E-8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243</v>
      </c>
    </row>
    <row r="1538" spans="1:18" x14ac:dyDescent="0.3">
      <c r="A1538" t="s">
        <v>259</v>
      </c>
      <c r="B1538" t="s">
        <v>36</v>
      </c>
      <c r="C1538" t="s">
        <v>314</v>
      </c>
      <c r="D1538">
        <v>1.1134599999999999E-3</v>
      </c>
      <c r="E1538">
        <v>1.4677900000000001E-3</v>
      </c>
      <c r="F1538">
        <v>1.48018E-3</v>
      </c>
      <c r="G1538">
        <v>1.3164299999999999E-3</v>
      </c>
      <c r="H1538">
        <v>1.35132E-3</v>
      </c>
      <c r="I1538">
        <v>1.3385199999999999E-3</v>
      </c>
      <c r="J1538">
        <v>1.3542300000000001E-3</v>
      </c>
      <c r="K1538">
        <v>1.37067E-3</v>
      </c>
      <c r="L1538">
        <v>1.3835099999999999E-3</v>
      </c>
      <c r="M1538">
        <v>1.3877200000000001E-3</v>
      </c>
      <c r="N1538">
        <v>1.38188E-3</v>
      </c>
      <c r="O1538">
        <v>0</v>
      </c>
      <c r="P1538">
        <v>0</v>
      </c>
      <c r="Q1538">
        <v>0</v>
      </c>
      <c r="R1538" t="s">
        <v>243</v>
      </c>
    </row>
    <row r="1539" spans="1:18" x14ac:dyDescent="0.3">
      <c r="A1539" t="s">
        <v>259</v>
      </c>
      <c r="B1539" t="s">
        <v>36</v>
      </c>
      <c r="C1539" t="s">
        <v>315</v>
      </c>
      <c r="D1539">
        <v>1.92745E-3</v>
      </c>
      <c r="E1539">
        <v>2.4408500000000001E-3</v>
      </c>
      <c r="F1539">
        <v>2.5468399999999999E-3</v>
      </c>
      <c r="G1539">
        <v>2.4490499999999999E-3</v>
      </c>
      <c r="H1539">
        <v>2.38084E-3</v>
      </c>
      <c r="I1539">
        <v>2.3670399999999999E-3</v>
      </c>
      <c r="J1539">
        <v>2.34534E-3</v>
      </c>
      <c r="K1539">
        <v>2.3238600000000001E-3</v>
      </c>
      <c r="L1539">
        <v>2.3036300000000001E-3</v>
      </c>
      <c r="M1539">
        <v>2.27342E-3</v>
      </c>
      <c r="N1539">
        <v>2.2308499999999999E-3</v>
      </c>
      <c r="O1539">
        <v>0</v>
      </c>
      <c r="P1539">
        <v>0</v>
      </c>
      <c r="Q1539">
        <v>0</v>
      </c>
      <c r="R1539" t="s">
        <v>243</v>
      </c>
    </row>
    <row r="1540" spans="1:18" x14ac:dyDescent="0.3">
      <c r="A1540" t="s">
        <v>259</v>
      </c>
      <c r="B1540" t="s">
        <v>36</v>
      </c>
      <c r="C1540" t="s">
        <v>316</v>
      </c>
      <c r="D1540">
        <v>1.32511E-3</v>
      </c>
      <c r="E1540">
        <v>1.7179599999999999E-3</v>
      </c>
      <c r="F1540">
        <v>1.7665300000000001E-3</v>
      </c>
      <c r="G1540">
        <v>1.65116E-3</v>
      </c>
      <c r="H1540">
        <v>1.6340199999999999E-3</v>
      </c>
      <c r="I1540">
        <v>1.61706E-3</v>
      </c>
      <c r="J1540">
        <v>1.61813E-3</v>
      </c>
      <c r="K1540">
        <v>1.6176599999999999E-3</v>
      </c>
      <c r="L1540">
        <v>1.61557E-3</v>
      </c>
      <c r="M1540">
        <v>1.60538E-3</v>
      </c>
      <c r="N1540">
        <v>1.58624E-3</v>
      </c>
      <c r="O1540">
        <v>0</v>
      </c>
      <c r="P1540">
        <v>0</v>
      </c>
      <c r="Q1540">
        <v>0</v>
      </c>
      <c r="R1540" t="s">
        <v>243</v>
      </c>
    </row>
    <row r="1541" spans="1:18" x14ac:dyDescent="0.3">
      <c r="A1541" t="s">
        <v>259</v>
      </c>
      <c r="B1541" t="s">
        <v>36</v>
      </c>
      <c r="C1541" t="s">
        <v>317</v>
      </c>
      <c r="D1541">
        <v>1.4374699999999999E-3</v>
      </c>
      <c r="E1541">
        <v>1.82588E-3</v>
      </c>
      <c r="F1541">
        <v>1.8951899999999999E-3</v>
      </c>
      <c r="G1541">
        <v>1.7996900000000001E-3</v>
      </c>
      <c r="H1541">
        <v>1.75293E-3</v>
      </c>
      <c r="I1541">
        <v>1.75282E-3</v>
      </c>
      <c r="J1541">
        <v>1.74461E-3</v>
      </c>
      <c r="K1541">
        <v>1.73566E-3</v>
      </c>
      <c r="L1541">
        <v>1.7273E-3</v>
      </c>
      <c r="M1541">
        <v>1.71093E-3</v>
      </c>
      <c r="N1541">
        <v>1.68626E-3</v>
      </c>
      <c r="O1541">
        <v>0</v>
      </c>
      <c r="P1541">
        <v>0</v>
      </c>
      <c r="Q1541">
        <v>0</v>
      </c>
      <c r="R1541" t="s">
        <v>243</v>
      </c>
    </row>
    <row r="1542" spans="1:18" x14ac:dyDescent="0.3">
      <c r="A1542" t="s">
        <v>259</v>
      </c>
      <c r="B1542" t="s">
        <v>36</v>
      </c>
      <c r="C1542" t="s">
        <v>318</v>
      </c>
      <c r="D1542">
        <v>1.5017400000000001E-3</v>
      </c>
      <c r="E1542">
        <v>1.89934E-3</v>
      </c>
      <c r="F1542">
        <v>1.9789400000000002E-3</v>
      </c>
      <c r="G1542">
        <v>1.89186E-3</v>
      </c>
      <c r="H1542">
        <v>1.8407199999999999E-3</v>
      </c>
      <c r="I1542">
        <v>1.8342E-3</v>
      </c>
      <c r="J1542">
        <v>1.82259E-3</v>
      </c>
      <c r="K1542">
        <v>1.8113199999999999E-3</v>
      </c>
      <c r="L1542">
        <v>1.80152E-3</v>
      </c>
      <c r="M1542">
        <v>1.78375E-3</v>
      </c>
      <c r="N1542">
        <v>1.75691E-3</v>
      </c>
      <c r="O1542">
        <v>0</v>
      </c>
      <c r="P1542">
        <v>0</v>
      </c>
      <c r="Q1542">
        <v>0</v>
      </c>
      <c r="R1542" t="s">
        <v>243</v>
      </c>
    </row>
    <row r="1543" spans="1:18" x14ac:dyDescent="0.3">
      <c r="A1543" t="s">
        <v>259</v>
      </c>
      <c r="B1543" t="s">
        <v>36</v>
      </c>
      <c r="C1543" t="s">
        <v>319</v>
      </c>
      <c r="D1543">
        <v>1.55529E-3</v>
      </c>
      <c r="E1543">
        <v>1.9639900000000001E-3</v>
      </c>
      <c r="F1543">
        <v>2.0468999999999999E-3</v>
      </c>
      <c r="G1543">
        <v>1.9614400000000001E-3</v>
      </c>
      <c r="H1543">
        <v>1.90766E-3</v>
      </c>
      <c r="I1543">
        <v>1.9017000000000001E-3</v>
      </c>
      <c r="J1543">
        <v>1.88828E-3</v>
      </c>
      <c r="K1543">
        <v>1.87509E-3</v>
      </c>
      <c r="L1543">
        <v>1.8645599999999999E-3</v>
      </c>
      <c r="M1543">
        <v>1.8454000000000001E-3</v>
      </c>
      <c r="N1543">
        <v>1.8165799999999999E-3</v>
      </c>
      <c r="O1543">
        <v>0</v>
      </c>
      <c r="P1543">
        <v>0</v>
      </c>
      <c r="Q1543">
        <v>0</v>
      </c>
      <c r="R1543" t="s">
        <v>243</v>
      </c>
    </row>
    <row r="1544" spans="1:18" x14ac:dyDescent="0.3">
      <c r="A1544" t="s">
        <v>259</v>
      </c>
      <c r="B1544" t="s">
        <v>36</v>
      </c>
      <c r="C1544" t="s">
        <v>320</v>
      </c>
      <c r="D1544">
        <v>1.60381E-3</v>
      </c>
      <c r="E1544">
        <v>2.02308E-3</v>
      </c>
      <c r="F1544">
        <v>2.10939E-3</v>
      </c>
      <c r="G1544">
        <v>2.0246800000000001E-3</v>
      </c>
      <c r="H1544">
        <v>1.9686899999999999E-3</v>
      </c>
      <c r="I1544">
        <v>1.9631599999999998E-3</v>
      </c>
      <c r="J1544">
        <v>1.9478E-3</v>
      </c>
      <c r="K1544">
        <v>1.93373E-3</v>
      </c>
      <c r="L1544">
        <v>1.92155E-3</v>
      </c>
      <c r="M1544">
        <v>1.9014800000000001E-3</v>
      </c>
      <c r="N1544">
        <v>1.8713E-3</v>
      </c>
      <c r="O1544">
        <v>0</v>
      </c>
      <c r="P1544">
        <v>0</v>
      </c>
      <c r="Q1544">
        <v>0</v>
      </c>
      <c r="R1544" t="s">
        <v>243</v>
      </c>
    </row>
    <row r="1545" spans="1:18" x14ac:dyDescent="0.3">
      <c r="A1545" t="s">
        <v>259</v>
      </c>
      <c r="B1545" t="s">
        <v>36</v>
      </c>
      <c r="C1545" t="s">
        <v>321</v>
      </c>
      <c r="D1545">
        <v>1.6531600000000001E-3</v>
      </c>
      <c r="E1545">
        <v>2.0822599999999998E-3</v>
      </c>
      <c r="F1545">
        <v>2.1724299999999999E-3</v>
      </c>
      <c r="G1545">
        <v>2.0854100000000002E-3</v>
      </c>
      <c r="H1545">
        <v>2.0274899999999998E-3</v>
      </c>
      <c r="I1545">
        <v>2.0246499999999998E-3</v>
      </c>
      <c r="J1545">
        <v>2.0078800000000001E-3</v>
      </c>
      <c r="K1545">
        <v>1.9924299999999999E-3</v>
      </c>
      <c r="L1545">
        <v>1.9792400000000002E-3</v>
      </c>
      <c r="M1545">
        <v>1.95736E-3</v>
      </c>
      <c r="N1545">
        <v>1.92472E-3</v>
      </c>
      <c r="O1545">
        <v>0</v>
      </c>
      <c r="P1545">
        <v>0</v>
      </c>
      <c r="Q1545">
        <v>0</v>
      </c>
      <c r="R1545" t="s">
        <v>243</v>
      </c>
    </row>
    <row r="1546" spans="1:18" x14ac:dyDescent="0.3">
      <c r="A1546" t="s">
        <v>259</v>
      </c>
      <c r="B1546" t="s">
        <v>36</v>
      </c>
      <c r="C1546" t="s">
        <v>322</v>
      </c>
      <c r="D1546">
        <v>1.70532E-3</v>
      </c>
      <c r="E1546">
        <v>2.1492E-3</v>
      </c>
      <c r="F1546">
        <v>2.2418099999999999E-3</v>
      </c>
      <c r="G1546">
        <v>2.1580900000000001E-3</v>
      </c>
      <c r="H1546">
        <v>2.0980199999999999E-3</v>
      </c>
      <c r="I1546">
        <v>2.0919300000000001E-3</v>
      </c>
      <c r="J1546">
        <v>2.0747299999999999E-3</v>
      </c>
      <c r="K1546">
        <v>2.0578900000000002E-3</v>
      </c>
      <c r="L1546">
        <v>2.0427900000000001E-3</v>
      </c>
      <c r="M1546">
        <v>2.0189000000000001E-3</v>
      </c>
      <c r="N1546">
        <v>1.9844300000000001E-3</v>
      </c>
      <c r="O1546">
        <v>0</v>
      </c>
      <c r="P1546">
        <v>0</v>
      </c>
      <c r="Q1546">
        <v>0</v>
      </c>
      <c r="R1546" t="s">
        <v>243</v>
      </c>
    </row>
    <row r="1547" spans="1:18" x14ac:dyDescent="0.3">
      <c r="A1547" t="s">
        <v>259</v>
      </c>
      <c r="B1547" t="s">
        <v>36</v>
      </c>
      <c r="C1547" t="s">
        <v>323</v>
      </c>
      <c r="D1547">
        <v>1.7771499999999999E-3</v>
      </c>
      <c r="E1547">
        <v>2.2384100000000001E-3</v>
      </c>
      <c r="F1547">
        <v>2.3341500000000001E-3</v>
      </c>
      <c r="G1547">
        <v>2.2417000000000001E-3</v>
      </c>
      <c r="H1547">
        <v>2.1792700000000001E-3</v>
      </c>
      <c r="I1547">
        <v>2.1772900000000001E-3</v>
      </c>
      <c r="J1547">
        <v>2.1585900000000002E-3</v>
      </c>
      <c r="K1547">
        <v>2.1408999999999998E-3</v>
      </c>
      <c r="L1547">
        <v>2.1252599999999999E-3</v>
      </c>
      <c r="M1547">
        <v>2.10042E-3</v>
      </c>
      <c r="N1547">
        <v>2.0639600000000001E-3</v>
      </c>
      <c r="O1547">
        <v>0</v>
      </c>
      <c r="P1547">
        <v>0</v>
      </c>
      <c r="Q1547">
        <v>0</v>
      </c>
      <c r="R1547" t="s">
        <v>243</v>
      </c>
    </row>
    <row r="1548" spans="1:18" x14ac:dyDescent="0.3">
      <c r="A1548" t="s">
        <v>259</v>
      </c>
      <c r="B1548" t="s">
        <v>42</v>
      </c>
      <c r="C1548" t="s">
        <v>261</v>
      </c>
      <c r="D1548" s="8">
        <v>1.277301E-5</v>
      </c>
      <c r="E1548" s="8">
        <v>1.4286929999999901E-5</v>
      </c>
      <c r="F1548" s="8">
        <v>1.6674070000000001E-5</v>
      </c>
      <c r="G1548" s="8">
        <v>1.6299219999999999E-5</v>
      </c>
      <c r="H1548" s="8">
        <v>1.9506389999999999E-5</v>
      </c>
      <c r="I1548" s="8">
        <v>2.41121799999999E-5</v>
      </c>
      <c r="J1548" s="8">
        <v>2.5773628999999901E-5</v>
      </c>
      <c r="K1548" s="8">
        <v>2.9498927E-5</v>
      </c>
      <c r="L1548" s="8">
        <v>3.1678711000000002E-5</v>
      </c>
      <c r="M1548" s="8">
        <v>3.2774948999999998E-5</v>
      </c>
      <c r="N1548" s="8">
        <v>3.3546865E-5</v>
      </c>
      <c r="O1548">
        <v>0</v>
      </c>
      <c r="P1548">
        <v>0</v>
      </c>
      <c r="Q1548">
        <v>0</v>
      </c>
      <c r="R1548" t="s">
        <v>243</v>
      </c>
    </row>
    <row r="1549" spans="1:18" x14ac:dyDescent="0.3">
      <c r="A1549" t="s">
        <v>259</v>
      </c>
      <c r="B1549" t="s">
        <v>42</v>
      </c>
      <c r="C1549" t="s">
        <v>262</v>
      </c>
      <c r="D1549">
        <v>2.2632751449E-2</v>
      </c>
      <c r="E1549">
        <v>1.3155125084E-2</v>
      </c>
      <c r="F1549">
        <v>1.2813161926999999E-2</v>
      </c>
      <c r="G1549">
        <v>1.132702411E-2</v>
      </c>
      <c r="H1549">
        <v>1.0971649173E-2</v>
      </c>
      <c r="I1549">
        <v>1.1721866241E-2</v>
      </c>
      <c r="J1549">
        <v>1.175608314E-2</v>
      </c>
      <c r="K1549">
        <v>1.0855032174000001E-2</v>
      </c>
      <c r="L1549">
        <v>1.0170477632E-2</v>
      </c>
      <c r="M1549">
        <v>9.3590661623000008E-3</v>
      </c>
      <c r="N1549">
        <v>8.5428731763999999E-3</v>
      </c>
      <c r="O1549">
        <v>0</v>
      </c>
      <c r="P1549">
        <v>0</v>
      </c>
      <c r="Q1549">
        <v>0</v>
      </c>
      <c r="R1549" t="s">
        <v>243</v>
      </c>
    </row>
    <row r="1550" spans="1:18" x14ac:dyDescent="0.3">
      <c r="A1550" t="s">
        <v>259</v>
      </c>
      <c r="B1550" t="s">
        <v>42</v>
      </c>
      <c r="C1550" t="s">
        <v>263</v>
      </c>
      <c r="D1550">
        <v>2.2108509999999901E-2</v>
      </c>
      <c r="E1550">
        <v>1.1369588999999999E-2</v>
      </c>
      <c r="F1550">
        <v>1.1828701E-2</v>
      </c>
      <c r="G1550">
        <v>1.28814209999999E-2</v>
      </c>
      <c r="H1550">
        <v>1.2195721E-2</v>
      </c>
      <c r="I1550">
        <v>1.3155832031E-2</v>
      </c>
      <c r="J1550">
        <v>1.3459053119999899E-2</v>
      </c>
      <c r="K1550">
        <v>1.329743605E-2</v>
      </c>
      <c r="L1550">
        <v>1.300330896E-2</v>
      </c>
      <c r="M1550">
        <v>1.2618293730000001E-2</v>
      </c>
      <c r="N1550">
        <v>1.22247920299999E-2</v>
      </c>
      <c r="O1550">
        <v>0</v>
      </c>
      <c r="P1550">
        <v>0</v>
      </c>
      <c r="Q1550">
        <v>0</v>
      </c>
      <c r="R1550" t="s">
        <v>243</v>
      </c>
    </row>
    <row r="1551" spans="1:18" x14ac:dyDescent="0.3">
      <c r="A1551" t="s">
        <v>259</v>
      </c>
      <c r="B1551" t="s">
        <v>42</v>
      </c>
      <c r="C1551" t="s">
        <v>324</v>
      </c>
      <c r="D1551" s="8">
        <v>4.3701799999999998E-7</v>
      </c>
      <c r="E1551" s="8">
        <v>7.8466499999999997E-8</v>
      </c>
      <c r="F1551" s="8">
        <v>7.4133999999999994E-8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243</v>
      </c>
    </row>
    <row r="1552" spans="1:18" x14ac:dyDescent="0.3">
      <c r="A1552" t="s">
        <v>259</v>
      </c>
      <c r="B1552" t="s">
        <v>42</v>
      </c>
      <c r="C1552" t="s">
        <v>325</v>
      </c>
      <c r="D1552" s="8">
        <v>3.4224299999999999E-8</v>
      </c>
      <c r="E1552" s="8">
        <v>5.06235E-9</v>
      </c>
      <c r="F1552" s="8">
        <v>4.9422699999999997E-9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243</v>
      </c>
    </row>
    <row r="1553" spans="1:18" x14ac:dyDescent="0.3">
      <c r="A1553" t="s">
        <v>259</v>
      </c>
      <c r="B1553" t="s">
        <v>42</v>
      </c>
      <c r="C1553" t="s">
        <v>326</v>
      </c>
      <c r="D1553" s="8">
        <v>2.6852900000000001E-7</v>
      </c>
      <c r="E1553" s="8">
        <v>4.5561199999999998E-8</v>
      </c>
      <c r="F1553" s="8">
        <v>4.2009299999999999E-8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243</v>
      </c>
    </row>
    <row r="1554" spans="1:18" x14ac:dyDescent="0.3">
      <c r="A1554" t="s">
        <v>259</v>
      </c>
      <c r="B1554" t="s">
        <v>42</v>
      </c>
      <c r="C1554" t="s">
        <v>327</v>
      </c>
      <c r="D1554" s="8">
        <v>1.9744800000000001E-7</v>
      </c>
      <c r="E1554" s="8">
        <v>3.2905299999999999E-8</v>
      </c>
      <c r="F1554" s="8">
        <v>2.96536E-8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243</v>
      </c>
    </row>
    <row r="1555" spans="1:18" x14ac:dyDescent="0.3">
      <c r="A1555" t="s">
        <v>259</v>
      </c>
      <c r="B1555" t="s">
        <v>42</v>
      </c>
      <c r="C1555" t="s">
        <v>328</v>
      </c>
      <c r="D1555" s="8">
        <v>1.6322400000000001E-7</v>
      </c>
      <c r="E1555" s="8">
        <v>2.5311800000000001E-8</v>
      </c>
      <c r="F1555" s="8">
        <v>2.4711299999999998E-8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243</v>
      </c>
    </row>
    <row r="1556" spans="1:18" x14ac:dyDescent="0.3">
      <c r="A1556" t="s">
        <v>259</v>
      </c>
      <c r="B1556" t="s">
        <v>42</v>
      </c>
      <c r="C1556" t="s">
        <v>329</v>
      </c>
      <c r="D1556" s="8">
        <v>1.3689700000000001E-7</v>
      </c>
      <c r="E1556" s="8">
        <v>2.02494E-8</v>
      </c>
      <c r="F1556" s="8">
        <v>1.9769099999999999E-8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243</v>
      </c>
    </row>
    <row r="1557" spans="1:18" x14ac:dyDescent="0.3">
      <c r="A1557" t="s">
        <v>259</v>
      </c>
      <c r="B1557" t="s">
        <v>42</v>
      </c>
      <c r="C1557" t="s">
        <v>330</v>
      </c>
      <c r="D1557" s="8">
        <v>1.13204E-7</v>
      </c>
      <c r="E1557" s="8">
        <v>1.5187100000000001E-8</v>
      </c>
      <c r="F1557" s="8">
        <v>1.7297900000000002E-8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243</v>
      </c>
    </row>
    <row r="1558" spans="1:18" x14ac:dyDescent="0.3">
      <c r="A1558" t="s">
        <v>259</v>
      </c>
      <c r="B1558" t="s">
        <v>42</v>
      </c>
      <c r="C1558" t="s">
        <v>331</v>
      </c>
      <c r="D1558" s="8">
        <v>9.4775100000000005E-8</v>
      </c>
      <c r="E1558" s="8">
        <v>1.2655900000000001E-8</v>
      </c>
      <c r="F1558" s="8">
        <v>1.48268E-8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243</v>
      </c>
    </row>
    <row r="1559" spans="1:18" x14ac:dyDescent="0.3">
      <c r="A1559" t="s">
        <v>259</v>
      </c>
      <c r="B1559" t="s">
        <v>42</v>
      </c>
      <c r="C1559" t="s">
        <v>332</v>
      </c>
      <c r="D1559" s="8">
        <v>7.6346599999999994E-8</v>
      </c>
      <c r="E1559" s="8">
        <v>1.01247E-8</v>
      </c>
      <c r="F1559" s="8">
        <v>1.23557E-8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s">
        <v>243</v>
      </c>
    </row>
    <row r="1560" spans="1:18" x14ac:dyDescent="0.3">
      <c r="A1560" t="s">
        <v>259</v>
      </c>
      <c r="B1560" t="s">
        <v>42</v>
      </c>
      <c r="C1560" t="s">
        <v>333</v>
      </c>
      <c r="D1560" s="8">
        <v>5.7918100000000002E-8</v>
      </c>
      <c r="E1560" s="8">
        <v>7.5935300000000008E-9</v>
      </c>
      <c r="F1560" s="8">
        <v>7.4134000000000001E-9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243</v>
      </c>
    </row>
    <row r="1561" spans="1:18" x14ac:dyDescent="0.3">
      <c r="A1561" t="s">
        <v>259</v>
      </c>
      <c r="B1561" t="s">
        <v>42</v>
      </c>
      <c r="C1561" t="s">
        <v>264</v>
      </c>
      <c r="D1561" s="8">
        <v>8.9980509999999997E-4</v>
      </c>
      <c r="E1561">
        <v>1.0332030999999999E-3</v>
      </c>
      <c r="F1561" s="8">
        <v>8.9260230000000004E-4</v>
      </c>
      <c r="G1561" s="8">
        <v>7.3598939999999996E-4</v>
      </c>
      <c r="H1561" s="8">
        <v>7.55447199999999E-4</v>
      </c>
      <c r="I1561" s="8">
        <v>8.4089874000000005E-4</v>
      </c>
      <c r="J1561" s="8">
        <v>8.3472250000000004E-4</v>
      </c>
      <c r="K1561" s="8">
        <v>8.1186734999999901E-4</v>
      </c>
      <c r="L1561" s="8">
        <v>7.7145402999999997E-4</v>
      </c>
      <c r="M1561" s="8">
        <v>7.2232131999999997E-4</v>
      </c>
      <c r="N1561" s="8">
        <v>6.7760387999999999E-4</v>
      </c>
      <c r="O1561">
        <v>0</v>
      </c>
      <c r="P1561">
        <v>0</v>
      </c>
      <c r="Q1561">
        <v>0</v>
      </c>
      <c r="R1561" t="s">
        <v>243</v>
      </c>
    </row>
    <row r="1562" spans="1:18" x14ac:dyDescent="0.3">
      <c r="A1562" t="s">
        <v>259</v>
      </c>
      <c r="B1562" t="s">
        <v>42</v>
      </c>
      <c r="C1562" t="s">
        <v>265</v>
      </c>
      <c r="D1562">
        <v>1.8222115E-3</v>
      </c>
      <c r="E1562">
        <v>2.6715223999999901E-3</v>
      </c>
      <c r="F1562">
        <v>2.1918708000000001E-3</v>
      </c>
      <c r="G1562">
        <v>1.6855187999999901E-3</v>
      </c>
      <c r="H1562">
        <v>1.62905209999999E-3</v>
      </c>
      <c r="I1562">
        <v>1.6817709000000001E-3</v>
      </c>
      <c r="J1562">
        <v>1.61841803E-3</v>
      </c>
      <c r="K1562">
        <v>1.5506744999999899E-3</v>
      </c>
      <c r="L1562">
        <v>1.46267968E-3</v>
      </c>
      <c r="M1562">
        <v>1.36292414E-3</v>
      </c>
      <c r="N1562">
        <v>1.2754325599999899E-3</v>
      </c>
      <c r="O1562">
        <v>0</v>
      </c>
      <c r="P1562">
        <v>0</v>
      </c>
      <c r="Q1562">
        <v>0</v>
      </c>
      <c r="R1562" t="s">
        <v>243</v>
      </c>
    </row>
    <row r="1563" spans="1:18" x14ac:dyDescent="0.3">
      <c r="A1563" t="s">
        <v>259</v>
      </c>
      <c r="B1563" t="s">
        <v>42</v>
      </c>
      <c r="C1563" t="s">
        <v>266</v>
      </c>
      <c r="D1563">
        <v>1.1089022999999901E-3</v>
      </c>
      <c r="E1563">
        <v>1.43548429999999E-3</v>
      </c>
      <c r="F1563">
        <v>1.2389041999999999E-3</v>
      </c>
      <c r="G1563" s="8">
        <v>9.8483419999999895E-4</v>
      </c>
      <c r="H1563" s="8">
        <v>9.6752309999999903E-4</v>
      </c>
      <c r="I1563">
        <v>1.0262145599999901E-3</v>
      </c>
      <c r="J1563">
        <v>1.00286574E-3</v>
      </c>
      <c r="K1563" s="8">
        <v>9.7030141000000001E-4</v>
      </c>
      <c r="L1563" s="8">
        <v>9.2047023999999996E-4</v>
      </c>
      <c r="M1563" s="8">
        <v>8.6123236999999903E-4</v>
      </c>
      <c r="N1563" s="8">
        <v>8.0840678000000004E-4</v>
      </c>
      <c r="O1563">
        <v>0</v>
      </c>
      <c r="P1563">
        <v>0</v>
      </c>
      <c r="Q1563">
        <v>0</v>
      </c>
      <c r="R1563" t="s">
        <v>243</v>
      </c>
    </row>
    <row r="1564" spans="1:18" x14ac:dyDescent="0.3">
      <c r="A1564" t="s">
        <v>259</v>
      </c>
      <c r="B1564" t="s">
        <v>42</v>
      </c>
      <c r="C1564" t="s">
        <v>267</v>
      </c>
      <c r="D1564">
        <v>1.2271178000000001E-3</v>
      </c>
      <c r="E1564">
        <v>1.6438601000000001E-3</v>
      </c>
      <c r="F1564">
        <v>1.3977879E-3</v>
      </c>
      <c r="G1564">
        <v>1.10073999999999E-3</v>
      </c>
      <c r="H1564">
        <v>1.066986E-3</v>
      </c>
      <c r="I1564">
        <v>1.1202946300000001E-3</v>
      </c>
      <c r="J1564">
        <v>1.08877824999999E-3</v>
      </c>
      <c r="K1564">
        <v>1.0507402799999901E-3</v>
      </c>
      <c r="L1564" s="8">
        <v>9.9525564000000006E-4</v>
      </c>
      <c r="M1564" s="8">
        <v>9.2966770000000004E-4</v>
      </c>
      <c r="N1564" s="8">
        <v>8.7146258999999996E-4</v>
      </c>
      <c r="O1564">
        <v>0</v>
      </c>
      <c r="P1564">
        <v>0</v>
      </c>
      <c r="Q1564">
        <v>0</v>
      </c>
      <c r="R1564" t="s">
        <v>243</v>
      </c>
    </row>
    <row r="1565" spans="1:18" x14ac:dyDescent="0.3">
      <c r="A1565" t="s">
        <v>259</v>
      </c>
      <c r="B1565" t="s">
        <v>42</v>
      </c>
      <c r="C1565" t="s">
        <v>268</v>
      </c>
      <c r="D1565">
        <v>1.2972579999999999E-3</v>
      </c>
      <c r="E1565">
        <v>1.7842136E-3</v>
      </c>
      <c r="F1565">
        <v>1.5087504999999901E-3</v>
      </c>
      <c r="G1565">
        <v>1.1795022999999899E-3</v>
      </c>
      <c r="H1565">
        <v>1.1352452999999899E-3</v>
      </c>
      <c r="I1565">
        <v>1.1839624999999999E-3</v>
      </c>
      <c r="J1565">
        <v>1.14863382999999E-3</v>
      </c>
      <c r="K1565">
        <v>1.1074213999999901E-3</v>
      </c>
      <c r="L1565">
        <v>1.0484506799999999E-3</v>
      </c>
      <c r="M1565" s="8">
        <v>9.7980963999999993E-4</v>
      </c>
      <c r="N1565" s="8">
        <v>9.1917354999999901E-4</v>
      </c>
      <c r="O1565">
        <v>0</v>
      </c>
      <c r="P1565">
        <v>0</v>
      </c>
      <c r="Q1565">
        <v>0</v>
      </c>
      <c r="R1565" t="s">
        <v>243</v>
      </c>
    </row>
    <row r="1566" spans="1:18" x14ac:dyDescent="0.3">
      <c r="A1566" t="s">
        <v>259</v>
      </c>
      <c r="B1566" t="s">
        <v>42</v>
      </c>
      <c r="C1566" t="s">
        <v>269</v>
      </c>
      <c r="D1566">
        <v>1.3598696000000001E-3</v>
      </c>
      <c r="E1566">
        <v>1.9039606000000001E-3</v>
      </c>
      <c r="F1566">
        <v>1.5962507E-3</v>
      </c>
      <c r="G1566">
        <v>1.2456882999999899E-3</v>
      </c>
      <c r="H1566">
        <v>1.1913996999999999E-3</v>
      </c>
      <c r="I1566">
        <v>1.2404630999999901E-3</v>
      </c>
      <c r="J1566">
        <v>1.20203797E-3</v>
      </c>
      <c r="K1566">
        <v>1.1579605199999901E-3</v>
      </c>
      <c r="L1566">
        <v>1.0956648699999899E-3</v>
      </c>
      <c r="M1566">
        <v>1.0228040900000001E-3</v>
      </c>
      <c r="N1566" s="8">
        <v>9.5907109999999996E-4</v>
      </c>
      <c r="O1566">
        <v>0</v>
      </c>
      <c r="P1566">
        <v>0</v>
      </c>
      <c r="Q1566">
        <v>0</v>
      </c>
      <c r="R1566" t="s">
        <v>243</v>
      </c>
    </row>
    <row r="1567" spans="1:18" x14ac:dyDescent="0.3">
      <c r="A1567" t="s">
        <v>259</v>
      </c>
      <c r="B1567" t="s">
        <v>42</v>
      </c>
      <c r="C1567" t="s">
        <v>270</v>
      </c>
      <c r="D1567">
        <v>1.4236193E-3</v>
      </c>
      <c r="E1567">
        <v>2.0091897E-3</v>
      </c>
      <c r="F1567">
        <v>1.6719486999999999E-3</v>
      </c>
      <c r="G1567">
        <v>1.3029914E-3</v>
      </c>
      <c r="H1567">
        <v>1.2448454E-3</v>
      </c>
      <c r="I1567">
        <v>1.2942453E-3</v>
      </c>
      <c r="J1567">
        <v>1.2525466099999999E-3</v>
      </c>
      <c r="K1567">
        <v>1.2047000200000001E-3</v>
      </c>
      <c r="L1567">
        <v>1.13855072999999E-3</v>
      </c>
      <c r="M1567">
        <v>1.0625872099999901E-3</v>
      </c>
      <c r="N1567" s="8">
        <v>9.9602072999999992E-4</v>
      </c>
      <c r="O1567">
        <v>0</v>
      </c>
      <c r="P1567">
        <v>0</v>
      </c>
      <c r="Q1567">
        <v>0</v>
      </c>
      <c r="R1567" t="s">
        <v>243</v>
      </c>
    </row>
    <row r="1568" spans="1:18" x14ac:dyDescent="0.3">
      <c r="A1568" t="s">
        <v>259</v>
      </c>
      <c r="B1568" t="s">
        <v>42</v>
      </c>
      <c r="C1568" t="s">
        <v>271</v>
      </c>
      <c r="D1568">
        <v>1.4897930000000001E-3</v>
      </c>
      <c r="E1568">
        <v>2.1077524000000002E-3</v>
      </c>
      <c r="F1568">
        <v>1.7459247000000001E-3</v>
      </c>
      <c r="G1568">
        <v>1.3540739E-3</v>
      </c>
      <c r="H1568">
        <v>1.2992666000000001E-3</v>
      </c>
      <c r="I1568">
        <v>1.3469101E-3</v>
      </c>
      <c r="J1568">
        <v>1.3016054999999999E-3</v>
      </c>
      <c r="K1568">
        <v>1.2522717499999999E-3</v>
      </c>
      <c r="L1568">
        <v>1.18417815E-3</v>
      </c>
      <c r="M1568">
        <v>1.10524711E-3</v>
      </c>
      <c r="N1568">
        <v>1.03589195E-3</v>
      </c>
      <c r="O1568">
        <v>0</v>
      </c>
      <c r="P1568">
        <v>0</v>
      </c>
      <c r="Q1568">
        <v>0</v>
      </c>
      <c r="R1568" t="s">
        <v>243</v>
      </c>
    </row>
    <row r="1569" spans="1:18" x14ac:dyDescent="0.3">
      <c r="A1569" t="s">
        <v>259</v>
      </c>
      <c r="B1569" t="s">
        <v>42</v>
      </c>
      <c r="C1569" t="s">
        <v>272</v>
      </c>
      <c r="D1569">
        <v>1.5575510999999999E-3</v>
      </c>
      <c r="E1569">
        <v>2.2148948999999901E-3</v>
      </c>
      <c r="F1569">
        <v>1.82623869999999E-3</v>
      </c>
      <c r="G1569">
        <v>1.4184159999999901E-3</v>
      </c>
      <c r="H1569">
        <v>1.35799159999999E-3</v>
      </c>
      <c r="I1569">
        <v>1.4079486999999901E-3</v>
      </c>
      <c r="J1569">
        <v>1.35963171E-3</v>
      </c>
      <c r="K1569">
        <v>1.3064506799999899E-3</v>
      </c>
      <c r="L1569">
        <v>1.2344842099999999E-3</v>
      </c>
      <c r="M1569">
        <v>1.15150704E-3</v>
      </c>
      <c r="N1569">
        <v>1.07882485999999E-3</v>
      </c>
      <c r="O1569">
        <v>0</v>
      </c>
      <c r="P1569">
        <v>0</v>
      </c>
      <c r="Q1569">
        <v>0</v>
      </c>
      <c r="R1569" t="s">
        <v>243</v>
      </c>
    </row>
    <row r="1570" spans="1:18" x14ac:dyDescent="0.3">
      <c r="A1570" t="s">
        <v>259</v>
      </c>
      <c r="B1570" t="s">
        <v>42</v>
      </c>
      <c r="C1570" t="s">
        <v>273</v>
      </c>
      <c r="D1570">
        <v>1.6629891E-3</v>
      </c>
      <c r="E1570">
        <v>2.3426986E-3</v>
      </c>
      <c r="F1570">
        <v>1.9387605E-3</v>
      </c>
      <c r="G1570">
        <v>1.49729659999999E-3</v>
      </c>
      <c r="H1570">
        <v>1.4393495000000001E-3</v>
      </c>
      <c r="I1570">
        <v>1.4882253E-3</v>
      </c>
      <c r="J1570">
        <v>1.4349329799999901E-3</v>
      </c>
      <c r="K1570">
        <v>1.3780343999999999E-3</v>
      </c>
      <c r="L1570">
        <v>1.3011879200000001E-3</v>
      </c>
      <c r="M1570">
        <v>1.21281943E-3</v>
      </c>
      <c r="N1570">
        <v>1.13533937E-3</v>
      </c>
      <c r="O1570">
        <v>0</v>
      </c>
      <c r="P1570">
        <v>0</v>
      </c>
      <c r="Q1570">
        <v>0</v>
      </c>
      <c r="R1570" t="s">
        <v>243</v>
      </c>
    </row>
    <row r="1571" spans="1:18" x14ac:dyDescent="0.3">
      <c r="A1571" t="s">
        <v>259</v>
      </c>
      <c r="B1571" t="s">
        <v>42</v>
      </c>
      <c r="C1571" t="s">
        <v>274</v>
      </c>
      <c r="D1571" s="8">
        <v>3.3638699999999998E-8</v>
      </c>
      <c r="E1571" s="8">
        <v>2.2758199999999999E-8</v>
      </c>
      <c r="F1571" s="8">
        <v>2.50554E-8</v>
      </c>
      <c r="G1571" s="8">
        <v>2.5780099999999999E-8</v>
      </c>
      <c r="H1571" s="8">
        <v>1.9819349999999999E-8</v>
      </c>
      <c r="I1571" s="8">
        <v>1.2456700000000001E-8</v>
      </c>
      <c r="J1571" s="8">
        <v>3.92278E-9</v>
      </c>
      <c r="K1571" s="8">
        <v>4.1406699999999896E-9</v>
      </c>
      <c r="L1571" s="8">
        <v>4.1983869999999999E-9</v>
      </c>
      <c r="M1571" s="8">
        <v>4.1592100000000002E-9</v>
      </c>
      <c r="N1571" s="8">
        <v>4.0976560000000001E-9</v>
      </c>
      <c r="O1571">
        <v>0</v>
      </c>
      <c r="P1571">
        <v>0</v>
      </c>
      <c r="Q1571">
        <v>0</v>
      </c>
      <c r="R1571" t="s">
        <v>243</v>
      </c>
    </row>
    <row r="1572" spans="1:18" x14ac:dyDescent="0.3">
      <c r="A1572" t="s">
        <v>259</v>
      </c>
      <c r="B1572" t="s">
        <v>42</v>
      </c>
      <c r="C1572" t="s">
        <v>275</v>
      </c>
      <c r="D1572" s="8">
        <v>4.7734900000000005E-7</v>
      </c>
      <c r="E1572" s="8">
        <v>5.2799000000000001E-7</v>
      </c>
      <c r="F1572" s="8">
        <v>4.8489499999999998E-7</v>
      </c>
      <c r="G1572" s="8">
        <v>4.5688E-7</v>
      </c>
      <c r="H1572" s="8">
        <v>3.258144E-7</v>
      </c>
      <c r="I1572" s="8">
        <v>1.9903359999999901E-7</v>
      </c>
      <c r="J1572" s="8">
        <v>6.1297400000000005E-8</v>
      </c>
      <c r="K1572" s="8">
        <v>6.5765400000000002E-8</v>
      </c>
      <c r="L1572" s="8">
        <v>6.7892999999999998E-8</v>
      </c>
      <c r="M1572" s="8">
        <v>6.8522100000000002E-8</v>
      </c>
      <c r="N1572" s="8">
        <v>6.8815269999999998E-8</v>
      </c>
      <c r="O1572">
        <v>0</v>
      </c>
      <c r="P1572">
        <v>0</v>
      </c>
      <c r="Q1572">
        <v>0</v>
      </c>
      <c r="R1572" t="s">
        <v>243</v>
      </c>
    </row>
    <row r="1573" spans="1:18" x14ac:dyDescent="0.3">
      <c r="A1573" t="s">
        <v>259</v>
      </c>
      <c r="B1573" t="s">
        <v>42</v>
      </c>
      <c r="C1573" t="s">
        <v>276</v>
      </c>
      <c r="D1573" s="8">
        <v>6.0870000000000002E-8</v>
      </c>
      <c r="E1573" s="8">
        <v>4.7033500000000002E-8</v>
      </c>
      <c r="F1573" s="8">
        <v>5.15846E-8</v>
      </c>
      <c r="G1573" s="8">
        <v>5.1560099999999999E-8</v>
      </c>
      <c r="H1573" s="8">
        <v>3.792912E-8</v>
      </c>
      <c r="I1573" s="8">
        <v>2.3455500000000001E-8</v>
      </c>
      <c r="J1573" s="8">
        <v>7.20553E-9</v>
      </c>
      <c r="K1573" s="8">
        <v>7.6442499999999892E-9</v>
      </c>
      <c r="L1573" s="8">
        <v>7.79415E-9</v>
      </c>
      <c r="M1573" s="8">
        <v>7.7788799999999995E-9</v>
      </c>
      <c r="N1573" s="8">
        <v>7.7334000000000006E-9</v>
      </c>
      <c r="O1573">
        <v>0</v>
      </c>
      <c r="P1573">
        <v>0</v>
      </c>
      <c r="Q1573">
        <v>0</v>
      </c>
      <c r="R1573" t="s">
        <v>243</v>
      </c>
    </row>
    <row r="1574" spans="1:18" x14ac:dyDescent="0.3">
      <c r="A1574" t="s">
        <v>259</v>
      </c>
      <c r="B1574" t="s">
        <v>42</v>
      </c>
      <c r="C1574" t="s">
        <v>277</v>
      </c>
      <c r="D1574" s="8">
        <v>8.64995E-8</v>
      </c>
      <c r="E1574" s="8">
        <v>6.8274499999999994E-8</v>
      </c>
      <c r="F1574" s="8">
        <v>7.3692200000000007E-8</v>
      </c>
      <c r="G1574" s="8">
        <v>7.3043500000000002E-8</v>
      </c>
      <c r="H1574" s="8">
        <v>5.2773739999999897E-8</v>
      </c>
      <c r="I1574" s="8">
        <v>3.2512199999999998E-8</v>
      </c>
      <c r="J1574" s="8">
        <v>9.8055199999999994E-9</v>
      </c>
      <c r="K1574" s="8">
        <v>1.038764E-8</v>
      </c>
      <c r="L1574" s="8">
        <v>1.058078E-8</v>
      </c>
      <c r="M1574" s="8">
        <v>1.0532029999999999E-8</v>
      </c>
      <c r="N1574" s="8">
        <v>1.04431E-8</v>
      </c>
      <c r="O1574">
        <v>0</v>
      </c>
      <c r="P1574">
        <v>0</v>
      </c>
      <c r="Q1574">
        <v>0</v>
      </c>
      <c r="R1574" t="s">
        <v>243</v>
      </c>
    </row>
    <row r="1575" spans="1:18" x14ac:dyDescent="0.3">
      <c r="A1575" t="s">
        <v>259</v>
      </c>
      <c r="B1575" t="s">
        <v>42</v>
      </c>
      <c r="C1575" t="s">
        <v>278</v>
      </c>
      <c r="D1575" s="8">
        <v>1.05722E-7</v>
      </c>
      <c r="E1575" s="8">
        <v>8.9515500000000005E-8</v>
      </c>
      <c r="F1575" s="8">
        <v>9.4326099999999999E-8</v>
      </c>
      <c r="G1575" s="8">
        <v>9.4526900000000005E-8</v>
      </c>
      <c r="H1575" s="8">
        <v>6.7467000000000005E-8</v>
      </c>
      <c r="I1575" s="8">
        <v>4.1172909999999999E-8</v>
      </c>
      <c r="J1575" s="8">
        <v>1.2118039999999999E-8</v>
      </c>
      <c r="K1575" s="8">
        <v>1.285225E-8</v>
      </c>
      <c r="L1575" s="8">
        <v>1.310876E-8</v>
      </c>
      <c r="M1575" s="8">
        <v>1.3112759999999999E-8</v>
      </c>
      <c r="N1575" s="8">
        <v>1.3072320000000001E-8</v>
      </c>
      <c r="O1575">
        <v>0</v>
      </c>
      <c r="P1575">
        <v>0</v>
      </c>
      <c r="Q1575">
        <v>0</v>
      </c>
      <c r="R1575" t="s">
        <v>243</v>
      </c>
    </row>
    <row r="1576" spans="1:18" x14ac:dyDescent="0.3">
      <c r="A1576" t="s">
        <v>259</v>
      </c>
      <c r="B1576" t="s">
        <v>42</v>
      </c>
      <c r="C1576" t="s">
        <v>279</v>
      </c>
      <c r="D1576" s="8">
        <v>1.2814699999999999E-7</v>
      </c>
      <c r="E1576" s="8">
        <v>1.13791E-7</v>
      </c>
      <c r="F1576" s="8">
        <v>1.16434E-7</v>
      </c>
      <c r="G1576" s="8">
        <v>1.1601E-7</v>
      </c>
      <c r="H1576" s="8">
        <v>8.1972800000000005E-8</v>
      </c>
      <c r="I1576" s="8">
        <v>4.9947629999999999E-8</v>
      </c>
      <c r="J1576" s="8">
        <v>1.4607470000000001E-8</v>
      </c>
      <c r="K1576" s="8">
        <v>1.5518119999999999E-8</v>
      </c>
      <c r="L1576" s="8">
        <v>1.58396E-8</v>
      </c>
      <c r="M1576" s="8">
        <v>1.5806009999999999E-8</v>
      </c>
      <c r="N1576" s="8">
        <v>1.575814E-8</v>
      </c>
      <c r="O1576">
        <v>0</v>
      </c>
      <c r="P1576">
        <v>0</v>
      </c>
      <c r="Q1576">
        <v>0</v>
      </c>
      <c r="R1576" t="s">
        <v>243</v>
      </c>
    </row>
    <row r="1577" spans="1:18" x14ac:dyDescent="0.3">
      <c r="A1577" t="s">
        <v>259</v>
      </c>
      <c r="B1577" t="s">
        <v>42</v>
      </c>
      <c r="C1577" t="s">
        <v>280</v>
      </c>
      <c r="D1577" s="8">
        <v>1.5377699999999999E-7</v>
      </c>
      <c r="E1577" s="8">
        <v>1.4110099999999999E-7</v>
      </c>
      <c r="F1577" s="8">
        <v>1.40015E-7</v>
      </c>
      <c r="G1577" s="8">
        <v>1.3892600000000001E-7</v>
      </c>
      <c r="H1577" s="8">
        <v>9.7884799999999995E-8</v>
      </c>
      <c r="I1577" s="8">
        <v>5.960121E-8</v>
      </c>
      <c r="J1577" s="8">
        <v>1.7413360000000001E-8</v>
      </c>
      <c r="K1577" s="8">
        <v>1.8447569999999999E-8</v>
      </c>
      <c r="L1577" s="8">
        <v>1.8785879999999998E-8</v>
      </c>
      <c r="M1577" s="8">
        <v>1.8768379999999998E-8</v>
      </c>
      <c r="N1577" s="8">
        <v>1.8714580000000001E-8</v>
      </c>
      <c r="O1577">
        <v>0</v>
      </c>
      <c r="P1577">
        <v>0</v>
      </c>
      <c r="Q1577">
        <v>0</v>
      </c>
      <c r="R1577" t="s">
        <v>243</v>
      </c>
    </row>
    <row r="1578" spans="1:18" x14ac:dyDescent="0.3">
      <c r="A1578" t="s">
        <v>259</v>
      </c>
      <c r="B1578" t="s">
        <v>42</v>
      </c>
      <c r="C1578" t="s">
        <v>281</v>
      </c>
      <c r="D1578" s="8">
        <v>1.85814E-7</v>
      </c>
      <c r="E1578" s="8">
        <v>1.7144500000000001E-7</v>
      </c>
      <c r="F1578" s="8">
        <v>1.6654400000000001E-7</v>
      </c>
      <c r="G1578" s="8">
        <v>1.6327400000000001E-7</v>
      </c>
      <c r="H1578" s="8">
        <v>1.15650899999999E-7</v>
      </c>
      <c r="I1578" s="8">
        <v>7.0272299999999999E-8</v>
      </c>
      <c r="J1578" s="8">
        <v>2.0648480000000001E-8</v>
      </c>
      <c r="K1578" s="8">
        <v>2.1986150000000001E-8</v>
      </c>
      <c r="L1578" s="8">
        <v>2.2515440000000001E-8</v>
      </c>
      <c r="M1578" s="8">
        <v>2.2557610000000001E-8</v>
      </c>
      <c r="N1578" s="8">
        <v>2.253001E-8</v>
      </c>
      <c r="O1578">
        <v>0</v>
      </c>
      <c r="P1578">
        <v>0</v>
      </c>
      <c r="Q1578">
        <v>0</v>
      </c>
      <c r="R1578" t="s">
        <v>243</v>
      </c>
    </row>
    <row r="1579" spans="1:18" x14ac:dyDescent="0.3">
      <c r="A1579" t="s">
        <v>259</v>
      </c>
      <c r="B1579" t="s">
        <v>42</v>
      </c>
      <c r="C1579" t="s">
        <v>282</v>
      </c>
      <c r="D1579" s="8">
        <v>2.2586000000000001E-7</v>
      </c>
      <c r="E1579" s="8">
        <v>2.1241000000000001E-7</v>
      </c>
      <c r="F1579" s="8">
        <v>2.03391E-7</v>
      </c>
      <c r="G1579" s="8">
        <v>2.0051199999999999E-7</v>
      </c>
      <c r="H1579" s="8">
        <v>1.41343E-7</v>
      </c>
      <c r="I1579" s="8">
        <v>8.5913900000000005E-8</v>
      </c>
      <c r="J1579" s="8">
        <v>2.5203929999999999E-8</v>
      </c>
      <c r="K1579" s="8">
        <v>2.68184999999999E-8</v>
      </c>
      <c r="L1579" s="8">
        <v>2.7466109999999899E-8</v>
      </c>
      <c r="M1579" s="8">
        <v>2.7509269999999998E-8</v>
      </c>
      <c r="N1579" s="8">
        <v>2.748346E-8</v>
      </c>
      <c r="O1579">
        <v>0</v>
      </c>
      <c r="P1579">
        <v>0</v>
      </c>
      <c r="Q1579">
        <v>0</v>
      </c>
      <c r="R1579" t="s">
        <v>243</v>
      </c>
    </row>
    <row r="1580" spans="1:18" x14ac:dyDescent="0.3">
      <c r="A1580" t="s">
        <v>259</v>
      </c>
      <c r="B1580" t="s">
        <v>42</v>
      </c>
      <c r="C1580" t="s">
        <v>283</v>
      </c>
      <c r="D1580" s="8">
        <v>3.0435E-7</v>
      </c>
      <c r="E1580" s="8">
        <v>2.7461499999999997E-7</v>
      </c>
      <c r="F1580" s="8">
        <v>2.6529200000000002E-7</v>
      </c>
      <c r="G1580" s="8">
        <v>2.5636800000000001E-7</v>
      </c>
      <c r="H1580" s="8">
        <v>1.8159819999999999E-7</v>
      </c>
      <c r="I1580" s="8">
        <v>1.102436E-7</v>
      </c>
      <c r="J1580" s="8">
        <v>3.2650979999999999E-8</v>
      </c>
      <c r="K1580" s="8">
        <v>3.4864E-8</v>
      </c>
      <c r="L1580" s="8">
        <v>3.5745909999999999E-8</v>
      </c>
      <c r="M1580" s="8">
        <v>3.5797199999999997E-8</v>
      </c>
      <c r="N1580" s="8">
        <v>3.5723109999999997E-8</v>
      </c>
      <c r="O1580">
        <v>0</v>
      </c>
      <c r="P1580">
        <v>0</v>
      </c>
      <c r="Q1580">
        <v>0</v>
      </c>
      <c r="R1580" t="s">
        <v>243</v>
      </c>
    </row>
    <row r="1581" spans="1:18" x14ac:dyDescent="0.3">
      <c r="A1581" t="s">
        <v>259</v>
      </c>
      <c r="B1581" t="s">
        <v>42</v>
      </c>
      <c r="C1581" t="s">
        <v>334</v>
      </c>
      <c r="D1581">
        <v>1.6389E-3</v>
      </c>
      <c r="E1581" s="8">
        <v>2.5414900000000001E-4</v>
      </c>
      <c r="F1581" s="8">
        <v>2.8167099999999999E-4</v>
      </c>
      <c r="G1581" s="8">
        <v>1.3119E-4</v>
      </c>
      <c r="H1581" s="8">
        <v>1.340627E-4</v>
      </c>
      <c r="I1581" s="8">
        <v>1.3888729999999999E-4</v>
      </c>
      <c r="J1581" s="8">
        <v>1.3395090000000001E-4</v>
      </c>
      <c r="K1581" s="8">
        <v>1.297731E-4</v>
      </c>
      <c r="L1581" s="8">
        <v>1.2540110000000001E-4</v>
      </c>
      <c r="M1581" s="8">
        <v>1.202644E-4</v>
      </c>
      <c r="N1581" s="8">
        <v>1.155971E-4</v>
      </c>
      <c r="O1581">
        <v>0</v>
      </c>
      <c r="P1581">
        <v>0</v>
      </c>
      <c r="Q1581">
        <v>0</v>
      </c>
      <c r="R1581" t="s">
        <v>243</v>
      </c>
    </row>
    <row r="1582" spans="1:18" x14ac:dyDescent="0.3">
      <c r="A1582" t="s">
        <v>259</v>
      </c>
      <c r="B1582" t="s">
        <v>42</v>
      </c>
      <c r="C1582" t="s">
        <v>335</v>
      </c>
      <c r="D1582" s="8">
        <v>1.3222099999999999E-4</v>
      </c>
      <c r="E1582" s="8">
        <v>1.31779E-5</v>
      </c>
      <c r="F1582" s="8">
        <v>1.70834E-5</v>
      </c>
      <c r="G1582" s="8">
        <v>8.4970800000000006E-6</v>
      </c>
      <c r="H1582" s="8">
        <v>2.2174499999999998E-6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243</v>
      </c>
    </row>
    <row r="1583" spans="1:18" x14ac:dyDescent="0.3">
      <c r="A1583" t="s">
        <v>259</v>
      </c>
      <c r="B1583" t="s">
        <v>42</v>
      </c>
      <c r="C1583" t="s">
        <v>336</v>
      </c>
      <c r="D1583">
        <v>1.0083099999999999E-3</v>
      </c>
      <c r="E1583" s="8">
        <v>1.45351E-4</v>
      </c>
      <c r="F1583" s="8">
        <v>1.5758800000000001E-4</v>
      </c>
      <c r="G1583" s="8">
        <v>7.3879299999999996E-5</v>
      </c>
      <c r="H1583" s="8">
        <v>7.3306899999999906E-5</v>
      </c>
      <c r="I1583" s="8">
        <v>7.5149100000000002E-5</v>
      </c>
      <c r="J1583" s="8">
        <v>7.2097399999999999E-5</v>
      </c>
      <c r="K1583" s="8">
        <v>6.965834E-5</v>
      </c>
      <c r="L1583" s="8">
        <v>6.72493E-5</v>
      </c>
      <c r="M1583" s="8">
        <v>6.4507100000000004E-5</v>
      </c>
      <c r="N1583" s="8">
        <v>6.20575E-5</v>
      </c>
      <c r="O1583">
        <v>0</v>
      </c>
      <c r="P1583">
        <v>0</v>
      </c>
      <c r="Q1583">
        <v>0</v>
      </c>
      <c r="R1583" t="s">
        <v>243</v>
      </c>
    </row>
    <row r="1584" spans="1:18" x14ac:dyDescent="0.3">
      <c r="A1584" t="s">
        <v>259</v>
      </c>
      <c r="B1584" t="s">
        <v>42</v>
      </c>
      <c r="C1584" t="s">
        <v>337</v>
      </c>
      <c r="D1584" s="8">
        <v>7.4160399999999998E-4</v>
      </c>
      <c r="E1584" s="8">
        <v>1.0436499999999999E-4</v>
      </c>
      <c r="F1584" s="8">
        <v>1.15896E-4</v>
      </c>
      <c r="G1584" s="8">
        <v>5.4076300000000003E-5</v>
      </c>
      <c r="H1584" s="8">
        <v>5.3051299999999998E-5</v>
      </c>
      <c r="I1584" s="8">
        <v>5.42668E-5</v>
      </c>
      <c r="J1584" s="8">
        <v>5.1850849999999998E-5</v>
      </c>
      <c r="K1584" s="8">
        <v>4.997972E-5</v>
      </c>
      <c r="L1584" s="8">
        <v>4.8179100000000001E-5</v>
      </c>
      <c r="M1584" s="8">
        <v>4.6143660000000001E-5</v>
      </c>
      <c r="N1584" s="8">
        <v>4.4329809999999998E-5</v>
      </c>
      <c r="O1584">
        <v>0</v>
      </c>
      <c r="P1584">
        <v>0</v>
      </c>
      <c r="Q1584">
        <v>0</v>
      </c>
      <c r="R1584" t="s">
        <v>243</v>
      </c>
    </row>
    <row r="1585" spans="1:18" x14ac:dyDescent="0.3">
      <c r="A1585" t="s">
        <v>259</v>
      </c>
      <c r="B1585" t="s">
        <v>42</v>
      </c>
      <c r="C1585" t="s">
        <v>338</v>
      </c>
      <c r="D1585" s="8">
        <v>6.1312699999999999E-4</v>
      </c>
      <c r="E1585" s="8">
        <v>8.1561899999999996E-5</v>
      </c>
      <c r="F1585" s="8">
        <v>9.1567499999999994E-5</v>
      </c>
      <c r="G1585" s="8">
        <v>4.3045099999999999E-5</v>
      </c>
      <c r="H1585" s="8">
        <v>4.19456E-5</v>
      </c>
      <c r="I1585" s="8">
        <v>4.2731100000000002E-5</v>
      </c>
      <c r="J1585" s="8">
        <v>4.0769079999999899E-5</v>
      </c>
      <c r="K1585" s="8">
        <v>3.9260649999999998E-5</v>
      </c>
      <c r="L1585" s="8">
        <v>3.7828730000000001E-5</v>
      </c>
      <c r="M1585" s="8">
        <v>3.6250149999999997E-5</v>
      </c>
      <c r="N1585" s="8">
        <v>3.4850969999999899E-5</v>
      </c>
      <c r="O1585">
        <v>0</v>
      </c>
      <c r="P1585">
        <v>0</v>
      </c>
      <c r="Q1585">
        <v>0</v>
      </c>
      <c r="R1585" t="s">
        <v>243</v>
      </c>
    </row>
    <row r="1586" spans="1:18" x14ac:dyDescent="0.3">
      <c r="A1586" t="s">
        <v>259</v>
      </c>
      <c r="B1586" t="s">
        <v>42</v>
      </c>
      <c r="C1586" t="s">
        <v>339</v>
      </c>
      <c r="D1586" s="8">
        <v>5.1548700000000002E-4</v>
      </c>
      <c r="E1586" s="8">
        <v>6.5139099999999994E-5</v>
      </c>
      <c r="F1586" s="8">
        <v>7.5170499999999995E-5</v>
      </c>
      <c r="G1586" s="8">
        <v>3.5263699999999999E-5</v>
      </c>
      <c r="H1586" s="8">
        <v>3.41454E-5</v>
      </c>
      <c r="I1586" s="8">
        <v>3.4761839999999999E-5</v>
      </c>
      <c r="J1586" s="8">
        <v>3.3131499999999999E-5</v>
      </c>
      <c r="K1586" s="8">
        <v>3.188088E-5</v>
      </c>
      <c r="L1586" s="8">
        <v>3.0700980000000002E-5</v>
      </c>
      <c r="M1586" s="8">
        <v>2.938761E-5</v>
      </c>
      <c r="N1586" s="8">
        <v>7.9710200000000001E-6</v>
      </c>
      <c r="O1586">
        <v>0</v>
      </c>
      <c r="P1586">
        <v>0</v>
      </c>
      <c r="Q1586">
        <v>0</v>
      </c>
      <c r="R1586" t="s">
        <v>243</v>
      </c>
    </row>
    <row r="1587" spans="1:18" x14ac:dyDescent="0.3">
      <c r="A1587" t="s">
        <v>259</v>
      </c>
      <c r="B1587" t="s">
        <v>42</v>
      </c>
      <c r="C1587" t="s">
        <v>340</v>
      </c>
      <c r="D1587" s="8">
        <v>4.3079300000000001E-4</v>
      </c>
      <c r="E1587" s="8">
        <v>5.2992999999999999E-5</v>
      </c>
      <c r="F1587" s="8">
        <v>6.2953799999999993E-5</v>
      </c>
      <c r="G1587" s="8">
        <v>2.9547E-5</v>
      </c>
      <c r="H1587" s="8">
        <v>2.8578099999999898E-5</v>
      </c>
      <c r="I1587" s="8">
        <v>2.90639999999999E-5</v>
      </c>
      <c r="J1587" s="8">
        <v>2.76661799999999E-5</v>
      </c>
      <c r="K1587" s="8">
        <v>2.6578879999999999E-5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243</v>
      </c>
    </row>
    <row r="1588" spans="1:18" x14ac:dyDescent="0.3">
      <c r="A1588" t="s">
        <v>259</v>
      </c>
      <c r="B1588" t="s">
        <v>42</v>
      </c>
      <c r="C1588" t="s">
        <v>341</v>
      </c>
      <c r="D1588" s="8">
        <v>3.5658700000000001E-4</v>
      </c>
      <c r="E1588" s="8">
        <v>4.3446599999999998E-5</v>
      </c>
      <c r="F1588" s="8">
        <v>5.2700300000000001E-5</v>
      </c>
      <c r="G1588" s="8">
        <v>2.5174500000000001E-5</v>
      </c>
      <c r="H1588" s="8">
        <v>2.4458090000000002E-5</v>
      </c>
      <c r="I1588" s="8">
        <v>2.4805699999999999E-5</v>
      </c>
      <c r="J1588" s="8">
        <v>2.3576679999999999E-5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243</v>
      </c>
    </row>
    <row r="1589" spans="1:18" x14ac:dyDescent="0.3">
      <c r="A1589" t="s">
        <v>259</v>
      </c>
      <c r="B1589" t="s">
        <v>42</v>
      </c>
      <c r="C1589" t="s">
        <v>342</v>
      </c>
      <c r="D1589" s="8">
        <v>2.9300399999999997E-4</v>
      </c>
      <c r="E1589" s="8">
        <v>3.48652E-5</v>
      </c>
      <c r="F1589" s="8">
        <v>4.3289399999999999E-5</v>
      </c>
      <c r="G1589" s="8">
        <v>2.05153E-5</v>
      </c>
      <c r="H1589" s="8">
        <v>1.988611E-5</v>
      </c>
      <c r="I1589" s="8">
        <v>2.0172169999999899E-5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243</v>
      </c>
    </row>
    <row r="1590" spans="1:18" x14ac:dyDescent="0.3">
      <c r="A1590" t="s">
        <v>259</v>
      </c>
      <c r="B1590" t="s">
        <v>42</v>
      </c>
      <c r="C1590" t="s">
        <v>343</v>
      </c>
      <c r="D1590" s="8">
        <v>2.14611E-4</v>
      </c>
      <c r="E1590" s="8">
        <v>2.67022E-5</v>
      </c>
      <c r="F1590" s="8">
        <v>3.2699600000000001E-5</v>
      </c>
      <c r="G1590" s="8">
        <v>1.58998E-5</v>
      </c>
      <c r="H1590" s="8">
        <v>1.54769599999999E-5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243</v>
      </c>
    </row>
    <row r="1591" spans="1:18" x14ac:dyDescent="0.3">
      <c r="A1591" t="s">
        <v>259</v>
      </c>
      <c r="B1591" t="s">
        <v>42</v>
      </c>
      <c r="C1591" t="s">
        <v>284</v>
      </c>
      <c r="D1591" s="8">
        <v>9.8448021000000006E-4</v>
      </c>
      <c r="E1591" s="8">
        <v>6.4149656000000001E-4</v>
      </c>
      <c r="F1591" s="8">
        <v>6.1617615999999997E-4</v>
      </c>
      <c r="G1591" s="8">
        <v>5.1603082999999896E-4</v>
      </c>
      <c r="H1591" s="8">
        <v>5.3008929989999999E-4</v>
      </c>
      <c r="I1591" s="8">
        <v>6.7136300225000001E-4</v>
      </c>
      <c r="J1591" s="8">
        <v>6.9332658887999996E-4</v>
      </c>
      <c r="K1591" s="8">
        <v>6.9657231542000003E-4</v>
      </c>
      <c r="L1591" s="8">
        <v>6.7931426357000001E-4</v>
      </c>
      <c r="M1591" s="8">
        <v>6.5564268889999999E-4</v>
      </c>
      <c r="N1591" s="8">
        <v>6.3250995400000005E-4</v>
      </c>
      <c r="O1591">
        <v>0</v>
      </c>
      <c r="P1591">
        <v>0</v>
      </c>
      <c r="Q1591">
        <v>0</v>
      </c>
      <c r="R1591" t="s">
        <v>243</v>
      </c>
    </row>
    <row r="1592" spans="1:18" x14ac:dyDescent="0.3">
      <c r="A1592" t="s">
        <v>259</v>
      </c>
      <c r="B1592" t="s">
        <v>42</v>
      </c>
      <c r="C1592" t="s">
        <v>285</v>
      </c>
      <c r="D1592">
        <v>5.3401055000000001E-3</v>
      </c>
      <c r="E1592">
        <v>6.4242131999999903E-3</v>
      </c>
      <c r="F1592">
        <v>5.8040799999999997E-3</v>
      </c>
      <c r="G1592">
        <v>4.3116014000000001E-3</v>
      </c>
      <c r="H1592">
        <v>4.0173808069999999E-3</v>
      </c>
      <c r="I1592">
        <v>4.1211678474999897E-3</v>
      </c>
      <c r="J1592">
        <v>3.80531643E-3</v>
      </c>
      <c r="K1592">
        <v>3.4356439062E-3</v>
      </c>
      <c r="L1592">
        <v>3.15774747175E-3</v>
      </c>
      <c r="M1592">
        <v>2.89072517199999E-3</v>
      </c>
      <c r="N1592">
        <v>2.6428566379999899E-3</v>
      </c>
      <c r="O1592">
        <v>0</v>
      </c>
      <c r="P1592">
        <v>0</v>
      </c>
      <c r="Q1592">
        <v>0</v>
      </c>
      <c r="R1592" t="s">
        <v>243</v>
      </c>
    </row>
    <row r="1593" spans="1:18" x14ac:dyDescent="0.3">
      <c r="A1593" t="s">
        <v>259</v>
      </c>
      <c r="B1593" t="s">
        <v>42</v>
      </c>
      <c r="C1593" t="s">
        <v>286</v>
      </c>
      <c r="D1593">
        <v>1.6224850600000001E-3</v>
      </c>
      <c r="E1593">
        <v>1.20741704E-3</v>
      </c>
      <c r="F1593">
        <v>1.1818471E-3</v>
      </c>
      <c r="G1593" s="8">
        <v>9.7832319999999998E-4</v>
      </c>
      <c r="H1593" s="8">
        <v>9.4405371269999996E-4</v>
      </c>
      <c r="I1593">
        <v>1.1499678351E-3</v>
      </c>
      <c r="J1593">
        <v>1.1687937209099899E-3</v>
      </c>
      <c r="K1593">
        <v>1.1601779015599999E-3</v>
      </c>
      <c r="L1593">
        <v>1.12666849150999E-3</v>
      </c>
      <c r="M1593">
        <v>1.0841784407999999E-3</v>
      </c>
      <c r="N1593">
        <v>1.0426552269999999E-3</v>
      </c>
      <c r="O1593">
        <v>0</v>
      </c>
      <c r="P1593">
        <v>0</v>
      </c>
      <c r="Q1593">
        <v>0</v>
      </c>
      <c r="R1593" t="s">
        <v>243</v>
      </c>
    </row>
    <row r="1594" spans="1:18" x14ac:dyDescent="0.3">
      <c r="A1594" t="s">
        <v>259</v>
      </c>
      <c r="B1594" t="s">
        <v>42</v>
      </c>
      <c r="C1594" t="s">
        <v>287</v>
      </c>
      <c r="D1594">
        <v>2.1215040999999998E-3</v>
      </c>
      <c r="E1594">
        <v>1.6745788E-3</v>
      </c>
      <c r="F1594">
        <v>1.5974280999999999E-3</v>
      </c>
      <c r="G1594">
        <v>1.3197725E-3</v>
      </c>
      <c r="H1594">
        <v>1.23996853729999E-3</v>
      </c>
      <c r="I1594">
        <v>1.4882730955999999E-3</v>
      </c>
      <c r="J1594">
        <v>1.4906232047E-3</v>
      </c>
      <c r="K1594">
        <v>1.4622824030199901E-3</v>
      </c>
      <c r="L1594">
        <v>1.4101661976400001E-3</v>
      </c>
      <c r="M1594">
        <v>1.3462460486999899E-3</v>
      </c>
      <c r="N1594">
        <v>1.28392707099999E-3</v>
      </c>
      <c r="O1594">
        <v>0</v>
      </c>
      <c r="P1594">
        <v>0</v>
      </c>
      <c r="Q1594">
        <v>0</v>
      </c>
      <c r="R1594" t="s">
        <v>243</v>
      </c>
    </row>
    <row r="1595" spans="1:18" x14ac:dyDescent="0.3">
      <c r="A1595" t="s">
        <v>259</v>
      </c>
      <c r="B1595" t="s">
        <v>42</v>
      </c>
      <c r="C1595" t="s">
        <v>288</v>
      </c>
      <c r="D1595">
        <v>2.4628150999999902E-3</v>
      </c>
      <c r="E1595">
        <v>2.0926823999999999E-3</v>
      </c>
      <c r="F1595">
        <v>1.9765291999999999E-3</v>
      </c>
      <c r="G1595">
        <v>1.6118802999999899E-3</v>
      </c>
      <c r="H1595">
        <v>1.4897307099E-3</v>
      </c>
      <c r="I1595">
        <v>1.7521480990000001E-3</v>
      </c>
      <c r="J1595">
        <v>1.7419487821000001E-3</v>
      </c>
      <c r="K1595">
        <v>1.6956967131800001E-3</v>
      </c>
      <c r="L1595">
        <v>1.62858576255E-3</v>
      </c>
      <c r="M1595">
        <v>1.55200201599999E-3</v>
      </c>
      <c r="N1595">
        <v>1.4771901249999999E-3</v>
      </c>
      <c r="O1595">
        <v>0</v>
      </c>
      <c r="P1595">
        <v>0</v>
      </c>
      <c r="Q1595">
        <v>0</v>
      </c>
      <c r="R1595" t="s">
        <v>243</v>
      </c>
    </row>
    <row r="1596" spans="1:18" x14ac:dyDescent="0.3">
      <c r="A1596" t="s">
        <v>259</v>
      </c>
      <c r="B1596" t="s">
        <v>42</v>
      </c>
      <c r="C1596" t="s">
        <v>289</v>
      </c>
      <c r="D1596">
        <v>2.7911825999999999E-3</v>
      </c>
      <c r="E1596">
        <v>2.5267463E-3</v>
      </c>
      <c r="F1596">
        <v>2.334984E-3</v>
      </c>
      <c r="G1596">
        <v>1.8956604999999999E-3</v>
      </c>
      <c r="H1596">
        <v>1.7238309544999901E-3</v>
      </c>
      <c r="I1596">
        <v>2.0069396708999902E-3</v>
      </c>
      <c r="J1596">
        <v>1.9822673182999899E-3</v>
      </c>
      <c r="K1596">
        <v>1.91560110489999E-3</v>
      </c>
      <c r="L1596">
        <v>1.83167041295E-3</v>
      </c>
      <c r="M1596">
        <v>1.734643129E-3</v>
      </c>
      <c r="N1596">
        <v>1.64269630199999E-3</v>
      </c>
      <c r="O1596">
        <v>0</v>
      </c>
      <c r="P1596">
        <v>0</v>
      </c>
      <c r="Q1596">
        <v>0</v>
      </c>
      <c r="R1596" t="s">
        <v>243</v>
      </c>
    </row>
    <row r="1597" spans="1:18" x14ac:dyDescent="0.3">
      <c r="A1597" t="s">
        <v>259</v>
      </c>
      <c r="B1597" t="s">
        <v>42</v>
      </c>
      <c r="C1597" t="s">
        <v>290</v>
      </c>
      <c r="D1597">
        <v>3.1433199000000002E-3</v>
      </c>
      <c r="E1597">
        <v>2.9672724999999902E-3</v>
      </c>
      <c r="F1597">
        <v>2.6880181E-3</v>
      </c>
      <c r="G1597">
        <v>2.1676641000000002E-3</v>
      </c>
      <c r="H1597">
        <v>1.9686681274000001E-3</v>
      </c>
      <c r="I1597">
        <v>2.2643209006000002E-3</v>
      </c>
      <c r="J1597">
        <v>2.2193214176999998E-3</v>
      </c>
      <c r="K1597">
        <v>2.1238169690999901E-3</v>
      </c>
      <c r="L1597">
        <v>2.0178047556299902E-3</v>
      </c>
      <c r="M1597">
        <v>1.903188956E-3</v>
      </c>
      <c r="N1597">
        <v>1.7935994299999899E-3</v>
      </c>
      <c r="O1597">
        <v>0</v>
      </c>
      <c r="P1597">
        <v>0</v>
      </c>
      <c r="Q1597">
        <v>0</v>
      </c>
      <c r="R1597" t="s">
        <v>243</v>
      </c>
    </row>
    <row r="1598" spans="1:18" x14ac:dyDescent="0.3">
      <c r="A1598" t="s">
        <v>259</v>
      </c>
      <c r="B1598" t="s">
        <v>42</v>
      </c>
      <c r="C1598" t="s">
        <v>291</v>
      </c>
      <c r="D1598">
        <v>3.5214679999999998E-3</v>
      </c>
      <c r="E1598">
        <v>3.4253199999999999E-3</v>
      </c>
      <c r="F1598">
        <v>3.0691499000000001E-3</v>
      </c>
      <c r="G1598">
        <v>2.4284267999999999E-3</v>
      </c>
      <c r="H1598">
        <v>2.2374749940000001E-3</v>
      </c>
      <c r="I1598">
        <v>2.5273934597E-3</v>
      </c>
      <c r="J1598">
        <v>2.4553604186999898E-3</v>
      </c>
      <c r="K1598">
        <v>2.3372636424999998E-3</v>
      </c>
      <c r="L1598">
        <v>2.2146864076899998E-3</v>
      </c>
      <c r="M1598">
        <v>2.0809994809999999E-3</v>
      </c>
      <c r="N1598">
        <v>1.9523430909999999E-3</v>
      </c>
      <c r="O1598">
        <v>0</v>
      </c>
      <c r="P1598">
        <v>0</v>
      </c>
      <c r="Q1598">
        <v>0</v>
      </c>
      <c r="R1598" t="s">
        <v>243</v>
      </c>
    </row>
    <row r="1599" spans="1:18" x14ac:dyDescent="0.3">
      <c r="A1599" t="s">
        <v>259</v>
      </c>
      <c r="B1599" t="s">
        <v>42</v>
      </c>
      <c r="C1599" t="s">
        <v>292</v>
      </c>
      <c r="D1599">
        <v>3.9141912000000001E-3</v>
      </c>
      <c r="E1599">
        <v>3.9644488E-3</v>
      </c>
      <c r="F1599">
        <v>3.5186480000000001E-3</v>
      </c>
      <c r="G1599">
        <v>2.7773351000000002E-3</v>
      </c>
      <c r="H1599">
        <v>2.5449034790000001E-3</v>
      </c>
      <c r="I1599">
        <v>2.8378110093E-3</v>
      </c>
      <c r="J1599">
        <v>2.7339137192999999E-3</v>
      </c>
      <c r="K1599">
        <v>2.5738655817000001E-3</v>
      </c>
      <c r="L1599">
        <v>2.4228984280300001E-3</v>
      </c>
      <c r="M1599">
        <v>2.2626423799999998E-3</v>
      </c>
      <c r="N1599">
        <v>2.1101936189999999E-3</v>
      </c>
      <c r="O1599">
        <v>0</v>
      </c>
      <c r="P1599">
        <v>0</v>
      </c>
      <c r="Q1599">
        <v>0</v>
      </c>
      <c r="R1599" t="s">
        <v>243</v>
      </c>
    </row>
    <row r="1600" spans="1:18" x14ac:dyDescent="0.3">
      <c r="A1600" t="s">
        <v>259</v>
      </c>
      <c r="B1600" t="s">
        <v>42</v>
      </c>
      <c r="C1600" t="s">
        <v>293</v>
      </c>
      <c r="D1600">
        <v>4.5155680999999998E-3</v>
      </c>
      <c r="E1600">
        <v>4.6470048E-3</v>
      </c>
      <c r="F1600">
        <v>4.1974300000000003E-3</v>
      </c>
      <c r="G1600">
        <v>3.2272874999999999E-3</v>
      </c>
      <c r="H1600">
        <v>2.9909859839999998E-3</v>
      </c>
      <c r="I1600">
        <v>3.2460186843999901E-3</v>
      </c>
      <c r="J1600">
        <v>3.0851788418999999E-3</v>
      </c>
      <c r="K1600">
        <v>2.8684224325E-3</v>
      </c>
      <c r="L1600">
        <v>2.6777451084999998E-3</v>
      </c>
      <c r="M1600">
        <v>2.4817108000000001E-3</v>
      </c>
      <c r="N1600">
        <v>2.2964527500000001E-3</v>
      </c>
      <c r="O1600">
        <v>0</v>
      </c>
      <c r="P1600">
        <v>0</v>
      </c>
      <c r="Q1600">
        <v>0</v>
      </c>
      <c r="R1600" t="s">
        <v>243</v>
      </c>
    </row>
    <row r="1601" spans="1:18" x14ac:dyDescent="0.3">
      <c r="A1601" t="s">
        <v>259</v>
      </c>
      <c r="B1601" t="s">
        <v>42</v>
      </c>
      <c r="C1601" t="s">
        <v>344</v>
      </c>
      <c r="D1601" s="8">
        <v>2.0128600000000001E-4</v>
      </c>
      <c r="E1601" s="8">
        <v>3.0774E-5</v>
      </c>
      <c r="F1601" s="8">
        <v>3.41115E-5</v>
      </c>
      <c r="G1601" s="8">
        <v>1.58969E-5</v>
      </c>
      <c r="H1601" s="8">
        <v>1.625384E-5</v>
      </c>
      <c r="I1601" s="8">
        <v>1.6811879999999999E-5</v>
      </c>
      <c r="J1601" s="8">
        <v>1.6228169999999999E-5</v>
      </c>
      <c r="K1601" s="8">
        <v>1.5729199999999998E-5</v>
      </c>
      <c r="L1601" s="8">
        <v>1.5186839999999999E-5</v>
      </c>
      <c r="M1601" s="8">
        <v>1.4570090000000001E-5</v>
      </c>
      <c r="N1601" s="8">
        <v>1.400702E-5</v>
      </c>
      <c r="O1601">
        <v>0</v>
      </c>
      <c r="P1601">
        <v>0</v>
      </c>
      <c r="Q1601">
        <v>0</v>
      </c>
      <c r="R1601" t="s">
        <v>243</v>
      </c>
    </row>
    <row r="1602" spans="1:18" x14ac:dyDescent="0.3">
      <c r="A1602" t="s">
        <v>259</v>
      </c>
      <c r="B1602" t="s">
        <v>42</v>
      </c>
      <c r="C1602" t="s">
        <v>345</v>
      </c>
      <c r="D1602" s="8">
        <v>2.8087599999999999E-5</v>
      </c>
      <c r="E1602" s="8">
        <v>3.0374100000000002E-6</v>
      </c>
      <c r="F1602" s="8">
        <v>3.8080199999999999E-6</v>
      </c>
      <c r="G1602" s="8">
        <v>1.8703600000000001E-6</v>
      </c>
      <c r="H1602" s="8">
        <v>1.831856E-6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243</v>
      </c>
    </row>
    <row r="1603" spans="1:18" x14ac:dyDescent="0.3">
      <c r="A1603" t="s">
        <v>259</v>
      </c>
      <c r="B1603" t="s">
        <v>42</v>
      </c>
      <c r="C1603" t="s">
        <v>346</v>
      </c>
      <c r="D1603" s="8">
        <v>1.38911E-4</v>
      </c>
      <c r="E1603" s="8">
        <v>2.01026E-5</v>
      </c>
      <c r="F1603" s="8">
        <v>2.18967E-5</v>
      </c>
      <c r="G1603" s="8">
        <v>1.02617E-5</v>
      </c>
      <c r="H1603" s="8">
        <v>1.018789E-5</v>
      </c>
      <c r="I1603" s="8">
        <v>1.042649E-5</v>
      </c>
      <c r="J1603" s="8">
        <v>1.0012300000000001E-5</v>
      </c>
      <c r="K1603" s="8">
        <v>9.6781099999999903E-6</v>
      </c>
      <c r="L1603" s="8">
        <v>9.3352300000000004E-6</v>
      </c>
      <c r="M1603" s="8">
        <v>8.9581800000000003E-6</v>
      </c>
      <c r="N1603" s="8">
        <v>8.6194699999999905E-6</v>
      </c>
      <c r="O1603">
        <v>0</v>
      </c>
      <c r="P1603">
        <v>0</v>
      </c>
      <c r="Q1603">
        <v>0</v>
      </c>
      <c r="R1603" t="s">
        <v>243</v>
      </c>
    </row>
    <row r="1604" spans="1:18" x14ac:dyDescent="0.3">
      <c r="A1604" t="s">
        <v>259</v>
      </c>
      <c r="B1604" t="s">
        <v>42</v>
      </c>
      <c r="C1604" t="s">
        <v>347</v>
      </c>
      <c r="D1604" s="8">
        <v>1.09518E-4</v>
      </c>
      <c r="E1604" s="8">
        <v>1.55617E-5</v>
      </c>
      <c r="F1604" s="8">
        <v>1.7260899999999999E-5</v>
      </c>
      <c r="G1604" s="8">
        <v>8.0606599999999995E-6</v>
      </c>
      <c r="H1604" s="8">
        <v>7.91239E-6</v>
      </c>
      <c r="I1604" s="8">
        <v>8.0799599999999995E-6</v>
      </c>
      <c r="J1604" s="8">
        <v>7.7275500000000002E-6</v>
      </c>
      <c r="K1604" s="8">
        <v>7.4521799999999999E-6</v>
      </c>
      <c r="L1604" s="8">
        <v>7.17729E-6</v>
      </c>
      <c r="M1604" s="8">
        <v>6.8769399999999996E-6</v>
      </c>
      <c r="N1604" s="8">
        <v>6.6077700000000001E-6</v>
      </c>
      <c r="O1604">
        <v>0</v>
      </c>
      <c r="P1604">
        <v>0</v>
      </c>
      <c r="Q1604">
        <v>0</v>
      </c>
      <c r="R1604" t="s">
        <v>243</v>
      </c>
    </row>
    <row r="1605" spans="1:18" x14ac:dyDescent="0.3">
      <c r="A1605" t="s">
        <v>259</v>
      </c>
      <c r="B1605" t="s">
        <v>42</v>
      </c>
      <c r="C1605" t="s">
        <v>348</v>
      </c>
      <c r="D1605" s="8">
        <v>9.4435400000000001E-5</v>
      </c>
      <c r="E1605" s="8">
        <v>1.2843199999999999E-5</v>
      </c>
      <c r="F1605" s="8">
        <v>1.43672E-5</v>
      </c>
      <c r="G1605" s="8">
        <v>6.7502000000000002E-6</v>
      </c>
      <c r="H1605" s="8">
        <v>6.5815600000000004E-6</v>
      </c>
      <c r="I1605" s="8">
        <v>6.6932999999999898E-6</v>
      </c>
      <c r="J1605" s="8">
        <v>6.3921559999999899E-6</v>
      </c>
      <c r="K1605" s="8">
        <v>6.1585700000000002E-6</v>
      </c>
      <c r="L1605" s="8">
        <v>5.9285400000000003E-6</v>
      </c>
      <c r="M1605" s="8">
        <v>5.6835699999999997E-6</v>
      </c>
      <c r="N1605" s="8">
        <v>5.4651719999999999E-6</v>
      </c>
      <c r="O1605">
        <v>0</v>
      </c>
      <c r="P1605">
        <v>0</v>
      </c>
      <c r="Q1605">
        <v>0</v>
      </c>
      <c r="R1605" t="s">
        <v>243</v>
      </c>
    </row>
    <row r="1606" spans="1:18" x14ac:dyDescent="0.3">
      <c r="A1606" t="s">
        <v>259</v>
      </c>
      <c r="B1606" t="s">
        <v>42</v>
      </c>
      <c r="C1606" t="s">
        <v>349</v>
      </c>
      <c r="D1606" s="8">
        <v>8.2456900000000007E-5</v>
      </c>
      <c r="E1606" s="8">
        <v>1.0772699999999999E-5</v>
      </c>
      <c r="F1606" s="8">
        <v>1.23112E-5</v>
      </c>
      <c r="G1606" s="8">
        <v>5.7727800000000003E-6</v>
      </c>
      <c r="H1606" s="8">
        <v>5.5929500000000004E-6</v>
      </c>
      <c r="I1606" s="8">
        <v>5.6840799999999998E-6</v>
      </c>
      <c r="J1606" s="8">
        <v>5.4228159999999996E-6</v>
      </c>
      <c r="K1606" s="8">
        <v>5.220591E-6</v>
      </c>
      <c r="L1606" s="8">
        <v>5.0227500000000003E-6</v>
      </c>
      <c r="M1606" s="8">
        <v>4.8099630000000001E-6</v>
      </c>
      <c r="N1606" s="8">
        <v>4.622984E-6</v>
      </c>
      <c r="O1606">
        <v>0</v>
      </c>
      <c r="P1606">
        <v>0</v>
      </c>
      <c r="Q1606">
        <v>0</v>
      </c>
      <c r="R1606" t="s">
        <v>243</v>
      </c>
    </row>
    <row r="1607" spans="1:18" x14ac:dyDescent="0.3">
      <c r="A1607" t="s">
        <v>259</v>
      </c>
      <c r="B1607" t="s">
        <v>42</v>
      </c>
      <c r="C1607" t="s">
        <v>350</v>
      </c>
      <c r="D1607" s="8">
        <v>7.1623600000000003E-5</v>
      </c>
      <c r="E1607" s="8">
        <v>9.1603299999999998E-6</v>
      </c>
      <c r="F1607" s="8">
        <v>1.0712399999999999E-5</v>
      </c>
      <c r="G1607" s="8">
        <v>5.0246400000000004E-6</v>
      </c>
      <c r="H1607" s="8">
        <v>4.8626599999999998E-6</v>
      </c>
      <c r="I1607" s="8">
        <v>4.9367800000000002E-6</v>
      </c>
      <c r="J1607" s="8">
        <v>4.7039900000000003E-6</v>
      </c>
      <c r="K1607" s="8">
        <v>4.5212739999999999E-6</v>
      </c>
      <c r="L1607" s="8">
        <v>4.3447999999999901E-6</v>
      </c>
      <c r="M1607" s="8">
        <v>4.1598959999999997E-6</v>
      </c>
      <c r="N1607" s="8">
        <v>3.9966949999999999E-6</v>
      </c>
      <c r="O1607">
        <v>0</v>
      </c>
      <c r="P1607">
        <v>0</v>
      </c>
      <c r="Q1607">
        <v>0</v>
      </c>
      <c r="R1607" t="s">
        <v>243</v>
      </c>
    </row>
    <row r="1608" spans="1:18" x14ac:dyDescent="0.3">
      <c r="A1608" t="s">
        <v>259</v>
      </c>
      <c r="B1608" t="s">
        <v>42</v>
      </c>
      <c r="C1608" t="s">
        <v>351</v>
      </c>
      <c r="D1608" s="8">
        <v>6.1722299999999997E-5</v>
      </c>
      <c r="E1608" s="8">
        <v>7.8339899999999992E-6</v>
      </c>
      <c r="F1608" s="8">
        <v>9.3112300000000003E-6</v>
      </c>
      <c r="G1608" s="8">
        <v>4.4309500000000003E-6</v>
      </c>
      <c r="H1608" s="8">
        <v>4.3073299999999998E-6</v>
      </c>
      <c r="I1608" s="8">
        <v>4.3610100000000001E-6</v>
      </c>
      <c r="J1608" s="8">
        <v>4.1489939999999998E-6</v>
      </c>
      <c r="K1608" s="8">
        <v>3.9888029999999997E-6</v>
      </c>
      <c r="L1608" s="8">
        <v>3.8351989999999999E-6</v>
      </c>
      <c r="M1608" s="8">
        <v>3.6722129999999999E-6</v>
      </c>
      <c r="N1608" s="8">
        <v>3.527779E-6</v>
      </c>
      <c r="O1608">
        <v>0</v>
      </c>
      <c r="P1608">
        <v>0</v>
      </c>
      <c r="Q1608">
        <v>0</v>
      </c>
      <c r="R1608" t="s">
        <v>243</v>
      </c>
    </row>
    <row r="1609" spans="1:18" x14ac:dyDescent="0.3">
      <c r="A1609" t="s">
        <v>259</v>
      </c>
      <c r="B1609" t="s">
        <v>42</v>
      </c>
      <c r="C1609" t="s">
        <v>352</v>
      </c>
      <c r="D1609" s="8">
        <v>5.2855500000000002E-5</v>
      </c>
      <c r="E1609" s="8">
        <v>6.5835900000000001E-6</v>
      </c>
      <c r="F1609" s="8">
        <v>7.9718799999999993E-6</v>
      </c>
      <c r="G1609" s="8">
        <v>3.7696899999999998E-6</v>
      </c>
      <c r="H1609" s="8">
        <v>3.6561699999999998E-6</v>
      </c>
      <c r="I1609" s="8">
        <v>3.7023499999999998E-6</v>
      </c>
      <c r="J1609" s="8">
        <v>3.5200059999999999E-6</v>
      </c>
      <c r="K1609" s="8">
        <v>3.37983699999999E-6</v>
      </c>
      <c r="L1609" s="8">
        <v>3.247299E-6</v>
      </c>
      <c r="M1609" s="8">
        <v>3.1074439999999899E-6</v>
      </c>
      <c r="N1609" s="8">
        <v>2.9840230000000001E-6</v>
      </c>
      <c r="O1609">
        <v>0</v>
      </c>
      <c r="P1609">
        <v>0</v>
      </c>
      <c r="Q1609">
        <v>0</v>
      </c>
      <c r="R1609" t="s">
        <v>243</v>
      </c>
    </row>
    <row r="1610" spans="1:18" x14ac:dyDescent="0.3">
      <c r="A1610" t="s">
        <v>259</v>
      </c>
      <c r="B1610" t="s">
        <v>42</v>
      </c>
      <c r="C1610" t="s">
        <v>353</v>
      </c>
      <c r="D1610" s="8">
        <v>4.1300900000000003E-5</v>
      </c>
      <c r="E1610" s="8">
        <v>5.3306600000000002E-6</v>
      </c>
      <c r="F1610" s="8">
        <v>6.3854099999999997E-6</v>
      </c>
      <c r="G1610" s="8">
        <v>3.0794600000000001E-6</v>
      </c>
      <c r="H1610" s="8">
        <v>2.99929E-6</v>
      </c>
      <c r="I1610" s="8">
        <v>3.028971E-6</v>
      </c>
      <c r="J1610" s="8">
        <v>2.8751459999999998E-6</v>
      </c>
      <c r="K1610" s="8">
        <v>2.7589019999999899E-6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243</v>
      </c>
    </row>
    <row r="1611" spans="1:18" x14ac:dyDescent="0.3">
      <c r="A1611" t="s">
        <v>259</v>
      </c>
      <c r="B1611" t="s">
        <v>42</v>
      </c>
      <c r="C1611" t="s">
        <v>294</v>
      </c>
      <c r="D1611" s="8">
        <v>6.6300400000000002E-4</v>
      </c>
      <c r="E1611" s="8">
        <v>4.7062729999999999E-4</v>
      </c>
      <c r="F1611" s="8">
        <v>4.7375130000000001E-4</v>
      </c>
      <c r="G1611" s="8">
        <v>3.9910580000000002E-4</v>
      </c>
      <c r="H1611" s="8">
        <v>4.0989936700000002E-4</v>
      </c>
      <c r="I1611" s="8">
        <v>4.4815501900000003E-4</v>
      </c>
      <c r="J1611" s="8">
        <v>4.4319248529999899E-4</v>
      </c>
      <c r="K1611" s="8">
        <v>4.2241544660000002E-4</v>
      </c>
      <c r="L1611" s="8">
        <v>3.9938903329999898E-4</v>
      </c>
      <c r="M1611" s="8">
        <v>3.74545630999999E-4</v>
      </c>
      <c r="N1611" s="8">
        <v>3.5214095200000002E-4</v>
      </c>
      <c r="O1611">
        <v>0</v>
      </c>
      <c r="P1611">
        <v>0</v>
      </c>
      <c r="Q1611">
        <v>0</v>
      </c>
      <c r="R1611" t="s">
        <v>243</v>
      </c>
    </row>
    <row r="1612" spans="1:18" x14ac:dyDescent="0.3">
      <c r="A1612" t="s">
        <v>259</v>
      </c>
      <c r="B1612" t="s">
        <v>42</v>
      </c>
      <c r="C1612" t="s">
        <v>295</v>
      </c>
      <c r="D1612">
        <v>1.3323782E-3</v>
      </c>
      <c r="E1612">
        <v>1.2426220999999999E-3</v>
      </c>
      <c r="F1612">
        <v>1.2071492999999999E-3</v>
      </c>
      <c r="G1612" s="8">
        <v>9.5926609999999999E-4</v>
      </c>
      <c r="H1612" s="8">
        <v>9.2505527099999896E-4</v>
      </c>
      <c r="I1612" s="8">
        <v>9.3584857299999899E-4</v>
      </c>
      <c r="J1612" s="8">
        <v>8.8138708099999997E-4</v>
      </c>
      <c r="K1612" s="8">
        <v>8.1933917250000005E-4</v>
      </c>
      <c r="L1612" s="8">
        <v>7.6685459899999899E-4</v>
      </c>
      <c r="M1612" s="8">
        <v>7.1424227000000003E-4</v>
      </c>
      <c r="N1612" s="8">
        <v>6.6761019999999997E-4</v>
      </c>
      <c r="O1612">
        <v>0</v>
      </c>
      <c r="P1612">
        <v>0</v>
      </c>
      <c r="Q1612">
        <v>0</v>
      </c>
      <c r="R1612" t="s">
        <v>243</v>
      </c>
    </row>
    <row r="1613" spans="1:18" x14ac:dyDescent="0.3">
      <c r="A1613" t="s">
        <v>259</v>
      </c>
      <c r="B1613" t="s">
        <v>42</v>
      </c>
      <c r="C1613" t="s">
        <v>296</v>
      </c>
      <c r="D1613" s="8">
        <v>8.1222849999999997E-4</v>
      </c>
      <c r="E1613" s="8">
        <v>6.6136119999999905E-4</v>
      </c>
      <c r="F1613" s="8">
        <v>6.7146839999999996E-4</v>
      </c>
      <c r="G1613" s="8">
        <v>5.5095480000000004E-4</v>
      </c>
      <c r="H1613" s="8">
        <v>5.4048612200000002E-4</v>
      </c>
      <c r="I1613" s="8">
        <v>5.6520453099999997E-4</v>
      </c>
      <c r="J1613" s="8">
        <v>5.4385544099999996E-4</v>
      </c>
      <c r="K1613" s="8">
        <v>5.119823197E-4</v>
      </c>
      <c r="L1613" s="8">
        <v>4.8207298680000001E-4</v>
      </c>
      <c r="M1613" s="8">
        <v>4.5083868E-4</v>
      </c>
      <c r="N1613" s="8">
        <v>4.2299377999999898E-4</v>
      </c>
      <c r="O1613">
        <v>0</v>
      </c>
      <c r="P1613">
        <v>0</v>
      </c>
      <c r="Q1613">
        <v>0</v>
      </c>
      <c r="R1613" t="s">
        <v>243</v>
      </c>
    </row>
    <row r="1614" spans="1:18" x14ac:dyDescent="0.3">
      <c r="A1614" t="s">
        <v>259</v>
      </c>
      <c r="B1614" t="s">
        <v>42</v>
      </c>
      <c r="C1614" t="s">
        <v>297</v>
      </c>
      <c r="D1614" s="8">
        <v>8.9766819999999997E-4</v>
      </c>
      <c r="E1614" s="8">
        <v>7.6100919999999995E-4</v>
      </c>
      <c r="F1614" s="8">
        <v>7.6347310000000001E-4</v>
      </c>
      <c r="G1614" s="8">
        <v>6.2181489999999905E-4</v>
      </c>
      <c r="H1614" s="8">
        <v>6.0145078100000003E-4</v>
      </c>
      <c r="I1614" s="8">
        <v>6.2128493299999903E-4</v>
      </c>
      <c r="J1614" s="8">
        <v>5.92238605E-4</v>
      </c>
      <c r="K1614" s="8">
        <v>5.5513692140000005E-4</v>
      </c>
      <c r="L1614" s="8">
        <v>5.2174238500000004E-4</v>
      </c>
      <c r="M1614" s="8">
        <v>4.8704176000000001E-4</v>
      </c>
      <c r="N1614" s="8">
        <v>4.5614852000000001E-4</v>
      </c>
      <c r="O1614">
        <v>0</v>
      </c>
      <c r="P1614">
        <v>0</v>
      </c>
      <c r="Q1614">
        <v>0</v>
      </c>
      <c r="R1614" t="s">
        <v>243</v>
      </c>
    </row>
    <row r="1615" spans="1:18" x14ac:dyDescent="0.3">
      <c r="A1615" t="s">
        <v>259</v>
      </c>
      <c r="B1615" t="s">
        <v>42</v>
      </c>
      <c r="C1615" t="s">
        <v>298</v>
      </c>
      <c r="D1615" s="8">
        <v>9.4869879999999896E-4</v>
      </c>
      <c r="E1615" s="8">
        <v>8.279079E-4</v>
      </c>
      <c r="F1615" s="8">
        <v>8.2733539999999895E-4</v>
      </c>
      <c r="G1615" s="8">
        <v>6.6898200000000004E-4</v>
      </c>
      <c r="H1615" s="8">
        <v>6.4236921499999996E-4</v>
      </c>
      <c r="I1615" s="8">
        <v>6.5793552499999997E-4</v>
      </c>
      <c r="J1615" s="8">
        <v>6.2523066599999902E-4</v>
      </c>
      <c r="K1615" s="8">
        <v>5.8513639879999996E-4</v>
      </c>
      <c r="L1615" s="8">
        <v>5.4969632400000002E-4</v>
      </c>
      <c r="M1615" s="8">
        <v>5.1340068999999996E-4</v>
      </c>
      <c r="N1615" s="8">
        <v>4.8113395999999998E-4</v>
      </c>
      <c r="O1615">
        <v>0</v>
      </c>
      <c r="P1615">
        <v>0</v>
      </c>
      <c r="Q1615">
        <v>0</v>
      </c>
      <c r="R1615" t="s">
        <v>243</v>
      </c>
    </row>
    <row r="1616" spans="1:18" x14ac:dyDescent="0.3">
      <c r="A1616" t="s">
        <v>259</v>
      </c>
      <c r="B1616" t="s">
        <v>42</v>
      </c>
      <c r="C1616" t="s">
        <v>299</v>
      </c>
      <c r="D1616" s="8">
        <v>9.943796999999999E-4</v>
      </c>
      <c r="E1616" s="8">
        <v>8.8460640000000005E-4</v>
      </c>
      <c r="F1616" s="8">
        <v>8.7714589999999995E-4</v>
      </c>
      <c r="G1616" s="8">
        <v>7.0786969999999999E-4</v>
      </c>
      <c r="H1616" s="8">
        <v>6.7538244300000005E-4</v>
      </c>
      <c r="I1616" s="8">
        <v>6.8985466799999999E-4</v>
      </c>
      <c r="J1616" s="8">
        <v>6.5444108899999896E-4</v>
      </c>
      <c r="K1616" s="8">
        <v>6.1181983650000001E-4</v>
      </c>
      <c r="L1616" s="8">
        <v>5.7447413399999898E-4</v>
      </c>
      <c r="M1616" s="8">
        <v>5.3596279999999904E-4</v>
      </c>
      <c r="N1616" s="8">
        <v>5.0201114999999996E-4</v>
      </c>
      <c r="O1616">
        <v>0</v>
      </c>
      <c r="P1616">
        <v>0</v>
      </c>
      <c r="Q1616">
        <v>0</v>
      </c>
      <c r="R1616" t="s">
        <v>243</v>
      </c>
    </row>
    <row r="1617" spans="1:18" x14ac:dyDescent="0.3">
      <c r="A1617" t="s">
        <v>259</v>
      </c>
      <c r="B1617" t="s">
        <v>42</v>
      </c>
      <c r="C1617" t="s">
        <v>300</v>
      </c>
      <c r="D1617">
        <v>1.0409518999999999E-3</v>
      </c>
      <c r="E1617" s="8">
        <v>9.3409509999999995E-4</v>
      </c>
      <c r="F1617" s="8">
        <v>9.1977520000000002E-4</v>
      </c>
      <c r="G1617" s="8">
        <v>7.4107389999999995E-4</v>
      </c>
      <c r="H1617" s="8">
        <v>7.0635288299999998E-4</v>
      </c>
      <c r="I1617" s="8">
        <v>7.1998293999999904E-4</v>
      </c>
      <c r="J1617" s="8">
        <v>6.81998803E-4</v>
      </c>
      <c r="K1617" s="8">
        <v>6.3650405639999999E-4</v>
      </c>
      <c r="L1617" s="8">
        <v>5.9696549799999896E-4</v>
      </c>
      <c r="M1617" s="8">
        <v>5.5682861000000004E-4</v>
      </c>
      <c r="N1617" s="8">
        <v>5.2134514999999896E-4</v>
      </c>
      <c r="O1617">
        <v>0</v>
      </c>
      <c r="P1617">
        <v>0</v>
      </c>
      <c r="Q1617">
        <v>0</v>
      </c>
      <c r="R1617" t="s">
        <v>243</v>
      </c>
    </row>
    <row r="1618" spans="1:18" x14ac:dyDescent="0.3">
      <c r="A1618" t="s">
        <v>259</v>
      </c>
      <c r="B1618" t="s">
        <v>42</v>
      </c>
      <c r="C1618" t="s">
        <v>301</v>
      </c>
      <c r="D1618">
        <v>1.0893217999999999E-3</v>
      </c>
      <c r="E1618" s="8">
        <v>9.8020770000000011E-4</v>
      </c>
      <c r="F1618" s="8">
        <v>9.6106480000000003E-4</v>
      </c>
      <c r="G1618" s="8">
        <v>7.7041699999999904E-4</v>
      </c>
      <c r="H1618" s="8">
        <v>7.3757765699999998E-4</v>
      </c>
      <c r="I1618" s="8">
        <v>7.4940402099999998E-4</v>
      </c>
      <c r="J1618" s="8">
        <v>7.0875750000000003E-4</v>
      </c>
      <c r="K1618" s="8">
        <v>6.6163890900000004E-4</v>
      </c>
      <c r="L1618" s="8">
        <v>6.20859459999999E-4</v>
      </c>
      <c r="M1618" s="8">
        <v>5.7918317000000001E-4</v>
      </c>
      <c r="N1618" s="8">
        <v>5.4222437000000004E-4</v>
      </c>
      <c r="O1618">
        <v>0</v>
      </c>
      <c r="P1618">
        <v>0</v>
      </c>
      <c r="Q1618">
        <v>0</v>
      </c>
      <c r="R1618" t="s">
        <v>243</v>
      </c>
    </row>
    <row r="1619" spans="1:18" x14ac:dyDescent="0.3">
      <c r="A1619" t="s">
        <v>259</v>
      </c>
      <c r="B1619" t="s">
        <v>42</v>
      </c>
      <c r="C1619" t="s">
        <v>302</v>
      </c>
      <c r="D1619">
        <v>1.1388648999999999E-3</v>
      </c>
      <c r="E1619">
        <v>1.0301762999999999E-3</v>
      </c>
      <c r="F1619">
        <v>1.0056021E-3</v>
      </c>
      <c r="G1619" s="8">
        <v>8.0718689999999997E-4</v>
      </c>
      <c r="H1619" s="8">
        <v>7.7106298299999996E-4</v>
      </c>
      <c r="I1619" s="8">
        <v>7.83377441E-4</v>
      </c>
      <c r="J1619" s="8">
        <v>7.4036671199999998E-4</v>
      </c>
      <c r="K1619" s="8">
        <v>6.9025422739999896E-4</v>
      </c>
      <c r="L1619" s="8">
        <v>6.4724624699999996E-4</v>
      </c>
      <c r="M1619" s="8">
        <v>6.0343533999999998E-4</v>
      </c>
      <c r="N1619" s="8">
        <v>5.6468970999999895E-4</v>
      </c>
      <c r="O1619">
        <v>0</v>
      </c>
      <c r="P1619">
        <v>0</v>
      </c>
      <c r="Q1619">
        <v>0</v>
      </c>
      <c r="R1619" t="s">
        <v>243</v>
      </c>
    </row>
    <row r="1620" spans="1:18" x14ac:dyDescent="0.3">
      <c r="A1620" t="s">
        <v>259</v>
      </c>
      <c r="B1620" t="s">
        <v>42</v>
      </c>
      <c r="C1620" t="s">
        <v>303</v>
      </c>
      <c r="D1620">
        <v>1.2159578E-3</v>
      </c>
      <c r="E1620">
        <v>1.0896662000000001E-3</v>
      </c>
      <c r="F1620">
        <v>1.0677199999999899E-3</v>
      </c>
      <c r="G1620" s="8">
        <v>8.5213499999999996E-4</v>
      </c>
      <c r="H1620" s="8">
        <v>8.1731857300000002E-4</v>
      </c>
      <c r="I1620" s="8">
        <v>8.2809972300000004E-4</v>
      </c>
      <c r="J1620" s="8">
        <v>7.8141263799999896E-4</v>
      </c>
      <c r="K1620" s="8">
        <v>7.2808081359999996E-4</v>
      </c>
      <c r="L1620" s="8">
        <v>6.8219876400000005E-4</v>
      </c>
      <c r="M1620" s="8">
        <v>6.3557555999999905E-4</v>
      </c>
      <c r="N1620" s="8">
        <v>5.9427707999999896E-4</v>
      </c>
      <c r="O1620">
        <v>0</v>
      </c>
      <c r="P1620">
        <v>0</v>
      </c>
      <c r="Q1620">
        <v>0</v>
      </c>
      <c r="R1620" t="s">
        <v>243</v>
      </c>
    </row>
    <row r="1621" spans="1:18" x14ac:dyDescent="0.3">
      <c r="A1621" t="s">
        <v>259</v>
      </c>
      <c r="B1621" t="s">
        <v>42</v>
      </c>
      <c r="C1621" t="s">
        <v>304</v>
      </c>
      <c r="D1621" s="8">
        <v>1.12112E-4</v>
      </c>
      <c r="E1621" s="8">
        <v>9.6643000000000003E-5</v>
      </c>
      <c r="F1621" s="8">
        <v>1.34859E-4</v>
      </c>
      <c r="G1621" s="8">
        <v>1.3698900000000001E-4</v>
      </c>
      <c r="H1621" s="8">
        <v>1.7370619999999999E-4</v>
      </c>
      <c r="I1621" s="8">
        <v>1.9862180000000001E-4</v>
      </c>
      <c r="J1621" s="8">
        <v>2.0291739999999899E-4</v>
      </c>
      <c r="K1621" s="8">
        <v>2.11041E-4</v>
      </c>
      <c r="L1621" s="8">
        <v>2.127114E-4</v>
      </c>
      <c r="M1621" s="8">
        <v>2.104175E-4</v>
      </c>
      <c r="N1621" s="8">
        <v>2.067433E-4</v>
      </c>
      <c r="O1621">
        <v>0</v>
      </c>
      <c r="P1621">
        <v>0</v>
      </c>
      <c r="Q1621">
        <v>0</v>
      </c>
      <c r="R1621" t="s">
        <v>243</v>
      </c>
    </row>
    <row r="1622" spans="1:18" x14ac:dyDescent="0.3">
      <c r="A1622" t="s">
        <v>259</v>
      </c>
      <c r="B1622" t="s">
        <v>42</v>
      </c>
      <c r="C1622" t="s">
        <v>305</v>
      </c>
      <c r="D1622" s="8">
        <v>3.9011599999999998E-4</v>
      </c>
      <c r="E1622" s="8">
        <v>5.49991E-4</v>
      </c>
      <c r="F1622" s="8">
        <v>6.3861099999999997E-4</v>
      </c>
      <c r="G1622" s="8">
        <v>5.4427499999999999E-4</v>
      </c>
      <c r="H1622" s="8">
        <v>5.3269299999999999E-4</v>
      </c>
      <c r="I1622" s="8">
        <v>5.3611100000000003E-4</v>
      </c>
      <c r="J1622" s="8">
        <v>5.0681969999999995E-4</v>
      </c>
      <c r="K1622" s="8">
        <v>4.8515039999999998E-4</v>
      </c>
      <c r="L1622" s="8">
        <v>4.6529399999999999E-4</v>
      </c>
      <c r="M1622" s="8">
        <v>4.4479589999999998E-4</v>
      </c>
      <c r="N1622" s="8">
        <v>4.2663819999999998E-4</v>
      </c>
      <c r="O1622">
        <v>0</v>
      </c>
      <c r="P1622">
        <v>0</v>
      </c>
      <c r="Q1622">
        <v>0</v>
      </c>
      <c r="R1622" t="s">
        <v>243</v>
      </c>
    </row>
    <row r="1623" spans="1:18" x14ac:dyDescent="0.3">
      <c r="A1623" t="s">
        <v>259</v>
      </c>
      <c r="B1623" t="s">
        <v>42</v>
      </c>
      <c r="C1623" t="s">
        <v>306</v>
      </c>
      <c r="D1623" s="8">
        <v>1.70991E-4</v>
      </c>
      <c r="E1623" s="8">
        <v>1.69643E-4</v>
      </c>
      <c r="F1623" s="8">
        <v>2.3409799999999999E-4</v>
      </c>
      <c r="G1623" s="8">
        <v>2.2927700000000001E-4</v>
      </c>
      <c r="H1623" s="8">
        <v>2.6054099999999998E-4</v>
      </c>
      <c r="I1623" s="8">
        <v>2.8426029999999999E-4</v>
      </c>
      <c r="J1623" s="8">
        <v>2.8302900000000002E-4</v>
      </c>
      <c r="K1623" s="8">
        <v>2.848452E-4</v>
      </c>
      <c r="L1623" s="8">
        <v>2.8076730000000001E-4</v>
      </c>
      <c r="M1623" s="8">
        <v>2.7324329999999999E-4</v>
      </c>
      <c r="N1623" s="8">
        <v>2.6515019999999998E-4</v>
      </c>
      <c r="O1623">
        <v>0</v>
      </c>
      <c r="P1623">
        <v>0</v>
      </c>
      <c r="Q1623">
        <v>0</v>
      </c>
      <c r="R1623" t="s">
        <v>243</v>
      </c>
    </row>
    <row r="1624" spans="1:18" x14ac:dyDescent="0.3">
      <c r="A1624" t="s">
        <v>259</v>
      </c>
      <c r="B1624" t="s">
        <v>42</v>
      </c>
      <c r="C1624" t="s">
        <v>307</v>
      </c>
      <c r="D1624" s="8">
        <v>2.1114500000000001E-4</v>
      </c>
      <c r="E1624" s="8">
        <v>2.2317600000000001E-4</v>
      </c>
      <c r="F1624" s="8">
        <v>2.9607E-4</v>
      </c>
      <c r="G1624" s="8">
        <v>2.8471699999999998E-4</v>
      </c>
      <c r="H1624" s="8">
        <v>3.07986E-4</v>
      </c>
      <c r="I1624" s="8">
        <v>3.2955970000000002E-4</v>
      </c>
      <c r="J1624" s="8">
        <v>3.2280619999999999E-4</v>
      </c>
      <c r="K1624" s="8">
        <v>3.1917790000000001E-4</v>
      </c>
      <c r="L1624" s="8">
        <v>3.1111840000000001E-4</v>
      </c>
      <c r="M1624" s="8">
        <v>3.0025160000000001E-4</v>
      </c>
      <c r="N1624" s="8">
        <v>2.8956559999999899E-4</v>
      </c>
      <c r="O1624">
        <v>0</v>
      </c>
      <c r="P1624">
        <v>0</v>
      </c>
      <c r="Q1624">
        <v>0</v>
      </c>
      <c r="R1624" t="s">
        <v>243</v>
      </c>
    </row>
    <row r="1625" spans="1:18" x14ac:dyDescent="0.3">
      <c r="A1625" t="s">
        <v>259</v>
      </c>
      <c r="B1625" t="s">
        <v>42</v>
      </c>
      <c r="C1625" t="s">
        <v>308</v>
      </c>
      <c r="D1625" s="8">
        <v>2.3597900000000001E-4</v>
      </c>
      <c r="E1625" s="8">
        <v>2.6658500000000001E-4</v>
      </c>
      <c r="F1625" s="8">
        <v>3.4589000000000001E-4</v>
      </c>
      <c r="G1625" s="8">
        <v>3.2533099999999999E-4</v>
      </c>
      <c r="H1625" s="8">
        <v>3.41152E-4</v>
      </c>
      <c r="I1625" s="8">
        <v>3.5878279999999998E-4</v>
      </c>
      <c r="J1625" s="8">
        <v>3.4844819999999899E-4</v>
      </c>
      <c r="K1625" s="8">
        <v>3.412334E-4</v>
      </c>
      <c r="L1625" s="8">
        <v>3.308187E-4</v>
      </c>
      <c r="M1625" s="8">
        <v>3.1843460000000002E-4</v>
      </c>
      <c r="N1625" s="8">
        <v>3.06729E-4</v>
      </c>
      <c r="O1625">
        <v>0</v>
      </c>
      <c r="P1625">
        <v>0</v>
      </c>
      <c r="Q1625">
        <v>0</v>
      </c>
      <c r="R1625" t="s">
        <v>243</v>
      </c>
    </row>
    <row r="1626" spans="1:18" x14ac:dyDescent="0.3">
      <c r="A1626" t="s">
        <v>259</v>
      </c>
      <c r="B1626" t="s">
        <v>42</v>
      </c>
      <c r="C1626" t="s">
        <v>309</v>
      </c>
      <c r="D1626" s="8">
        <v>2.58049E-4</v>
      </c>
      <c r="E1626" s="8">
        <v>3.0760100000000001E-4</v>
      </c>
      <c r="F1626" s="8">
        <v>3.87883E-4</v>
      </c>
      <c r="G1626" s="8">
        <v>3.5976999999999998E-4</v>
      </c>
      <c r="H1626" s="8">
        <v>3.6773900000000001E-4</v>
      </c>
      <c r="I1626" s="8">
        <v>3.8309450000000001E-4</v>
      </c>
      <c r="J1626" s="8">
        <v>3.6966050000000002E-4</v>
      </c>
      <c r="K1626" s="8">
        <v>3.5952979999999998E-4</v>
      </c>
      <c r="L1626" s="8">
        <v>3.4726409999999999E-4</v>
      </c>
      <c r="M1626" s="8">
        <v>3.3325560000000001E-4</v>
      </c>
      <c r="N1626" s="8">
        <v>3.2053330000000001E-4</v>
      </c>
      <c r="O1626">
        <v>0</v>
      </c>
      <c r="P1626">
        <v>0</v>
      </c>
      <c r="Q1626">
        <v>0</v>
      </c>
      <c r="R1626" t="s">
        <v>243</v>
      </c>
    </row>
    <row r="1627" spans="1:18" x14ac:dyDescent="0.3">
      <c r="A1627" t="s">
        <v>259</v>
      </c>
      <c r="B1627" t="s">
        <v>42</v>
      </c>
      <c r="C1627" t="s">
        <v>310</v>
      </c>
      <c r="D1627" s="8">
        <v>2.7991300000000002E-4</v>
      </c>
      <c r="E1627" s="8">
        <v>3.4540699999999999E-4</v>
      </c>
      <c r="F1627" s="8">
        <v>4.2497999999999999E-4</v>
      </c>
      <c r="G1627" s="8">
        <v>3.88861E-4</v>
      </c>
      <c r="H1627" s="8">
        <v>3.91925E-4</v>
      </c>
      <c r="I1627" s="8">
        <v>4.0478999999999998E-4</v>
      </c>
      <c r="J1627" s="8">
        <v>3.8841659999999998E-4</v>
      </c>
      <c r="K1627" s="8">
        <v>3.7553370000000002E-4</v>
      </c>
      <c r="L1627" s="8">
        <v>3.6160279999999999E-4</v>
      </c>
      <c r="M1627" s="8">
        <v>3.465907E-4</v>
      </c>
      <c r="N1627" s="8">
        <v>3.3307639999999999E-4</v>
      </c>
      <c r="O1627">
        <v>0</v>
      </c>
      <c r="P1627">
        <v>0</v>
      </c>
      <c r="Q1627">
        <v>0</v>
      </c>
      <c r="R1627" t="s">
        <v>243</v>
      </c>
    </row>
    <row r="1628" spans="1:18" x14ac:dyDescent="0.3">
      <c r="A1628" t="s">
        <v>259</v>
      </c>
      <c r="B1628" t="s">
        <v>42</v>
      </c>
      <c r="C1628" t="s">
        <v>311</v>
      </c>
      <c r="D1628" s="8">
        <v>3.01551E-4</v>
      </c>
      <c r="E1628" s="8">
        <v>3.8102900000000001E-4</v>
      </c>
      <c r="F1628" s="8">
        <v>4.6086800000000002E-4</v>
      </c>
      <c r="G1628" s="8">
        <v>4.1371399999999998E-4</v>
      </c>
      <c r="H1628" s="8">
        <v>4.1516200000000001E-4</v>
      </c>
      <c r="I1628" s="8">
        <v>4.2478299999999997E-4</v>
      </c>
      <c r="J1628" s="8">
        <v>4.05635E-4</v>
      </c>
      <c r="K1628" s="8">
        <v>3.911982E-4</v>
      </c>
      <c r="L1628" s="8">
        <v>3.7648309999999997E-4</v>
      </c>
      <c r="M1628" s="8">
        <v>3.6066270000000001E-4</v>
      </c>
      <c r="N1628" s="8">
        <v>3.4648730000000003E-4</v>
      </c>
      <c r="O1628">
        <v>0</v>
      </c>
      <c r="P1628">
        <v>0</v>
      </c>
      <c r="Q1628">
        <v>0</v>
      </c>
      <c r="R1628" t="s">
        <v>243</v>
      </c>
    </row>
    <row r="1629" spans="1:18" x14ac:dyDescent="0.3">
      <c r="A1629" t="s">
        <v>259</v>
      </c>
      <c r="B1629" t="s">
        <v>42</v>
      </c>
      <c r="C1629" t="s">
        <v>312</v>
      </c>
      <c r="D1629" s="8">
        <v>3.2230399999999998E-4</v>
      </c>
      <c r="E1629" s="8">
        <v>4.1867400000000001E-4</v>
      </c>
      <c r="F1629" s="8">
        <v>4.9840400000000003E-4</v>
      </c>
      <c r="G1629" s="8">
        <v>4.43149E-4</v>
      </c>
      <c r="H1629" s="8">
        <v>4.38522E-4</v>
      </c>
      <c r="I1629" s="8">
        <v>4.46499E-4</v>
      </c>
      <c r="J1629" s="8">
        <v>4.2496279999999998E-4</v>
      </c>
      <c r="K1629" s="8">
        <v>4.0854360000000002E-4</v>
      </c>
      <c r="L1629" s="8">
        <v>3.9264059999999899E-4</v>
      </c>
      <c r="M1629" s="8">
        <v>3.7580550000000001E-4</v>
      </c>
      <c r="N1629" s="8">
        <v>3.608687E-4</v>
      </c>
      <c r="O1629">
        <v>0</v>
      </c>
      <c r="P1629">
        <v>0</v>
      </c>
      <c r="Q1629">
        <v>0</v>
      </c>
      <c r="R1629" t="s">
        <v>243</v>
      </c>
    </row>
    <row r="1630" spans="1:18" x14ac:dyDescent="0.3">
      <c r="A1630" t="s">
        <v>259</v>
      </c>
      <c r="B1630" t="s">
        <v>42</v>
      </c>
      <c r="C1630" t="s">
        <v>313</v>
      </c>
      <c r="D1630" s="8">
        <v>3.5158900000000002E-4</v>
      </c>
      <c r="E1630" s="8">
        <v>4.6064100000000002E-4</v>
      </c>
      <c r="F1630" s="8">
        <v>5.4710399999999997E-4</v>
      </c>
      <c r="G1630" s="8">
        <v>4.7618699999999999E-4</v>
      </c>
      <c r="H1630" s="8">
        <v>4.6854399999999999E-4</v>
      </c>
      <c r="I1630" s="8">
        <v>4.7362700000000001E-4</v>
      </c>
      <c r="J1630" s="8">
        <v>4.4916850000000001E-4</v>
      </c>
      <c r="K1630" s="8">
        <v>4.3110510000000002E-4</v>
      </c>
      <c r="L1630" s="8">
        <v>4.13912E-4</v>
      </c>
      <c r="M1630" s="8">
        <v>3.9581659999999999E-4</v>
      </c>
      <c r="N1630" s="8">
        <v>3.7977440000000001E-4</v>
      </c>
      <c r="O1630">
        <v>0</v>
      </c>
      <c r="P1630">
        <v>0</v>
      </c>
      <c r="Q1630">
        <v>0</v>
      </c>
      <c r="R1630" t="s">
        <v>243</v>
      </c>
    </row>
    <row r="1631" spans="1:18" x14ac:dyDescent="0.3">
      <c r="A1631" t="s">
        <v>259</v>
      </c>
      <c r="B1631" t="s">
        <v>42</v>
      </c>
      <c r="C1631" t="s">
        <v>314</v>
      </c>
      <c r="D1631" s="8">
        <v>5.7084199999999998E-5</v>
      </c>
      <c r="E1631" s="8">
        <v>4.1601750000000002E-5</v>
      </c>
      <c r="F1631" s="8">
        <v>5.7697849999999998E-5</v>
      </c>
      <c r="G1631" s="8">
        <v>5.7458389999999998E-5</v>
      </c>
      <c r="H1631" s="8">
        <v>6.2214630000000001E-5</v>
      </c>
      <c r="I1631" s="8">
        <v>6.5658630000000004E-5</v>
      </c>
      <c r="J1631" s="8">
        <v>6.4489319999999994E-5</v>
      </c>
      <c r="K1631" s="8">
        <v>6.2876519999999995E-5</v>
      </c>
      <c r="L1631" s="8">
        <v>6.0527155000000002E-5</v>
      </c>
      <c r="M1631" s="8">
        <v>5.7850489999999997E-5</v>
      </c>
      <c r="N1631" s="8">
        <v>5.5162389999999998E-5</v>
      </c>
      <c r="O1631">
        <v>0</v>
      </c>
      <c r="P1631">
        <v>0</v>
      </c>
      <c r="Q1631">
        <v>0</v>
      </c>
      <c r="R1631" t="s">
        <v>243</v>
      </c>
    </row>
    <row r="1632" spans="1:18" x14ac:dyDescent="0.3">
      <c r="A1632" t="s">
        <v>259</v>
      </c>
      <c r="B1632" t="s">
        <v>42</v>
      </c>
      <c r="C1632" t="s">
        <v>315</v>
      </c>
      <c r="D1632" s="8">
        <v>1.300994E-4</v>
      </c>
      <c r="E1632" s="8">
        <v>1.3965479999999999E-4</v>
      </c>
      <c r="F1632" s="8">
        <v>1.6810799999999901E-4</v>
      </c>
      <c r="G1632" s="8">
        <v>1.487277E-4</v>
      </c>
      <c r="H1632" s="8">
        <v>1.3860294E-4</v>
      </c>
      <c r="I1632" s="8">
        <v>1.3675168E-4</v>
      </c>
      <c r="J1632" s="8">
        <v>1.2959094999999901E-4</v>
      </c>
      <c r="K1632" s="8">
        <v>1.2214543000000001E-4</v>
      </c>
      <c r="L1632" s="8">
        <v>1.1568361E-4</v>
      </c>
      <c r="M1632" s="8">
        <v>1.0966223E-4</v>
      </c>
      <c r="N1632" s="8">
        <v>1.04011199999999E-4</v>
      </c>
      <c r="O1632">
        <v>0</v>
      </c>
      <c r="P1632">
        <v>0</v>
      </c>
      <c r="Q1632">
        <v>0</v>
      </c>
      <c r="R1632" t="s">
        <v>243</v>
      </c>
    </row>
    <row r="1633" spans="1:18" x14ac:dyDescent="0.3">
      <c r="A1633" t="s">
        <v>259</v>
      </c>
      <c r="B1633" t="s">
        <v>42</v>
      </c>
      <c r="C1633" t="s">
        <v>316</v>
      </c>
      <c r="D1633" s="8">
        <v>7.5604499999999998E-5</v>
      </c>
      <c r="E1633" s="8">
        <v>6.4662729999999995E-5</v>
      </c>
      <c r="F1633" s="8">
        <v>8.7136129999999996E-5</v>
      </c>
      <c r="G1633" s="8">
        <v>8.2652369999999898E-5</v>
      </c>
      <c r="H1633" s="8">
        <v>8.1360849999999999E-5</v>
      </c>
      <c r="I1633" s="8">
        <v>8.2659899999999896E-5</v>
      </c>
      <c r="J1633" s="8">
        <v>7.9796799999999995E-5</v>
      </c>
      <c r="K1633" s="8">
        <v>7.6292839999999998E-5</v>
      </c>
      <c r="L1633" s="8">
        <v>7.2774170000000003E-5</v>
      </c>
      <c r="M1633" s="8">
        <v>6.9273073999999907E-5</v>
      </c>
      <c r="N1633" s="8">
        <v>6.5926625999999998E-5</v>
      </c>
      <c r="O1633">
        <v>0</v>
      </c>
      <c r="P1633">
        <v>0</v>
      </c>
      <c r="Q1633">
        <v>0</v>
      </c>
      <c r="R1633" t="s">
        <v>243</v>
      </c>
    </row>
    <row r="1634" spans="1:18" x14ac:dyDescent="0.3">
      <c r="A1634" t="s">
        <v>259</v>
      </c>
      <c r="B1634" t="s">
        <v>42</v>
      </c>
      <c r="C1634" t="s">
        <v>317</v>
      </c>
      <c r="D1634" s="8">
        <v>8.58564E-5</v>
      </c>
      <c r="E1634" s="8">
        <v>7.841868E-5</v>
      </c>
      <c r="F1634" s="8">
        <v>1.018751E-4</v>
      </c>
      <c r="G1634" s="8">
        <v>9.4770449999999898E-5</v>
      </c>
      <c r="H1634" s="8">
        <v>9.0295339999999999E-5</v>
      </c>
      <c r="I1634" s="8">
        <v>9.0815839999999995E-5</v>
      </c>
      <c r="J1634" s="8">
        <v>8.7030500000000006E-5</v>
      </c>
      <c r="K1634" s="8">
        <v>8.2743479999999997E-5</v>
      </c>
      <c r="L1634" s="8">
        <v>7.8725289999999996E-5</v>
      </c>
      <c r="M1634" s="8">
        <v>7.4796806999999994E-5</v>
      </c>
      <c r="N1634" s="8">
        <v>7.1070039000000002E-5</v>
      </c>
      <c r="O1634">
        <v>0</v>
      </c>
      <c r="P1634">
        <v>0</v>
      </c>
      <c r="Q1634">
        <v>0</v>
      </c>
      <c r="R1634" t="s">
        <v>243</v>
      </c>
    </row>
    <row r="1635" spans="1:18" x14ac:dyDescent="0.3">
      <c r="A1635" t="s">
        <v>259</v>
      </c>
      <c r="B1635" t="s">
        <v>42</v>
      </c>
      <c r="C1635" t="s">
        <v>318</v>
      </c>
      <c r="D1635" s="8">
        <v>9.1615300000000004E-5</v>
      </c>
      <c r="E1635" s="8">
        <v>8.8041409999999994E-5</v>
      </c>
      <c r="F1635" s="8">
        <v>1.12237599999999E-4</v>
      </c>
      <c r="G1635" s="8">
        <v>1.027577E-4</v>
      </c>
      <c r="H1635" s="8">
        <v>9.6317609999999995E-5</v>
      </c>
      <c r="I1635" s="8">
        <v>9.6143629999999994E-5</v>
      </c>
      <c r="J1635" s="8">
        <v>9.19194E-5</v>
      </c>
      <c r="K1635" s="8">
        <v>8.7229770000000001E-5</v>
      </c>
      <c r="L1635" s="8">
        <v>8.2933829999999896E-5</v>
      </c>
      <c r="M1635" s="8">
        <v>7.8838310000000001E-5</v>
      </c>
      <c r="N1635" s="8">
        <v>7.4962973999999894E-5</v>
      </c>
      <c r="O1635">
        <v>0</v>
      </c>
      <c r="P1635">
        <v>0</v>
      </c>
      <c r="Q1635">
        <v>0</v>
      </c>
      <c r="R1635" t="s">
        <v>243</v>
      </c>
    </row>
    <row r="1636" spans="1:18" x14ac:dyDescent="0.3">
      <c r="A1636" t="s">
        <v>259</v>
      </c>
      <c r="B1636" t="s">
        <v>42</v>
      </c>
      <c r="C1636" t="s">
        <v>319</v>
      </c>
      <c r="D1636" s="8">
        <v>9.6538999999999897E-5</v>
      </c>
      <c r="E1636" s="8">
        <v>9.6144169999999896E-5</v>
      </c>
      <c r="F1636" s="8">
        <v>1.202194E-4</v>
      </c>
      <c r="G1636" s="8">
        <v>1.092116E-4</v>
      </c>
      <c r="H1636" s="8">
        <v>1.0119077E-4</v>
      </c>
      <c r="I1636" s="8">
        <v>1.0078716999999999E-4</v>
      </c>
      <c r="J1636" s="8">
        <v>9.6225779999999995E-5</v>
      </c>
      <c r="K1636" s="8">
        <v>9.1212530000000003E-5</v>
      </c>
      <c r="L1636" s="8">
        <v>8.6666660000000005E-5</v>
      </c>
      <c r="M1636" s="8">
        <v>8.2297830000000006E-5</v>
      </c>
      <c r="N1636" s="8">
        <v>7.8214941999999997E-5</v>
      </c>
      <c r="O1636">
        <v>0</v>
      </c>
      <c r="P1636">
        <v>0</v>
      </c>
      <c r="Q1636">
        <v>0</v>
      </c>
      <c r="R1636" t="s">
        <v>243</v>
      </c>
    </row>
    <row r="1637" spans="1:18" x14ac:dyDescent="0.3">
      <c r="A1637" t="s">
        <v>259</v>
      </c>
      <c r="B1637" t="s">
        <v>42</v>
      </c>
      <c r="C1637" t="s">
        <v>320</v>
      </c>
      <c r="D1637" s="8">
        <v>1.0137240000000001E-4</v>
      </c>
      <c r="E1637" s="8">
        <v>1.0296833E-4</v>
      </c>
      <c r="F1637" s="8">
        <v>1.268826E-4</v>
      </c>
      <c r="G1637" s="8">
        <v>1.146082E-4</v>
      </c>
      <c r="H1637" s="8">
        <v>1.0579852E-4</v>
      </c>
      <c r="I1637" s="8">
        <v>1.0518369000000001E-4</v>
      </c>
      <c r="J1637" s="8">
        <v>1.0028074999999999E-4</v>
      </c>
      <c r="K1637" s="8">
        <v>9.4891779999999997E-5</v>
      </c>
      <c r="L1637" s="8">
        <v>9.005494E-5</v>
      </c>
      <c r="M1637" s="8">
        <v>8.5500560000000003E-5</v>
      </c>
      <c r="N1637" s="8">
        <v>8.1227294000000004E-5</v>
      </c>
      <c r="O1637">
        <v>0</v>
      </c>
      <c r="P1637">
        <v>0</v>
      </c>
      <c r="Q1637">
        <v>0</v>
      </c>
      <c r="R1637" t="s">
        <v>243</v>
      </c>
    </row>
    <row r="1638" spans="1:18" x14ac:dyDescent="0.3">
      <c r="A1638" t="s">
        <v>259</v>
      </c>
      <c r="B1638" t="s">
        <v>42</v>
      </c>
      <c r="C1638" t="s">
        <v>321</v>
      </c>
      <c r="D1638" s="8">
        <v>1.062542E-4</v>
      </c>
      <c r="E1638" s="8">
        <v>1.0902222E-4</v>
      </c>
      <c r="F1638" s="8">
        <v>1.3315199999999999E-4</v>
      </c>
      <c r="G1638" s="8">
        <v>1.192975E-4</v>
      </c>
      <c r="H1638" s="8">
        <v>1.10484849999999E-4</v>
      </c>
      <c r="I1638" s="8">
        <v>1.09491089999999E-4</v>
      </c>
      <c r="J1638" s="8">
        <v>1.0421563999999999E-4</v>
      </c>
      <c r="K1638" s="8">
        <v>9.8644519999999995E-5</v>
      </c>
      <c r="L1638" s="8">
        <v>9.3665069999999997E-5</v>
      </c>
      <c r="M1638" s="8">
        <v>8.8931520000000002E-5</v>
      </c>
      <c r="N1638" s="8">
        <v>8.4479463999999896E-5</v>
      </c>
      <c r="O1638">
        <v>0</v>
      </c>
      <c r="P1638">
        <v>0</v>
      </c>
      <c r="Q1638">
        <v>0</v>
      </c>
      <c r="R1638" t="s">
        <v>243</v>
      </c>
    </row>
    <row r="1639" spans="1:18" x14ac:dyDescent="0.3">
      <c r="A1639" t="s">
        <v>259</v>
      </c>
      <c r="B1639" t="s">
        <v>42</v>
      </c>
      <c r="C1639" t="s">
        <v>322</v>
      </c>
      <c r="D1639" s="8">
        <v>1.111655E-4</v>
      </c>
      <c r="E1639" s="8">
        <v>1.1524362E-4</v>
      </c>
      <c r="F1639" s="8">
        <v>1.3971200000000001E-4</v>
      </c>
      <c r="G1639" s="8">
        <v>1.2509270000000001E-4</v>
      </c>
      <c r="H1639" s="8">
        <v>1.154817E-4</v>
      </c>
      <c r="I1639" s="8">
        <v>1.1444792999999999E-4</v>
      </c>
      <c r="J1639" s="8">
        <v>1.08861449999999E-4</v>
      </c>
      <c r="K1639" s="8">
        <v>1.0290722E-4</v>
      </c>
      <c r="L1639" s="8">
        <v>9.7641700000000004E-5</v>
      </c>
      <c r="M1639" s="8">
        <v>9.2654019999999999E-5</v>
      </c>
      <c r="N1639" s="8">
        <v>8.7979039999999995E-5</v>
      </c>
      <c r="O1639">
        <v>0</v>
      </c>
      <c r="P1639">
        <v>0</v>
      </c>
      <c r="Q1639">
        <v>0</v>
      </c>
      <c r="R1639" t="s">
        <v>243</v>
      </c>
    </row>
    <row r="1640" spans="1:18" x14ac:dyDescent="0.3">
      <c r="A1640" t="s">
        <v>259</v>
      </c>
      <c r="B1640" t="s">
        <v>42</v>
      </c>
      <c r="C1640" t="s">
        <v>323</v>
      </c>
      <c r="D1640" s="8">
        <v>1.18727E-4</v>
      </c>
      <c r="E1640" s="8">
        <v>1.222896E-4</v>
      </c>
      <c r="F1640" s="8">
        <v>1.4860209999999999E-4</v>
      </c>
      <c r="G1640" s="8">
        <v>1.3210389999999999E-4</v>
      </c>
      <c r="H1640" s="8">
        <v>1.2242969999999901E-4</v>
      </c>
      <c r="I1640" s="8">
        <v>1.2099083E-4</v>
      </c>
      <c r="J1640" s="8">
        <v>1.1489525999999999E-4</v>
      </c>
      <c r="K1640" s="8">
        <v>1.0854876E-4</v>
      </c>
      <c r="L1640" s="8">
        <v>1.0291408E-4</v>
      </c>
      <c r="M1640" s="8">
        <v>9.7584639999999997E-5</v>
      </c>
      <c r="N1640" s="8">
        <v>9.2586779999999998E-5</v>
      </c>
      <c r="O1640">
        <v>0</v>
      </c>
      <c r="P1640">
        <v>0</v>
      </c>
      <c r="Q1640">
        <v>0</v>
      </c>
      <c r="R1640" t="s">
        <v>243</v>
      </c>
    </row>
    <row r="1641" spans="1:18" x14ac:dyDescent="0.3">
      <c r="A1641" t="s">
        <v>259</v>
      </c>
      <c r="B1641" t="s">
        <v>108</v>
      </c>
      <c r="C1641" t="s">
        <v>261</v>
      </c>
      <c r="D1641" s="8">
        <v>3.219588E-5</v>
      </c>
      <c r="E1641" s="8">
        <v>1.7297419999999999E-5</v>
      </c>
      <c r="F1641" s="8">
        <v>1.93967199999999E-5</v>
      </c>
      <c r="G1641" s="8">
        <v>2.0666770000000001E-5</v>
      </c>
      <c r="H1641" s="8">
        <v>2.9288789999999901E-5</v>
      </c>
      <c r="I1641" s="8">
        <v>3.5253090000000002E-5</v>
      </c>
      <c r="J1641" s="8">
        <v>3.9589947E-5</v>
      </c>
      <c r="K1641" s="8">
        <v>4.5498626999999999E-5</v>
      </c>
      <c r="L1641" s="8">
        <v>4.8326384000000002E-5</v>
      </c>
      <c r="M1641" s="8">
        <v>4.9464596999999999E-5</v>
      </c>
      <c r="N1641" s="8">
        <v>4.9296789000000002E-5</v>
      </c>
      <c r="O1641">
        <v>0</v>
      </c>
      <c r="P1641">
        <v>0</v>
      </c>
      <c r="Q1641">
        <v>0</v>
      </c>
      <c r="R1641" t="s">
        <v>243</v>
      </c>
    </row>
    <row r="1642" spans="1:18" x14ac:dyDescent="0.3">
      <c r="A1642" t="s">
        <v>259</v>
      </c>
      <c r="B1642" t="s">
        <v>108</v>
      </c>
      <c r="C1642" t="s">
        <v>262</v>
      </c>
      <c r="D1642">
        <v>3.3411944006999997E-2</v>
      </c>
      <c r="E1642">
        <v>8.9980575279999999E-3</v>
      </c>
      <c r="F1642">
        <v>9.8157459989999998E-3</v>
      </c>
      <c r="G1642">
        <v>8.6337707799999993E-3</v>
      </c>
      <c r="H1642">
        <v>9.0971234280000004E-3</v>
      </c>
      <c r="I1642">
        <v>1.0261285596E-2</v>
      </c>
      <c r="J1642">
        <v>1.1266036155000001E-2</v>
      </c>
      <c r="K1642">
        <v>1.08501452487E-2</v>
      </c>
      <c r="L1642">
        <v>1.0212811690699999E-2</v>
      </c>
      <c r="M1642">
        <v>9.5395016461000005E-3</v>
      </c>
      <c r="N1642">
        <v>8.7507674449999896E-3</v>
      </c>
      <c r="O1642">
        <v>0</v>
      </c>
      <c r="P1642">
        <v>0</v>
      </c>
      <c r="Q1642">
        <v>0</v>
      </c>
      <c r="R1642" t="s">
        <v>243</v>
      </c>
    </row>
    <row r="1643" spans="1:18" x14ac:dyDescent="0.3">
      <c r="A1643" t="s">
        <v>259</v>
      </c>
      <c r="B1643" t="s">
        <v>108</v>
      </c>
      <c r="C1643" t="s">
        <v>263</v>
      </c>
      <c r="D1643">
        <v>3.6868989999999997E-2</v>
      </c>
      <c r="E1643">
        <v>1.2424852E-2</v>
      </c>
      <c r="F1643">
        <v>1.2918002E-2</v>
      </c>
      <c r="G1643">
        <v>1.32458059999999E-2</v>
      </c>
      <c r="H1643">
        <v>1.5050945099999999E-2</v>
      </c>
      <c r="I1643">
        <v>1.6376448746799999E-2</v>
      </c>
      <c r="J1643">
        <v>1.7250248436999901E-2</v>
      </c>
      <c r="K1643">
        <v>1.72339591699999E-2</v>
      </c>
      <c r="L1643">
        <v>1.682292048E-2</v>
      </c>
      <c r="M1643">
        <v>1.62506363999999E-2</v>
      </c>
      <c r="N1643">
        <v>1.5565708679999899E-2</v>
      </c>
      <c r="O1643">
        <v>0</v>
      </c>
      <c r="P1643">
        <v>0</v>
      </c>
      <c r="Q1643">
        <v>0</v>
      </c>
      <c r="R1643" t="s">
        <v>243</v>
      </c>
    </row>
    <row r="1644" spans="1:18" x14ac:dyDescent="0.3">
      <c r="A1644" t="s">
        <v>259</v>
      </c>
      <c r="B1644" t="s">
        <v>108</v>
      </c>
      <c r="C1644" t="s">
        <v>324</v>
      </c>
      <c r="D1644" s="8">
        <v>4.70663E-5</v>
      </c>
      <c r="E1644" s="8">
        <v>5.2142199999999997E-6</v>
      </c>
      <c r="F1644" s="8">
        <v>9.0270500000000002E-6</v>
      </c>
      <c r="G1644" s="8">
        <v>6.5209300000000001E-6</v>
      </c>
      <c r="H1644" s="8">
        <v>6.8674100000000004E-6</v>
      </c>
      <c r="I1644" s="8">
        <v>7.1360299999999902E-6</v>
      </c>
      <c r="J1644" s="8">
        <v>6.999997E-6</v>
      </c>
      <c r="K1644" s="8">
        <v>6.8164499999999998E-6</v>
      </c>
      <c r="L1644" s="8">
        <v>6.5657599999999996E-6</v>
      </c>
      <c r="M1644" s="8">
        <v>6.2772499999999999E-6</v>
      </c>
      <c r="N1644" s="8">
        <v>5.9872900000000004E-6</v>
      </c>
      <c r="O1644">
        <v>0</v>
      </c>
      <c r="P1644">
        <v>0</v>
      </c>
      <c r="Q1644">
        <v>0</v>
      </c>
      <c r="R1644" t="s">
        <v>243</v>
      </c>
    </row>
    <row r="1645" spans="1:18" x14ac:dyDescent="0.3">
      <c r="A1645" t="s">
        <v>259</v>
      </c>
      <c r="B1645" t="s">
        <v>108</v>
      </c>
      <c r="C1645" t="s">
        <v>325</v>
      </c>
      <c r="D1645" s="8">
        <v>3.6014500000000001E-6</v>
      </c>
      <c r="E1645" s="8">
        <v>2.5311799999999998E-7</v>
      </c>
      <c r="F1645" s="8">
        <v>5.1646699999999999E-7</v>
      </c>
      <c r="G1645" s="8">
        <v>3.9820600000000001E-7</v>
      </c>
      <c r="H1645" s="8">
        <v>3.9646500000000002E-7</v>
      </c>
      <c r="I1645" s="8">
        <v>4.06900199999999E-7</v>
      </c>
      <c r="J1645" s="8">
        <v>3.9229199999999998E-7</v>
      </c>
      <c r="K1645" s="8">
        <v>3.7868479999999999E-7</v>
      </c>
      <c r="L1645" s="8">
        <v>3.6382939999999999E-7</v>
      </c>
      <c r="M1645" s="8">
        <v>3.4766080000000002E-7</v>
      </c>
      <c r="N1645" s="8">
        <v>3.323011E-7</v>
      </c>
      <c r="O1645">
        <v>0</v>
      </c>
      <c r="P1645">
        <v>0</v>
      </c>
      <c r="Q1645">
        <v>0</v>
      </c>
      <c r="R1645" t="s">
        <v>243</v>
      </c>
    </row>
    <row r="1646" spans="1:18" x14ac:dyDescent="0.3">
      <c r="A1646" t="s">
        <v>259</v>
      </c>
      <c r="B1646" t="s">
        <v>108</v>
      </c>
      <c r="C1646" t="s">
        <v>326</v>
      </c>
      <c r="D1646" s="8">
        <v>2.8495699999999999E-5</v>
      </c>
      <c r="E1646" s="8">
        <v>2.9209799999999999E-6</v>
      </c>
      <c r="F1646" s="8">
        <v>4.9546199999999997E-6</v>
      </c>
      <c r="G1646" s="8">
        <v>3.6031599999999998E-6</v>
      </c>
      <c r="H1646" s="8">
        <v>3.6754699999999998E-6</v>
      </c>
      <c r="I1646" s="8">
        <v>3.795488E-6</v>
      </c>
      <c r="J1646" s="8">
        <v>3.7062129999999999E-6</v>
      </c>
      <c r="K1646" s="8">
        <v>3.6033179999999999E-6</v>
      </c>
      <c r="L1646" s="8">
        <v>3.471565E-6</v>
      </c>
      <c r="M1646" s="8">
        <v>3.3227399999999998E-6</v>
      </c>
      <c r="N1646" s="8">
        <v>3.175934E-6</v>
      </c>
      <c r="O1646">
        <v>0</v>
      </c>
      <c r="P1646">
        <v>0</v>
      </c>
      <c r="Q1646">
        <v>0</v>
      </c>
      <c r="R1646" t="s">
        <v>243</v>
      </c>
    </row>
    <row r="1647" spans="1:18" x14ac:dyDescent="0.3">
      <c r="A1647" t="s">
        <v>259</v>
      </c>
      <c r="B1647" t="s">
        <v>108</v>
      </c>
      <c r="C1647" t="s">
        <v>327</v>
      </c>
      <c r="D1647" s="8">
        <v>2.07952E-5</v>
      </c>
      <c r="E1647" s="8">
        <v>2.0781000000000001E-6</v>
      </c>
      <c r="F1647" s="8">
        <v>3.6152699999999999E-6</v>
      </c>
      <c r="G1647" s="8">
        <v>2.61609E-6</v>
      </c>
      <c r="H1647" s="8">
        <v>2.63479999999999E-6</v>
      </c>
      <c r="I1647" s="8">
        <v>2.71934699999999E-6</v>
      </c>
      <c r="J1647" s="8">
        <v>2.64553299999999E-6</v>
      </c>
      <c r="K1647" s="8">
        <v>2.5674569999999999E-6</v>
      </c>
      <c r="L1647" s="8">
        <v>2.4712679999999999E-6</v>
      </c>
      <c r="M1647" s="8">
        <v>2.3628169999999999E-6</v>
      </c>
      <c r="N1647" s="8">
        <v>2.2566510000000001E-6</v>
      </c>
      <c r="O1647">
        <v>0</v>
      </c>
      <c r="P1647">
        <v>0</v>
      </c>
      <c r="Q1647">
        <v>0</v>
      </c>
      <c r="R1647" t="s">
        <v>243</v>
      </c>
    </row>
    <row r="1648" spans="1:18" x14ac:dyDescent="0.3">
      <c r="A1648" t="s">
        <v>259</v>
      </c>
      <c r="B1648" t="s">
        <v>108</v>
      </c>
      <c r="C1648" t="s">
        <v>328</v>
      </c>
      <c r="D1648" s="8">
        <v>1.71174E-5</v>
      </c>
      <c r="E1648" s="8">
        <v>1.6148899999999999E-6</v>
      </c>
      <c r="F1648" s="8">
        <v>2.8418E-6</v>
      </c>
      <c r="G1648" s="8">
        <v>2.0730899999999998E-6</v>
      </c>
      <c r="H1648" s="8">
        <v>2.071799E-6</v>
      </c>
      <c r="I1648" s="8">
        <v>2.1321010000000001E-6</v>
      </c>
      <c r="J1648" s="8">
        <v>2.0714950000000001E-6</v>
      </c>
      <c r="K1648" s="8">
        <v>2.0090799999999998E-6</v>
      </c>
      <c r="L1648" s="8">
        <v>1.9335269999999999E-6</v>
      </c>
      <c r="M1648" s="8">
        <v>1.850096E-6</v>
      </c>
      <c r="N1648" s="8">
        <v>1.7688599999999899E-6</v>
      </c>
      <c r="O1648">
        <v>0</v>
      </c>
      <c r="P1648">
        <v>0</v>
      </c>
      <c r="Q1648">
        <v>0</v>
      </c>
      <c r="R1648" t="s">
        <v>243</v>
      </c>
    </row>
    <row r="1649" spans="1:18" x14ac:dyDescent="0.3">
      <c r="A1649" t="s">
        <v>259</v>
      </c>
      <c r="B1649" t="s">
        <v>108</v>
      </c>
      <c r="C1649" t="s">
        <v>329</v>
      </c>
      <c r="D1649" s="8">
        <v>1.4342600000000001E-5</v>
      </c>
      <c r="E1649" s="8">
        <v>1.2833099999999999E-6</v>
      </c>
      <c r="F1649" s="8">
        <v>2.3228699999999998E-6</v>
      </c>
      <c r="G1649" s="8">
        <v>1.68936E-6</v>
      </c>
      <c r="H1649" s="8">
        <v>1.676348E-6</v>
      </c>
      <c r="I1649" s="8">
        <v>1.725331E-6</v>
      </c>
      <c r="J1649" s="8">
        <v>1.6747259999999999E-6</v>
      </c>
      <c r="K1649" s="8">
        <v>1.6233969999999999E-6</v>
      </c>
      <c r="L1649" s="8">
        <v>1.5619119999999999E-6</v>
      </c>
      <c r="M1649" s="8">
        <v>1.493271E-6</v>
      </c>
      <c r="N1649" s="8">
        <v>1.4274749999999901E-6</v>
      </c>
      <c r="O1649">
        <v>0</v>
      </c>
      <c r="P1649">
        <v>0</v>
      </c>
      <c r="Q1649">
        <v>0</v>
      </c>
      <c r="R1649" t="s">
        <v>243</v>
      </c>
    </row>
    <row r="1650" spans="1:18" x14ac:dyDescent="0.3">
      <c r="A1650" t="s">
        <v>259</v>
      </c>
      <c r="B1650" t="s">
        <v>108</v>
      </c>
      <c r="C1650" t="s">
        <v>330</v>
      </c>
      <c r="D1650" s="8">
        <v>1.19443E-5</v>
      </c>
      <c r="E1650" s="8">
        <v>1.0403100000000001E-6</v>
      </c>
      <c r="F1650" s="8">
        <v>1.9398399999999999E-6</v>
      </c>
      <c r="G1650" s="8">
        <v>1.4118200000000001E-6</v>
      </c>
      <c r="H1650" s="8">
        <v>1.398045E-6</v>
      </c>
      <c r="I1650" s="8">
        <v>1.438466E-6</v>
      </c>
      <c r="J1650" s="8">
        <v>1.3946409999999901E-6</v>
      </c>
      <c r="K1650" s="8">
        <v>1.350076E-6</v>
      </c>
      <c r="L1650" s="8">
        <v>1.2977829999999901E-6</v>
      </c>
      <c r="M1650" s="8">
        <v>1.2407249999999899E-6</v>
      </c>
      <c r="N1650" s="8">
        <v>1.1859299999999999E-6</v>
      </c>
      <c r="O1650">
        <v>0</v>
      </c>
      <c r="P1650">
        <v>0</v>
      </c>
      <c r="Q1650">
        <v>0</v>
      </c>
      <c r="R1650" t="s">
        <v>243</v>
      </c>
    </row>
    <row r="1651" spans="1:18" x14ac:dyDescent="0.3">
      <c r="A1651" t="s">
        <v>259</v>
      </c>
      <c r="B1651" t="s">
        <v>108</v>
      </c>
      <c r="C1651" t="s">
        <v>331</v>
      </c>
      <c r="D1651" s="8">
        <v>9.8539700000000005E-6</v>
      </c>
      <c r="E1651" s="8">
        <v>8.50475E-7</v>
      </c>
      <c r="F1651" s="8">
        <v>1.61859E-6</v>
      </c>
      <c r="G1651" s="8">
        <v>1.19945E-6</v>
      </c>
      <c r="H1651" s="8">
        <v>1.191617E-6</v>
      </c>
      <c r="I1651" s="8">
        <v>1.223714E-6</v>
      </c>
      <c r="J1651" s="8">
        <v>1.184699E-6</v>
      </c>
      <c r="K1651" s="8">
        <v>1.1473049999999999E-6</v>
      </c>
      <c r="L1651" s="8">
        <v>1.1036840000000001E-6</v>
      </c>
      <c r="M1651" s="8">
        <v>1.0553869999999999E-6</v>
      </c>
      <c r="N1651" s="8">
        <v>1.0089409999999899E-6</v>
      </c>
      <c r="O1651">
        <v>0</v>
      </c>
      <c r="P1651">
        <v>0</v>
      </c>
      <c r="Q1651">
        <v>0</v>
      </c>
      <c r="R1651" t="s">
        <v>243</v>
      </c>
    </row>
    <row r="1652" spans="1:18" x14ac:dyDescent="0.3">
      <c r="A1652" t="s">
        <v>259</v>
      </c>
      <c r="B1652" t="s">
        <v>108</v>
      </c>
      <c r="C1652" t="s">
        <v>332</v>
      </c>
      <c r="D1652" s="8">
        <v>8.0716799999999996E-6</v>
      </c>
      <c r="E1652" s="8">
        <v>6.7835499999999996E-7</v>
      </c>
      <c r="F1652" s="8">
        <v>1.32453E-6</v>
      </c>
      <c r="G1652" s="8">
        <v>9.7500200000000004E-7</v>
      </c>
      <c r="H1652" s="8">
        <v>9.6557300000000001E-7</v>
      </c>
      <c r="I1652" s="8">
        <v>9.9238999999999995E-7</v>
      </c>
      <c r="J1652" s="8">
        <v>9.6014200000000002E-7</v>
      </c>
      <c r="K1652" s="8">
        <v>9.2888999999999995E-7</v>
      </c>
      <c r="L1652" s="8">
        <v>8.9315799999999998E-7</v>
      </c>
      <c r="M1652" s="8">
        <v>8.5374199999999997E-7</v>
      </c>
      <c r="N1652" s="8">
        <v>8.1606700000000005E-7</v>
      </c>
      <c r="O1652">
        <v>0</v>
      </c>
      <c r="P1652">
        <v>0</v>
      </c>
      <c r="Q1652">
        <v>0</v>
      </c>
      <c r="R1652" t="s">
        <v>243</v>
      </c>
    </row>
    <row r="1653" spans="1:18" x14ac:dyDescent="0.3">
      <c r="A1653" t="s">
        <v>259</v>
      </c>
      <c r="B1653" t="s">
        <v>108</v>
      </c>
      <c r="C1653" t="s">
        <v>333</v>
      </c>
      <c r="D1653" s="8">
        <v>5.8839499999999998E-6</v>
      </c>
      <c r="E1653" s="8">
        <v>5.1889099999999998E-7</v>
      </c>
      <c r="F1653" s="8">
        <v>9.9586700000000001E-7</v>
      </c>
      <c r="G1653" s="8">
        <v>7.52972E-7</v>
      </c>
      <c r="H1653" s="8">
        <v>7.4770300000000003E-7</v>
      </c>
      <c r="I1653" s="8">
        <v>7.67164E-7</v>
      </c>
      <c r="J1653" s="8">
        <v>7.4108139999999996E-7</v>
      </c>
      <c r="K1653" s="8">
        <v>7.166879E-7</v>
      </c>
      <c r="L1653" s="8">
        <v>6.8882999999999995E-7</v>
      </c>
      <c r="M1653" s="8">
        <v>6.581E-7</v>
      </c>
      <c r="N1653" s="8">
        <v>6.2877599999999999E-7</v>
      </c>
      <c r="O1653">
        <v>0</v>
      </c>
      <c r="P1653">
        <v>0</v>
      </c>
      <c r="Q1653">
        <v>0</v>
      </c>
      <c r="R1653" t="s">
        <v>243</v>
      </c>
    </row>
    <row r="1654" spans="1:18" x14ac:dyDescent="0.3">
      <c r="A1654" t="s">
        <v>259</v>
      </c>
      <c r="B1654" t="s">
        <v>108</v>
      </c>
      <c r="C1654" t="s">
        <v>264</v>
      </c>
      <c r="D1654" s="8">
        <v>7.2692859999999896E-4</v>
      </c>
      <c r="E1654" s="8">
        <v>8.16448E-4</v>
      </c>
      <c r="F1654" s="8">
        <v>8.8266699999999898E-4</v>
      </c>
      <c r="G1654" s="8">
        <v>8.1174450000000005E-4</v>
      </c>
      <c r="H1654" s="8">
        <v>8.4548499999999999E-4</v>
      </c>
      <c r="I1654" s="8">
        <v>9.0073309999999995E-4</v>
      </c>
      <c r="J1654" s="8">
        <v>8.8857068999999896E-4</v>
      </c>
      <c r="K1654" s="8">
        <v>8.6762831999999998E-4</v>
      </c>
      <c r="L1654" s="8">
        <v>8.2507279999999902E-4</v>
      </c>
      <c r="M1654" s="8">
        <v>7.6952619999999896E-4</v>
      </c>
      <c r="N1654" s="8">
        <v>7.1781630000000002E-4</v>
      </c>
      <c r="O1654">
        <v>0</v>
      </c>
      <c r="P1654">
        <v>0</v>
      </c>
      <c r="Q1654">
        <v>0</v>
      </c>
      <c r="R1654" t="s">
        <v>243</v>
      </c>
    </row>
    <row r="1655" spans="1:18" x14ac:dyDescent="0.3">
      <c r="A1655" t="s">
        <v>259</v>
      </c>
      <c r="B1655" t="s">
        <v>108</v>
      </c>
      <c r="C1655" t="s">
        <v>265</v>
      </c>
      <c r="D1655">
        <v>1.4152772E-3</v>
      </c>
      <c r="E1655">
        <v>2.1188237E-3</v>
      </c>
      <c r="F1655">
        <v>2.1070802E-3</v>
      </c>
      <c r="G1655">
        <v>1.7654540999999899E-3</v>
      </c>
      <c r="H1655">
        <v>1.7059006E-3</v>
      </c>
      <c r="I1655">
        <v>1.7494992999999999E-3</v>
      </c>
      <c r="J1655">
        <v>1.6619605E-3</v>
      </c>
      <c r="K1655">
        <v>1.6020514999999999E-3</v>
      </c>
      <c r="L1655">
        <v>1.5172924999999999E-3</v>
      </c>
      <c r="M1655">
        <v>1.4125525E-3</v>
      </c>
      <c r="N1655">
        <v>1.31999999999999E-3</v>
      </c>
      <c r="O1655">
        <v>0</v>
      </c>
      <c r="P1655">
        <v>0</v>
      </c>
      <c r="Q1655">
        <v>0</v>
      </c>
      <c r="R1655" t="s">
        <v>243</v>
      </c>
    </row>
    <row r="1656" spans="1:18" x14ac:dyDescent="0.3">
      <c r="A1656" t="s">
        <v>259</v>
      </c>
      <c r="B1656" t="s">
        <v>108</v>
      </c>
      <c r="C1656" t="s">
        <v>266</v>
      </c>
      <c r="D1656" s="8">
        <v>8.8362670000000001E-4</v>
      </c>
      <c r="E1656">
        <v>1.1452618999999999E-3</v>
      </c>
      <c r="F1656">
        <v>1.2164586999999999E-3</v>
      </c>
      <c r="G1656">
        <v>1.0626646E-3</v>
      </c>
      <c r="H1656">
        <v>1.055014E-3</v>
      </c>
      <c r="I1656">
        <v>1.09547109999999E-3</v>
      </c>
      <c r="J1656">
        <v>1.0585721000000001E-3</v>
      </c>
      <c r="K1656">
        <v>1.0280631000000001E-3</v>
      </c>
      <c r="L1656" s="8">
        <v>9.7657089999999896E-4</v>
      </c>
      <c r="M1656" s="8">
        <v>9.1088309999999995E-4</v>
      </c>
      <c r="N1656" s="8">
        <v>8.5117600000000004E-4</v>
      </c>
      <c r="O1656">
        <v>0</v>
      </c>
      <c r="P1656">
        <v>0</v>
      </c>
      <c r="Q1656">
        <v>0</v>
      </c>
      <c r="R1656" t="s">
        <v>243</v>
      </c>
    </row>
    <row r="1657" spans="1:18" x14ac:dyDescent="0.3">
      <c r="A1657" t="s">
        <v>259</v>
      </c>
      <c r="B1657" t="s">
        <v>108</v>
      </c>
      <c r="C1657" t="s">
        <v>267</v>
      </c>
      <c r="D1657" s="8">
        <v>9.7176610000000003E-4</v>
      </c>
      <c r="E1657">
        <v>1.3175185999999999E-3</v>
      </c>
      <c r="F1657">
        <v>1.3684598999999999E-3</v>
      </c>
      <c r="G1657">
        <v>1.1785137E-3</v>
      </c>
      <c r="H1657">
        <v>1.1525429E-3</v>
      </c>
      <c r="I1657">
        <v>1.1910932999999999E-3</v>
      </c>
      <c r="J1657">
        <v>1.14337989999999E-3</v>
      </c>
      <c r="K1657">
        <v>1.108052E-3</v>
      </c>
      <c r="L1657">
        <v>1.0514221E-3</v>
      </c>
      <c r="M1657" s="8">
        <v>9.7953150000000002E-4</v>
      </c>
      <c r="N1657" s="8">
        <v>9.1460300000000005E-4</v>
      </c>
      <c r="O1657">
        <v>0</v>
      </c>
      <c r="P1657">
        <v>0</v>
      </c>
      <c r="Q1657">
        <v>0</v>
      </c>
      <c r="R1657" t="s">
        <v>243</v>
      </c>
    </row>
    <row r="1658" spans="1:18" x14ac:dyDescent="0.3">
      <c r="A1658" t="s">
        <v>259</v>
      </c>
      <c r="B1658" t="s">
        <v>108</v>
      </c>
      <c r="C1658" t="s">
        <v>268</v>
      </c>
      <c r="D1658">
        <v>1.0240218999999901E-3</v>
      </c>
      <c r="E1658">
        <v>1.4322092999999999E-3</v>
      </c>
      <c r="F1658">
        <v>1.4736070999999901E-3</v>
      </c>
      <c r="G1658">
        <v>1.2573217000000001E-3</v>
      </c>
      <c r="H1658">
        <v>1.2196830999999899E-3</v>
      </c>
      <c r="I1658">
        <v>1.2551481999999901E-3</v>
      </c>
      <c r="J1658">
        <v>1.2021485000000001E-3</v>
      </c>
      <c r="K1658">
        <v>1.1642088E-3</v>
      </c>
      <c r="L1658">
        <v>1.1045406E-3</v>
      </c>
      <c r="M1658">
        <v>1.0297189999999999E-3</v>
      </c>
      <c r="N1658" s="8">
        <v>9.6250809999999997E-4</v>
      </c>
      <c r="O1658">
        <v>0</v>
      </c>
      <c r="P1658">
        <v>0</v>
      </c>
      <c r="Q1658">
        <v>0</v>
      </c>
      <c r="R1658" t="s">
        <v>243</v>
      </c>
    </row>
    <row r="1659" spans="1:18" x14ac:dyDescent="0.3">
      <c r="A1659" t="s">
        <v>259</v>
      </c>
      <c r="B1659" t="s">
        <v>108</v>
      </c>
      <c r="C1659" t="s">
        <v>269</v>
      </c>
      <c r="D1659">
        <v>1.0706697E-3</v>
      </c>
      <c r="E1659">
        <v>1.5282442999999899E-3</v>
      </c>
      <c r="F1659">
        <v>1.5558194999999999E-3</v>
      </c>
      <c r="G1659">
        <v>1.3236769999999899E-3</v>
      </c>
      <c r="H1659">
        <v>1.2751301E-3</v>
      </c>
      <c r="I1659">
        <v>1.3115697999999999E-3</v>
      </c>
      <c r="J1659">
        <v>1.2544365999999901E-3</v>
      </c>
      <c r="K1659">
        <v>1.2142297000000001E-3</v>
      </c>
      <c r="L1659">
        <v>1.1516543000000001E-3</v>
      </c>
      <c r="M1659">
        <v>1.07273479999999E-3</v>
      </c>
      <c r="N1659">
        <v>1.0025641999999999E-3</v>
      </c>
      <c r="O1659">
        <v>0</v>
      </c>
      <c r="P1659">
        <v>0</v>
      </c>
      <c r="Q1659">
        <v>0</v>
      </c>
      <c r="R1659" t="s">
        <v>243</v>
      </c>
    </row>
    <row r="1660" spans="1:18" x14ac:dyDescent="0.3">
      <c r="A1660" t="s">
        <v>259</v>
      </c>
      <c r="B1660" t="s">
        <v>108</v>
      </c>
      <c r="C1660" t="s">
        <v>270</v>
      </c>
      <c r="D1660">
        <v>1.1181673999999999E-3</v>
      </c>
      <c r="E1660">
        <v>1.6110784000000001E-3</v>
      </c>
      <c r="F1660">
        <v>1.6264666999999901E-3</v>
      </c>
      <c r="G1660">
        <v>1.3811914999999899E-3</v>
      </c>
      <c r="H1660">
        <v>1.3278537E-3</v>
      </c>
      <c r="I1660">
        <v>1.365107E-3</v>
      </c>
      <c r="J1660">
        <v>1.3039264999999999E-3</v>
      </c>
      <c r="K1660">
        <v>1.2604699999999901E-3</v>
      </c>
      <c r="L1660">
        <v>1.1944404999999999E-3</v>
      </c>
      <c r="M1660">
        <v>1.1125212000000001E-3</v>
      </c>
      <c r="N1660">
        <v>1.0396520999999899E-3</v>
      </c>
      <c r="O1660">
        <v>0</v>
      </c>
      <c r="P1660">
        <v>0</v>
      </c>
      <c r="Q1660">
        <v>0</v>
      </c>
      <c r="R1660" t="s">
        <v>243</v>
      </c>
    </row>
    <row r="1661" spans="1:18" x14ac:dyDescent="0.3">
      <c r="A1661" t="s">
        <v>259</v>
      </c>
      <c r="B1661" t="s">
        <v>108</v>
      </c>
      <c r="C1661" t="s">
        <v>271</v>
      </c>
      <c r="D1661">
        <v>1.1674742999999901E-3</v>
      </c>
      <c r="E1661">
        <v>1.6875443999999999E-3</v>
      </c>
      <c r="F1661">
        <v>1.6951711999999999E-3</v>
      </c>
      <c r="G1661">
        <v>1.4325023999999999E-3</v>
      </c>
      <c r="H1661">
        <v>1.3813867000000001E-3</v>
      </c>
      <c r="I1661">
        <v>1.4174895E-3</v>
      </c>
      <c r="J1661">
        <v>1.35207979999999E-3</v>
      </c>
      <c r="K1661">
        <v>1.3074944999999999E-3</v>
      </c>
      <c r="L1661">
        <v>1.2399234999999999E-3</v>
      </c>
      <c r="M1661">
        <v>1.1551669999999999E-3</v>
      </c>
      <c r="N1661">
        <v>1.07966989999999E-3</v>
      </c>
      <c r="O1661">
        <v>0</v>
      </c>
      <c r="P1661">
        <v>0</v>
      </c>
      <c r="Q1661">
        <v>0</v>
      </c>
      <c r="R1661" t="s">
        <v>243</v>
      </c>
    </row>
    <row r="1662" spans="1:18" x14ac:dyDescent="0.3">
      <c r="A1662" t="s">
        <v>259</v>
      </c>
      <c r="B1662" t="s">
        <v>108</v>
      </c>
      <c r="C1662" t="s">
        <v>272</v>
      </c>
      <c r="D1662">
        <v>1.2179724E-3</v>
      </c>
      <c r="E1662">
        <v>1.7699028999999999E-3</v>
      </c>
      <c r="F1662">
        <v>1.7695292E-3</v>
      </c>
      <c r="G1662">
        <v>1.4971559000000001E-3</v>
      </c>
      <c r="H1662">
        <v>1.4394089E-3</v>
      </c>
      <c r="I1662">
        <v>1.4780819000000001E-3</v>
      </c>
      <c r="J1662">
        <v>1.408826E-3</v>
      </c>
      <c r="K1662">
        <v>1.3610376E-3</v>
      </c>
      <c r="L1662">
        <v>1.29007189999999E-3</v>
      </c>
      <c r="M1662">
        <v>1.2014049E-3</v>
      </c>
      <c r="N1662">
        <v>1.1227564999999899E-3</v>
      </c>
      <c r="O1662">
        <v>0</v>
      </c>
      <c r="P1662">
        <v>0</v>
      </c>
      <c r="Q1662">
        <v>0</v>
      </c>
      <c r="R1662" t="s">
        <v>243</v>
      </c>
    </row>
    <row r="1663" spans="1:18" x14ac:dyDescent="0.3">
      <c r="A1663" t="s">
        <v>259</v>
      </c>
      <c r="B1663" t="s">
        <v>108</v>
      </c>
      <c r="C1663" t="s">
        <v>273</v>
      </c>
      <c r="D1663">
        <v>1.2965648999999999E-3</v>
      </c>
      <c r="E1663">
        <v>1.8676401000000001E-3</v>
      </c>
      <c r="F1663">
        <v>1.8734832000000001E-3</v>
      </c>
      <c r="G1663">
        <v>1.5764175999999899E-3</v>
      </c>
      <c r="H1663">
        <v>1.5194601000000001E-3</v>
      </c>
      <c r="I1663">
        <v>1.5577875000000001E-3</v>
      </c>
      <c r="J1663">
        <v>1.482588E-3</v>
      </c>
      <c r="K1663">
        <v>1.4317290999999999E-3</v>
      </c>
      <c r="L1663">
        <v>1.3565292999999899E-3</v>
      </c>
      <c r="M1663">
        <v>1.2626706999999901E-3</v>
      </c>
      <c r="N1663">
        <v>1.1794666000000001E-3</v>
      </c>
      <c r="O1663">
        <v>0</v>
      </c>
      <c r="P1663">
        <v>0</v>
      </c>
      <c r="Q1663">
        <v>0</v>
      </c>
      <c r="R1663" t="s">
        <v>243</v>
      </c>
    </row>
    <row r="1664" spans="1:18" x14ac:dyDescent="0.3">
      <c r="A1664" t="s">
        <v>259</v>
      </c>
      <c r="B1664" t="s">
        <v>108</v>
      </c>
      <c r="C1664" t="s">
        <v>274</v>
      </c>
      <c r="D1664" s="8">
        <v>3.5240499999999997E-8</v>
      </c>
      <c r="E1664" s="8">
        <v>2.4275399999999999E-8</v>
      </c>
      <c r="F1664" s="8">
        <v>2.65292E-8</v>
      </c>
      <c r="G1664" s="8">
        <v>2.5780099999999999E-8</v>
      </c>
      <c r="H1664" s="8">
        <v>2.019774E-8</v>
      </c>
      <c r="I1664" s="8">
        <v>1.253972E-8</v>
      </c>
      <c r="J1664" s="8">
        <v>3.8217799999999996E-9</v>
      </c>
      <c r="K1664" s="8">
        <v>4.0221799999999999E-9</v>
      </c>
      <c r="L1664" s="8">
        <v>4.0340810000000001E-9</v>
      </c>
      <c r="M1664" s="8">
        <v>3.9313959999999903E-9</v>
      </c>
      <c r="N1664" s="8">
        <v>3.7522799999999903E-9</v>
      </c>
      <c r="O1664">
        <v>0</v>
      </c>
      <c r="P1664">
        <v>0</v>
      </c>
      <c r="Q1664">
        <v>0</v>
      </c>
      <c r="R1664" t="s">
        <v>243</v>
      </c>
    </row>
    <row r="1665" spans="1:18" x14ac:dyDescent="0.3">
      <c r="A1665" t="s">
        <v>259</v>
      </c>
      <c r="B1665" t="s">
        <v>108</v>
      </c>
      <c r="C1665" t="s">
        <v>275</v>
      </c>
      <c r="D1665" s="8">
        <v>4.7414500000000001E-7</v>
      </c>
      <c r="E1665" s="8">
        <v>5.2343800000000003E-7</v>
      </c>
      <c r="F1665" s="8">
        <v>4.8194700000000002E-7</v>
      </c>
      <c r="G1665" s="8">
        <v>4.5401500000000001E-7</v>
      </c>
      <c r="H1665" s="8">
        <v>3.2898049999999999E-7</v>
      </c>
      <c r="I1665" s="8">
        <v>2.0252469999999999E-7</v>
      </c>
      <c r="J1665" s="8">
        <v>6.2036599999999901E-8</v>
      </c>
      <c r="K1665" s="8">
        <v>6.63359999999999E-8</v>
      </c>
      <c r="L1665" s="8">
        <v>6.7771099999999997E-8</v>
      </c>
      <c r="M1665" s="8">
        <v>6.7287599999999899E-8</v>
      </c>
      <c r="N1665" s="8">
        <v>6.567175E-8</v>
      </c>
      <c r="O1665">
        <v>0</v>
      </c>
      <c r="P1665">
        <v>0</v>
      </c>
      <c r="Q1665">
        <v>0</v>
      </c>
      <c r="R1665" t="s">
        <v>243</v>
      </c>
    </row>
    <row r="1666" spans="1:18" x14ac:dyDescent="0.3">
      <c r="A1666" t="s">
        <v>259</v>
      </c>
      <c r="B1666" t="s">
        <v>108</v>
      </c>
      <c r="C1666" t="s">
        <v>276</v>
      </c>
      <c r="D1666" s="8">
        <v>6.24719E-8</v>
      </c>
      <c r="E1666" s="8">
        <v>4.8550799999999998E-8</v>
      </c>
      <c r="F1666" s="8">
        <v>5.30584E-8</v>
      </c>
      <c r="G1666" s="8">
        <v>5.2992299999999999E-8</v>
      </c>
      <c r="H1666" s="8">
        <v>3.9665909999999997E-8</v>
      </c>
      <c r="I1666" s="8">
        <v>2.4301500000000001E-8</v>
      </c>
      <c r="J1666" s="8">
        <v>7.1221200000000002E-9</v>
      </c>
      <c r="K1666" s="8">
        <v>7.5259399999999998E-9</v>
      </c>
      <c r="L1666" s="8">
        <v>7.5911100000000003E-9</v>
      </c>
      <c r="M1666" s="8">
        <v>7.4541400000000001E-9</v>
      </c>
      <c r="N1666" s="8">
        <v>7.1868500000000003E-9</v>
      </c>
      <c r="O1666">
        <v>0</v>
      </c>
      <c r="P1666">
        <v>0</v>
      </c>
      <c r="Q1666">
        <v>0</v>
      </c>
      <c r="R1666" t="s">
        <v>243</v>
      </c>
    </row>
    <row r="1667" spans="1:18" x14ac:dyDescent="0.3">
      <c r="A1667" t="s">
        <v>259</v>
      </c>
      <c r="B1667" t="s">
        <v>108</v>
      </c>
      <c r="C1667" t="s">
        <v>277</v>
      </c>
      <c r="D1667" s="8">
        <v>8.8101399999999998E-8</v>
      </c>
      <c r="E1667" s="8">
        <v>6.9791700000000004E-8</v>
      </c>
      <c r="F1667" s="8">
        <v>7.3692200000000007E-8</v>
      </c>
      <c r="G1667" s="8">
        <v>7.4475699999999995E-8</v>
      </c>
      <c r="H1667" s="8">
        <v>5.4796700000000001E-8</v>
      </c>
      <c r="I1667" s="8">
        <v>3.3559910000000002E-8</v>
      </c>
      <c r="J1667" s="8">
        <v>9.7429800000000002E-9</v>
      </c>
      <c r="K1667" s="8">
        <v>1.027943E-8</v>
      </c>
      <c r="L1667" s="8">
        <v>1.0357989999999999E-8</v>
      </c>
      <c r="M1667" s="8">
        <v>1.0143209999999999E-8</v>
      </c>
      <c r="N1667" s="8">
        <v>9.7570999999999997E-9</v>
      </c>
      <c r="O1667">
        <v>0</v>
      </c>
      <c r="P1667">
        <v>0</v>
      </c>
      <c r="Q1667">
        <v>0</v>
      </c>
      <c r="R1667" t="s">
        <v>243</v>
      </c>
    </row>
    <row r="1668" spans="1:18" x14ac:dyDescent="0.3">
      <c r="A1668" t="s">
        <v>259</v>
      </c>
      <c r="B1668" t="s">
        <v>108</v>
      </c>
      <c r="C1668" t="s">
        <v>278</v>
      </c>
      <c r="D1668" s="8">
        <v>1.07323E-7</v>
      </c>
      <c r="E1668" s="8">
        <v>9.1032700000000002E-8</v>
      </c>
      <c r="F1668" s="8">
        <v>9.5799900000000005E-8</v>
      </c>
      <c r="G1668" s="8">
        <v>9.4526900000000005E-8</v>
      </c>
      <c r="H1668" s="8">
        <v>6.8810700000000004E-8</v>
      </c>
      <c r="I1668" s="8">
        <v>4.1940599999999897E-8</v>
      </c>
      <c r="J1668" s="8">
        <v>1.2076630000000001E-8</v>
      </c>
      <c r="K1668" s="8">
        <v>1.275754E-8</v>
      </c>
      <c r="L1668" s="8">
        <v>1.28724599999999E-8</v>
      </c>
      <c r="M1668" s="8">
        <v>1.26681E-8</v>
      </c>
      <c r="N1668" s="8">
        <v>1.2256099999999999E-8</v>
      </c>
      <c r="O1668">
        <v>0</v>
      </c>
      <c r="P1668">
        <v>0</v>
      </c>
      <c r="Q1668">
        <v>0</v>
      </c>
      <c r="R1668" t="s">
        <v>243</v>
      </c>
    </row>
    <row r="1669" spans="1:18" x14ac:dyDescent="0.3">
      <c r="A1669" t="s">
        <v>259</v>
      </c>
      <c r="B1669" t="s">
        <v>108</v>
      </c>
      <c r="C1669" t="s">
        <v>279</v>
      </c>
      <c r="D1669" s="8">
        <v>1.2814699999999999E-7</v>
      </c>
      <c r="E1669" s="8">
        <v>1.13791E-7</v>
      </c>
      <c r="F1669" s="8">
        <v>1.16434E-7</v>
      </c>
      <c r="G1669" s="8">
        <v>1.1601E-7</v>
      </c>
      <c r="H1669" s="8">
        <v>8.3592699999999997E-8</v>
      </c>
      <c r="I1669" s="8">
        <v>5.0932519999999897E-8</v>
      </c>
      <c r="J1669" s="8">
        <v>1.459398E-8</v>
      </c>
      <c r="K1669" s="8">
        <v>1.5441909999999899E-8</v>
      </c>
      <c r="L1669" s="8">
        <v>1.5593329999999999E-8</v>
      </c>
      <c r="M1669" s="8">
        <v>1.5307990000000001E-8</v>
      </c>
      <c r="N1669" s="8">
        <v>1.48137E-8</v>
      </c>
      <c r="O1669">
        <v>0</v>
      </c>
      <c r="P1669">
        <v>0</v>
      </c>
      <c r="Q1669">
        <v>0</v>
      </c>
      <c r="R1669" t="s">
        <v>243</v>
      </c>
    </row>
    <row r="1670" spans="1:18" x14ac:dyDescent="0.3">
      <c r="A1670" t="s">
        <v>259</v>
      </c>
      <c r="B1670" t="s">
        <v>108</v>
      </c>
      <c r="C1670" t="s">
        <v>280</v>
      </c>
      <c r="D1670" s="8">
        <v>1.5377699999999999E-7</v>
      </c>
      <c r="E1670" s="8">
        <v>1.4110099999999999E-7</v>
      </c>
      <c r="F1670" s="8">
        <v>1.40015E-7</v>
      </c>
      <c r="G1670" s="8">
        <v>1.3892600000000001E-7</v>
      </c>
      <c r="H1670" s="8">
        <v>9.9778999999999996E-8</v>
      </c>
      <c r="I1670" s="8">
        <v>6.081027E-8</v>
      </c>
      <c r="J1670" s="8">
        <v>1.7433749999999999E-8</v>
      </c>
      <c r="K1670" s="8">
        <v>1.8394829999999999E-8</v>
      </c>
      <c r="L1670" s="8">
        <v>1.8531939999999902E-8</v>
      </c>
      <c r="M1670" s="8">
        <v>1.821455E-8</v>
      </c>
      <c r="N1670" s="8">
        <v>1.7632110000000001E-8</v>
      </c>
      <c r="O1670">
        <v>0</v>
      </c>
      <c r="P1670">
        <v>0</v>
      </c>
      <c r="Q1670">
        <v>0</v>
      </c>
      <c r="R1670" t="s">
        <v>243</v>
      </c>
    </row>
    <row r="1671" spans="1:18" x14ac:dyDescent="0.3">
      <c r="A1671" t="s">
        <v>259</v>
      </c>
      <c r="B1671" t="s">
        <v>108</v>
      </c>
      <c r="C1671" t="s">
        <v>281</v>
      </c>
      <c r="D1671" s="8">
        <v>1.85814E-7</v>
      </c>
      <c r="E1671" s="8">
        <v>1.7144500000000001E-7</v>
      </c>
      <c r="F1671" s="8">
        <v>1.6654400000000001E-7</v>
      </c>
      <c r="G1671" s="8">
        <v>1.6327400000000001E-7</v>
      </c>
      <c r="H1671" s="8">
        <v>1.17794499999999E-7</v>
      </c>
      <c r="I1671" s="8">
        <v>7.1734600000000005E-8</v>
      </c>
      <c r="J1671" s="8">
        <v>2.0710179999999999E-8</v>
      </c>
      <c r="K1671" s="8">
        <v>2.1966659999999899E-8</v>
      </c>
      <c r="L1671" s="8">
        <v>2.2256909999999901E-8</v>
      </c>
      <c r="M1671" s="8">
        <v>2.1937429999999899E-8</v>
      </c>
      <c r="N1671" s="8">
        <v>2.1275179999999899E-8</v>
      </c>
      <c r="O1671">
        <v>0</v>
      </c>
      <c r="P1671">
        <v>0</v>
      </c>
      <c r="Q1671">
        <v>0</v>
      </c>
      <c r="R1671" t="s">
        <v>243</v>
      </c>
    </row>
    <row r="1672" spans="1:18" x14ac:dyDescent="0.3">
      <c r="A1672" t="s">
        <v>259</v>
      </c>
      <c r="B1672" t="s">
        <v>108</v>
      </c>
      <c r="C1672" t="s">
        <v>282</v>
      </c>
      <c r="D1672" s="8">
        <v>2.2586000000000001E-7</v>
      </c>
      <c r="E1672" s="8">
        <v>2.1241000000000001E-7</v>
      </c>
      <c r="F1672" s="8">
        <v>2.03391E-7</v>
      </c>
      <c r="G1672" s="8">
        <v>2.0051199999999999E-7</v>
      </c>
      <c r="H1672" s="8">
        <v>1.4391209999999999E-7</v>
      </c>
      <c r="I1672" s="8">
        <v>8.776E-8</v>
      </c>
      <c r="J1672" s="8">
        <v>2.532991E-8</v>
      </c>
      <c r="K1672" s="8">
        <v>2.68483E-8</v>
      </c>
      <c r="L1672" s="8">
        <v>2.720589E-8</v>
      </c>
      <c r="M1672" s="8">
        <v>2.6806959999999901E-8</v>
      </c>
      <c r="N1672" s="8">
        <v>2.600915E-8</v>
      </c>
      <c r="O1672">
        <v>0</v>
      </c>
      <c r="P1672">
        <v>0</v>
      </c>
      <c r="Q1672">
        <v>0</v>
      </c>
      <c r="R1672" t="s">
        <v>243</v>
      </c>
    </row>
    <row r="1673" spans="1:18" x14ac:dyDescent="0.3">
      <c r="A1673" t="s">
        <v>259</v>
      </c>
      <c r="B1673" t="s">
        <v>108</v>
      </c>
      <c r="C1673" t="s">
        <v>283</v>
      </c>
      <c r="D1673" s="8">
        <v>3.0274799999999998E-7</v>
      </c>
      <c r="E1673" s="8">
        <v>2.7461499999999997E-7</v>
      </c>
      <c r="F1673" s="8">
        <v>2.6529200000000002E-7</v>
      </c>
      <c r="G1673" s="8">
        <v>2.5493599999999997E-7</v>
      </c>
      <c r="H1673" s="8">
        <v>1.8379049999999999E-7</v>
      </c>
      <c r="I1673" s="8">
        <v>1.12152E-7</v>
      </c>
      <c r="J1673" s="8">
        <v>3.2888700000000001E-8</v>
      </c>
      <c r="K1673" s="8">
        <v>3.4989100000000002E-8</v>
      </c>
      <c r="L1673" s="8">
        <v>3.5496339999999998E-8</v>
      </c>
      <c r="M1673" s="8">
        <v>3.4969489999999998E-8</v>
      </c>
      <c r="N1673" s="8">
        <v>3.3897029999999999E-8</v>
      </c>
      <c r="O1673">
        <v>0</v>
      </c>
      <c r="P1673">
        <v>0</v>
      </c>
      <c r="Q1673">
        <v>0</v>
      </c>
      <c r="R1673" t="s">
        <v>243</v>
      </c>
    </row>
    <row r="1674" spans="1:18" x14ac:dyDescent="0.3">
      <c r="A1674" t="s">
        <v>259</v>
      </c>
      <c r="B1674" t="s">
        <v>108</v>
      </c>
      <c r="C1674" t="s">
        <v>334</v>
      </c>
      <c r="D1674">
        <v>3.9908299999999999E-3</v>
      </c>
      <c r="E1674" s="8">
        <v>4.41235E-4</v>
      </c>
      <c r="F1674" s="8">
        <v>7.6554499999999996E-4</v>
      </c>
      <c r="G1674" s="8">
        <v>5.5225599999999999E-4</v>
      </c>
      <c r="H1674" s="8">
        <v>5.8105500000000003E-4</v>
      </c>
      <c r="I1674" s="8">
        <v>6.0537999999999998E-4</v>
      </c>
      <c r="J1674" s="8">
        <v>5.9310199999999997E-4</v>
      </c>
      <c r="K1674" s="8">
        <v>5.7710230000000001E-4</v>
      </c>
      <c r="L1674" s="8">
        <v>5.5666799999999996E-4</v>
      </c>
      <c r="M1674" s="8">
        <v>5.3184200000000004E-4</v>
      </c>
      <c r="N1674" s="8">
        <v>5.0714100000000002E-4</v>
      </c>
      <c r="O1674">
        <v>0</v>
      </c>
      <c r="P1674">
        <v>0</v>
      </c>
      <c r="Q1674">
        <v>0</v>
      </c>
      <c r="R1674" t="s">
        <v>243</v>
      </c>
    </row>
    <row r="1675" spans="1:18" x14ac:dyDescent="0.3">
      <c r="A1675" t="s">
        <v>259</v>
      </c>
      <c r="B1675" t="s">
        <v>108</v>
      </c>
      <c r="C1675" t="s">
        <v>335</v>
      </c>
      <c r="D1675" s="8">
        <v>3.0978700000000001E-4</v>
      </c>
      <c r="E1675" s="8">
        <v>2.18085E-5</v>
      </c>
      <c r="F1675" s="8">
        <v>4.4468400000000003E-5</v>
      </c>
      <c r="G1675" s="8">
        <v>3.4269900000000002E-5</v>
      </c>
      <c r="H1675" s="8">
        <v>2.0777100000000001E-5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243</v>
      </c>
    </row>
    <row r="1676" spans="1:18" x14ac:dyDescent="0.3">
      <c r="A1676" t="s">
        <v>259</v>
      </c>
      <c r="B1676" t="s">
        <v>108</v>
      </c>
      <c r="C1676" t="s">
        <v>336</v>
      </c>
      <c r="D1676">
        <v>2.4232899999999998E-3</v>
      </c>
      <c r="E1676" s="8">
        <v>2.4794999999999998E-4</v>
      </c>
      <c r="F1676" s="8">
        <v>4.2160400000000001E-4</v>
      </c>
      <c r="G1676" s="8">
        <v>3.06161E-4</v>
      </c>
      <c r="H1676" s="8">
        <v>3.1200200000000003E-4</v>
      </c>
      <c r="I1676" s="8">
        <v>3.2308420000000003E-4</v>
      </c>
      <c r="J1676" s="8">
        <v>3.1505029999999998E-4</v>
      </c>
      <c r="K1676" s="8">
        <v>3.060672E-4</v>
      </c>
      <c r="L1676" s="8">
        <v>2.9532069999999998E-4</v>
      </c>
      <c r="M1676" s="8">
        <v>2.8244549999999999E-4</v>
      </c>
      <c r="N1676" s="8">
        <v>2.6989890000000001E-4</v>
      </c>
      <c r="O1676">
        <v>0</v>
      </c>
      <c r="P1676">
        <v>0</v>
      </c>
      <c r="Q1676">
        <v>0</v>
      </c>
      <c r="R1676" t="s">
        <v>243</v>
      </c>
    </row>
    <row r="1677" spans="1:18" x14ac:dyDescent="0.3">
      <c r="A1677" t="s">
        <v>259</v>
      </c>
      <c r="B1677" t="s">
        <v>108</v>
      </c>
      <c r="C1677" t="s">
        <v>337</v>
      </c>
      <c r="D1677">
        <v>1.77151E-3</v>
      </c>
      <c r="E1677" s="8">
        <v>1.7674100000000001E-4</v>
      </c>
      <c r="F1677" s="8">
        <v>3.0819499999999999E-4</v>
      </c>
      <c r="G1677" s="8">
        <v>2.2273200000000001E-4</v>
      </c>
      <c r="H1677" s="8">
        <v>2.2410440000000001E-4</v>
      </c>
      <c r="I1677" s="8">
        <v>2.319489E-4</v>
      </c>
      <c r="J1677" s="8">
        <v>2.2532969999999999E-4</v>
      </c>
      <c r="K1677" s="8">
        <v>2.1851379999999999E-4</v>
      </c>
      <c r="L1677" s="8">
        <v>2.1065E-4</v>
      </c>
      <c r="M1677" s="8">
        <v>2.012464E-4</v>
      </c>
      <c r="N1677" s="8">
        <v>1.921569E-4</v>
      </c>
      <c r="O1677">
        <v>0</v>
      </c>
      <c r="P1677">
        <v>0</v>
      </c>
      <c r="Q1677">
        <v>0</v>
      </c>
      <c r="R1677" t="s">
        <v>243</v>
      </c>
    </row>
    <row r="1678" spans="1:18" x14ac:dyDescent="0.3">
      <c r="A1678" t="s">
        <v>259</v>
      </c>
      <c r="B1678" t="s">
        <v>108</v>
      </c>
      <c r="C1678" t="s">
        <v>338</v>
      </c>
      <c r="D1678">
        <v>1.4599700000000001E-3</v>
      </c>
      <c r="E1678" s="8">
        <v>1.3751E-4</v>
      </c>
      <c r="F1678" s="8">
        <v>2.42554E-4</v>
      </c>
      <c r="G1678" s="8">
        <v>1.7662999999999999E-4</v>
      </c>
      <c r="H1678" s="8">
        <v>1.763465E-4</v>
      </c>
      <c r="I1678" s="8">
        <v>1.8199709999999999E-4</v>
      </c>
      <c r="J1678" s="8">
        <v>1.76565E-4</v>
      </c>
      <c r="K1678" s="8">
        <v>1.711138E-4</v>
      </c>
      <c r="L1678" s="8">
        <v>1.6493589999999999E-4</v>
      </c>
      <c r="M1678" s="8">
        <v>1.5769159999999999E-4</v>
      </c>
      <c r="N1678" s="8">
        <v>1.507305E-4</v>
      </c>
      <c r="O1678">
        <v>0</v>
      </c>
      <c r="P1678">
        <v>0</v>
      </c>
      <c r="Q1678">
        <v>0</v>
      </c>
      <c r="R1678" t="s">
        <v>243</v>
      </c>
    </row>
    <row r="1679" spans="1:18" x14ac:dyDescent="0.3">
      <c r="A1679" t="s">
        <v>259</v>
      </c>
      <c r="B1679" t="s">
        <v>108</v>
      </c>
      <c r="C1679" t="s">
        <v>339</v>
      </c>
      <c r="D1679">
        <v>1.2243099999999999E-3</v>
      </c>
      <c r="E1679" s="8">
        <v>1.09443E-4</v>
      </c>
      <c r="F1679" s="8">
        <v>1.9854700000000001E-4</v>
      </c>
      <c r="G1679" s="8">
        <v>1.4427400000000001E-4</v>
      </c>
      <c r="H1679" s="8">
        <v>1.4302109999999999E-4</v>
      </c>
      <c r="I1679" s="8">
        <v>1.4762379999999999E-4</v>
      </c>
      <c r="J1679" s="8">
        <v>1.430793E-4</v>
      </c>
      <c r="K1679" s="8">
        <v>1.3858929999999999E-4</v>
      </c>
      <c r="L1679" s="8">
        <v>1.335505E-4</v>
      </c>
      <c r="M1679" s="8">
        <v>1.2757600000000001E-4</v>
      </c>
      <c r="N1679" s="8">
        <v>1.21925699999999E-4</v>
      </c>
      <c r="O1679">
        <v>0</v>
      </c>
      <c r="P1679">
        <v>0</v>
      </c>
      <c r="Q1679">
        <v>0</v>
      </c>
      <c r="R1679" t="s">
        <v>243</v>
      </c>
    </row>
    <row r="1680" spans="1:18" x14ac:dyDescent="0.3">
      <c r="A1680" t="s">
        <v>259</v>
      </c>
      <c r="B1680" t="s">
        <v>108</v>
      </c>
      <c r="C1680" t="s">
        <v>340</v>
      </c>
      <c r="D1680">
        <v>1.0207E-3</v>
      </c>
      <c r="E1680" s="8">
        <v>8.8788000000000004E-5</v>
      </c>
      <c r="F1680" s="8">
        <v>1.6589E-4</v>
      </c>
      <c r="G1680" s="8">
        <v>1.2060700000000001E-4</v>
      </c>
      <c r="H1680" s="8">
        <v>1.193105E-4</v>
      </c>
      <c r="I1680" s="8">
        <v>1.231149E-4</v>
      </c>
      <c r="J1680" s="8">
        <v>1.19184E-4</v>
      </c>
      <c r="K1680" s="8">
        <v>1.152886E-4</v>
      </c>
      <c r="L1680" s="8">
        <v>7.4327799999999997E-5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243</v>
      </c>
    </row>
    <row r="1681" spans="1:18" x14ac:dyDescent="0.3">
      <c r="A1681" t="s">
        <v>259</v>
      </c>
      <c r="B1681" t="s">
        <v>108</v>
      </c>
      <c r="C1681" t="s">
        <v>341</v>
      </c>
      <c r="D1681" s="8">
        <v>8.4296000000000002E-4</v>
      </c>
      <c r="E1681" s="8">
        <v>7.2620099999999999E-5</v>
      </c>
      <c r="F1681" s="8">
        <v>1.3857400000000001E-4</v>
      </c>
      <c r="G1681" s="8">
        <v>1.02558E-4</v>
      </c>
      <c r="H1681" s="8">
        <v>1.0178759999999999E-4</v>
      </c>
      <c r="I1681" s="8">
        <v>1.048306E-4</v>
      </c>
      <c r="J1681" s="8">
        <v>1.0133659999999999E-4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243</v>
      </c>
    </row>
    <row r="1682" spans="1:18" x14ac:dyDescent="0.3">
      <c r="A1682" t="s">
        <v>259</v>
      </c>
      <c r="B1682" t="s">
        <v>108</v>
      </c>
      <c r="C1682" t="s">
        <v>342</v>
      </c>
      <c r="D1682" s="8">
        <v>6.9117600000000005E-4</v>
      </c>
      <c r="E1682" s="8">
        <v>5.8139700000000002E-5</v>
      </c>
      <c r="F1682" s="8">
        <v>1.13579E-4</v>
      </c>
      <c r="G1682" s="8">
        <v>8.3392000000000004E-5</v>
      </c>
      <c r="H1682" s="8">
        <v>8.2503200000000007E-5</v>
      </c>
      <c r="I1682" s="8">
        <v>8.5039799999999999E-5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243</v>
      </c>
    </row>
    <row r="1683" spans="1:18" x14ac:dyDescent="0.3">
      <c r="A1683" t="s">
        <v>259</v>
      </c>
      <c r="B1683" t="s">
        <v>108</v>
      </c>
      <c r="C1683" t="s">
        <v>343</v>
      </c>
      <c r="D1683" s="8">
        <v>5.0475200000000002E-4</v>
      </c>
      <c r="E1683" s="8">
        <v>4.4416899999999998E-5</v>
      </c>
      <c r="F1683" s="8">
        <v>8.5562999999999994E-5</v>
      </c>
      <c r="G1683" s="8">
        <v>6.4465499999999995E-5</v>
      </c>
      <c r="H1683" s="8">
        <v>6.3950700000000004E-5</v>
      </c>
      <c r="I1683" s="8">
        <v>5.7829199999999999E-5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243</v>
      </c>
    </row>
    <row r="1684" spans="1:18" x14ac:dyDescent="0.3">
      <c r="A1684" t="s">
        <v>259</v>
      </c>
      <c r="B1684" t="s">
        <v>108</v>
      </c>
      <c r="C1684" t="s">
        <v>284</v>
      </c>
      <c r="D1684">
        <v>1.1009437572399999E-3</v>
      </c>
      <c r="E1684" s="8">
        <v>5.81657126E-4</v>
      </c>
      <c r="F1684" s="8">
        <v>6.4336680439999998E-4</v>
      </c>
      <c r="G1684" s="8">
        <v>5.4149698299999903E-4</v>
      </c>
      <c r="H1684" s="8">
        <v>6.4582002899999996E-4</v>
      </c>
      <c r="I1684" s="8">
        <v>7.5786362493000001E-4</v>
      </c>
      <c r="J1684" s="8">
        <v>8.5058185770999905E-4</v>
      </c>
      <c r="K1684" s="8">
        <v>8.6769578146000004E-4</v>
      </c>
      <c r="L1684" s="8">
        <v>8.4251085531999905E-4</v>
      </c>
      <c r="M1684" s="8">
        <v>8.0463367889999895E-4</v>
      </c>
      <c r="N1684" s="8">
        <v>7.5660530609999999E-4</v>
      </c>
      <c r="O1684">
        <v>0</v>
      </c>
      <c r="P1684">
        <v>0</v>
      </c>
      <c r="Q1684">
        <v>0</v>
      </c>
      <c r="R1684" t="s">
        <v>243</v>
      </c>
    </row>
    <row r="1685" spans="1:18" x14ac:dyDescent="0.3">
      <c r="A1685" t="s">
        <v>259</v>
      </c>
      <c r="B1685" t="s">
        <v>108</v>
      </c>
      <c r="C1685" t="s">
        <v>285</v>
      </c>
      <c r="D1685">
        <v>7.2201560585999896E-3</v>
      </c>
      <c r="E1685">
        <v>7.3711867299999997E-3</v>
      </c>
      <c r="F1685">
        <v>7.0871281149999998E-3</v>
      </c>
      <c r="G1685">
        <v>5.3604962200000002E-3</v>
      </c>
      <c r="H1685">
        <v>5.4340411899999903E-3</v>
      </c>
      <c r="I1685">
        <v>5.7363843600000001E-3</v>
      </c>
      <c r="J1685">
        <v>5.6141108340000004E-3</v>
      </c>
      <c r="K1685">
        <v>5.23392141299999E-3</v>
      </c>
      <c r="L1685">
        <v>4.8629565779999898E-3</v>
      </c>
      <c r="M1685">
        <v>4.4644280719999896E-3</v>
      </c>
      <c r="N1685">
        <v>4.0656083829999998E-3</v>
      </c>
      <c r="O1685">
        <v>0</v>
      </c>
      <c r="P1685">
        <v>0</v>
      </c>
      <c r="Q1685">
        <v>0</v>
      </c>
      <c r="R1685" t="s">
        <v>243</v>
      </c>
    </row>
    <row r="1686" spans="1:18" x14ac:dyDescent="0.3">
      <c r="A1686" t="s">
        <v>259</v>
      </c>
      <c r="B1686" t="s">
        <v>108</v>
      </c>
      <c r="C1686" t="s">
        <v>286</v>
      </c>
      <c r="D1686">
        <v>1.8429723193700001E-3</v>
      </c>
      <c r="E1686">
        <v>1.103314332E-3</v>
      </c>
      <c r="F1686">
        <v>1.2399768788999999E-3</v>
      </c>
      <c r="G1686">
        <v>1.034856485E-3</v>
      </c>
      <c r="H1686">
        <v>1.1481982899999999E-3</v>
      </c>
      <c r="I1686">
        <v>1.3214736755E-3</v>
      </c>
      <c r="J1686">
        <v>1.4635647602999999E-3</v>
      </c>
      <c r="K1686">
        <v>1.48267378027E-3</v>
      </c>
      <c r="L1686">
        <v>1.4397668712399999E-3</v>
      </c>
      <c r="M1686">
        <v>1.3767890537E-3</v>
      </c>
      <c r="N1686">
        <v>1.298344302E-3</v>
      </c>
      <c r="O1686">
        <v>0</v>
      </c>
      <c r="P1686">
        <v>0</v>
      </c>
      <c r="Q1686">
        <v>0</v>
      </c>
      <c r="R1686" t="s">
        <v>243</v>
      </c>
    </row>
    <row r="1687" spans="1:18" x14ac:dyDescent="0.3">
      <c r="A1687" t="s">
        <v>259</v>
      </c>
      <c r="B1687" t="s">
        <v>108</v>
      </c>
      <c r="C1687" t="s">
        <v>287</v>
      </c>
      <c r="D1687">
        <v>2.4499086941299898E-3</v>
      </c>
      <c r="E1687">
        <v>1.54979436E-3</v>
      </c>
      <c r="F1687">
        <v>1.69021134E-3</v>
      </c>
      <c r="G1687">
        <v>1.4112015539999999E-3</v>
      </c>
      <c r="H1687">
        <v>1.514435256E-3</v>
      </c>
      <c r="I1687">
        <v>1.7367509205999899E-3</v>
      </c>
      <c r="J1687">
        <v>1.8949970155E-3</v>
      </c>
      <c r="K1687">
        <v>1.9026527112899999E-3</v>
      </c>
      <c r="L1687">
        <v>1.8390773950700001E-3</v>
      </c>
      <c r="M1687">
        <v>1.7484398775999999E-3</v>
      </c>
      <c r="N1687">
        <v>1.63987837799999E-3</v>
      </c>
      <c r="O1687">
        <v>0</v>
      </c>
      <c r="P1687">
        <v>0</v>
      </c>
      <c r="Q1687">
        <v>0</v>
      </c>
      <c r="R1687" t="s">
        <v>243</v>
      </c>
    </row>
    <row r="1688" spans="1:18" x14ac:dyDescent="0.3">
      <c r="A1688" t="s">
        <v>259</v>
      </c>
      <c r="B1688" t="s">
        <v>108</v>
      </c>
      <c r="C1688" t="s">
        <v>288</v>
      </c>
      <c r="D1688">
        <v>2.8802059189899998E-3</v>
      </c>
      <c r="E1688">
        <v>1.9627985129999901E-3</v>
      </c>
      <c r="F1688">
        <v>2.110657583E-3</v>
      </c>
      <c r="G1688">
        <v>1.7421215999999999E-3</v>
      </c>
      <c r="H1688">
        <v>1.829005238E-3</v>
      </c>
      <c r="I1688">
        <v>2.0715686891999898E-3</v>
      </c>
      <c r="J1688">
        <v>2.2427351552999999E-3</v>
      </c>
      <c r="K1688">
        <v>2.2395646561199998E-3</v>
      </c>
      <c r="L1688">
        <v>2.1598843349099998E-3</v>
      </c>
      <c r="M1688">
        <v>2.0541101679999998E-3</v>
      </c>
      <c r="N1688">
        <v>1.9284060459999999E-3</v>
      </c>
      <c r="O1688">
        <v>0</v>
      </c>
      <c r="P1688">
        <v>0</v>
      </c>
      <c r="Q1688">
        <v>0</v>
      </c>
      <c r="R1688" t="s">
        <v>243</v>
      </c>
    </row>
    <row r="1689" spans="1:18" x14ac:dyDescent="0.3">
      <c r="A1689" t="s">
        <v>259</v>
      </c>
      <c r="B1689" t="s">
        <v>108</v>
      </c>
      <c r="C1689" t="s">
        <v>289</v>
      </c>
      <c r="D1689">
        <v>3.3070772981399999E-3</v>
      </c>
      <c r="E1689">
        <v>2.4061224029999998E-3</v>
      </c>
      <c r="F1689">
        <v>2.5173852409999999E-3</v>
      </c>
      <c r="G1689">
        <v>2.0721918199999999E-3</v>
      </c>
      <c r="H1689">
        <v>2.1287170219999999E-3</v>
      </c>
      <c r="I1689">
        <v>2.4049030415E-3</v>
      </c>
      <c r="J1689">
        <v>2.5848978679000002E-3</v>
      </c>
      <c r="K1689">
        <v>2.5676779347399998E-3</v>
      </c>
      <c r="L1689">
        <v>2.4694672055700002E-3</v>
      </c>
      <c r="M1689">
        <v>2.336959863E-3</v>
      </c>
      <c r="N1689">
        <v>2.1874904659999902E-3</v>
      </c>
      <c r="O1689">
        <v>0</v>
      </c>
      <c r="P1689">
        <v>0</v>
      </c>
      <c r="Q1689">
        <v>0</v>
      </c>
      <c r="R1689" t="s">
        <v>243</v>
      </c>
    </row>
    <row r="1690" spans="1:18" x14ac:dyDescent="0.3">
      <c r="A1690" t="s">
        <v>259</v>
      </c>
      <c r="B1690" t="s">
        <v>108</v>
      </c>
      <c r="C1690" t="s">
        <v>290</v>
      </c>
      <c r="D1690">
        <v>3.7803125942E-3</v>
      </c>
      <c r="E1690">
        <v>2.8725515839999999E-3</v>
      </c>
      <c r="F1690">
        <v>2.927340241E-3</v>
      </c>
      <c r="G1690">
        <v>2.39717231E-3</v>
      </c>
      <c r="H1690">
        <v>2.4482649739999899E-3</v>
      </c>
      <c r="I1690">
        <v>2.7530037382999901E-3</v>
      </c>
      <c r="J1690">
        <v>2.9327633606000001E-3</v>
      </c>
      <c r="K1690">
        <v>2.8892240991E-3</v>
      </c>
      <c r="L1690">
        <v>2.7644797266400001E-3</v>
      </c>
      <c r="M1690">
        <v>2.6093458739999899E-3</v>
      </c>
      <c r="N1690">
        <v>2.4353491600000001E-3</v>
      </c>
      <c r="O1690">
        <v>0</v>
      </c>
      <c r="P1690">
        <v>0</v>
      </c>
      <c r="Q1690">
        <v>0</v>
      </c>
      <c r="R1690" t="s">
        <v>243</v>
      </c>
    </row>
    <row r="1691" spans="1:18" x14ac:dyDescent="0.3">
      <c r="A1691" t="s">
        <v>259</v>
      </c>
      <c r="B1691" t="s">
        <v>108</v>
      </c>
      <c r="C1691" t="s">
        <v>291</v>
      </c>
      <c r="D1691">
        <v>4.3082698181999999E-3</v>
      </c>
      <c r="E1691">
        <v>3.3768863369999999E-3</v>
      </c>
      <c r="F1691">
        <v>3.3810998900000002E-3</v>
      </c>
      <c r="G1691">
        <v>2.7172719000000001E-3</v>
      </c>
      <c r="H1691">
        <v>2.8069578369999998E-3</v>
      </c>
      <c r="I1691">
        <v>3.1219329363999901E-3</v>
      </c>
      <c r="J1691">
        <v>3.2904319002E-3</v>
      </c>
      <c r="K1691">
        <v>3.2311785501999901E-3</v>
      </c>
      <c r="L1691">
        <v>3.08958618119999E-3</v>
      </c>
      <c r="M1691">
        <v>2.9096436719999999E-3</v>
      </c>
      <c r="N1691">
        <v>2.7092065799999999E-3</v>
      </c>
      <c r="O1691">
        <v>0</v>
      </c>
      <c r="P1691">
        <v>0</v>
      </c>
      <c r="Q1691">
        <v>0</v>
      </c>
      <c r="R1691" t="s">
        <v>243</v>
      </c>
    </row>
    <row r="1692" spans="1:18" x14ac:dyDescent="0.3">
      <c r="A1692" t="s">
        <v>259</v>
      </c>
      <c r="B1692" t="s">
        <v>108</v>
      </c>
      <c r="C1692" t="s">
        <v>292</v>
      </c>
      <c r="D1692">
        <v>4.8808816363999996E-3</v>
      </c>
      <c r="E1692">
        <v>3.9986950610000002E-3</v>
      </c>
      <c r="F1692">
        <v>3.9324443019999999E-3</v>
      </c>
      <c r="G1692">
        <v>3.1599309299999998E-3</v>
      </c>
      <c r="H1692">
        <v>3.22664463E-3</v>
      </c>
      <c r="I1692">
        <v>3.5757578110999898E-3</v>
      </c>
      <c r="J1692">
        <v>3.7290971265999898E-3</v>
      </c>
      <c r="K1692">
        <v>3.6272658505999899E-3</v>
      </c>
      <c r="L1692">
        <v>3.4503136584899999E-3</v>
      </c>
      <c r="M1692">
        <v>3.2330821780000001E-3</v>
      </c>
      <c r="N1692">
        <v>2.9980023699999999E-3</v>
      </c>
      <c r="O1692">
        <v>0</v>
      </c>
      <c r="P1692">
        <v>0</v>
      </c>
      <c r="Q1692">
        <v>0</v>
      </c>
      <c r="R1692" t="s">
        <v>243</v>
      </c>
    </row>
    <row r="1693" spans="1:18" x14ac:dyDescent="0.3">
      <c r="A1693" t="s">
        <v>259</v>
      </c>
      <c r="B1693" t="s">
        <v>108</v>
      </c>
      <c r="C1693" t="s">
        <v>293</v>
      </c>
      <c r="D1693">
        <v>5.8133076416999998E-3</v>
      </c>
      <c r="E1693">
        <v>4.8362356549999904E-3</v>
      </c>
      <c r="F1693">
        <v>4.8022761739999996E-3</v>
      </c>
      <c r="G1693">
        <v>3.7581501699999998E-3</v>
      </c>
      <c r="H1693">
        <v>3.8584302299999999E-3</v>
      </c>
      <c r="I1693">
        <v>4.2088181822000003E-3</v>
      </c>
      <c r="J1693">
        <v>4.3109298341999901E-3</v>
      </c>
      <c r="K1693">
        <v>4.1480929881000002E-3</v>
      </c>
      <c r="L1693">
        <v>3.91813465099E-3</v>
      </c>
      <c r="M1693">
        <v>3.646672146E-3</v>
      </c>
      <c r="N1693">
        <v>3.36040682499999E-3</v>
      </c>
      <c r="O1693">
        <v>0</v>
      </c>
      <c r="P1693">
        <v>0</v>
      </c>
      <c r="Q1693">
        <v>0</v>
      </c>
      <c r="R1693" t="s">
        <v>243</v>
      </c>
    </row>
    <row r="1694" spans="1:18" x14ac:dyDescent="0.3">
      <c r="A1694" t="s">
        <v>259</v>
      </c>
      <c r="B1694" t="s">
        <v>108</v>
      </c>
      <c r="C1694" t="s">
        <v>344</v>
      </c>
      <c r="D1694" s="8">
        <v>2.1200900000000001E-4</v>
      </c>
      <c r="E1694" s="8">
        <v>2.31096E-5</v>
      </c>
      <c r="F1694" s="8">
        <v>4.0091700000000001E-5</v>
      </c>
      <c r="G1694" s="8">
        <v>2.8938700000000001E-5</v>
      </c>
      <c r="H1694" s="8">
        <v>3.04638999999999E-5</v>
      </c>
      <c r="I1694" s="8">
        <v>3.169063E-5</v>
      </c>
      <c r="J1694" s="8">
        <v>3.1072469999999901E-5</v>
      </c>
      <c r="K1694" s="8">
        <v>3.024791E-5</v>
      </c>
      <c r="L1694" s="8">
        <v>2.9154139999999999E-5</v>
      </c>
      <c r="M1694" s="8">
        <v>2.786319E-5</v>
      </c>
      <c r="N1694" s="8">
        <v>2.657386E-5</v>
      </c>
      <c r="O1694">
        <v>0</v>
      </c>
      <c r="P1694">
        <v>0</v>
      </c>
      <c r="Q1694">
        <v>0</v>
      </c>
      <c r="R1694" t="s">
        <v>243</v>
      </c>
    </row>
    <row r="1695" spans="1:18" x14ac:dyDescent="0.3">
      <c r="A1695" t="s">
        <v>259</v>
      </c>
      <c r="B1695" t="s">
        <v>108</v>
      </c>
      <c r="C1695" t="s">
        <v>345</v>
      </c>
      <c r="D1695" s="8">
        <v>2.84667E-5</v>
      </c>
      <c r="E1695" s="8">
        <v>2.17428E-6</v>
      </c>
      <c r="F1695" s="8">
        <v>4.2874200000000004E-6</v>
      </c>
      <c r="G1695" s="8">
        <v>3.26288E-6</v>
      </c>
      <c r="H1695" s="8">
        <v>3.2472099999999999E-6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243</v>
      </c>
    </row>
    <row r="1696" spans="1:18" x14ac:dyDescent="0.3">
      <c r="A1696" t="s">
        <v>259</v>
      </c>
      <c r="B1696" t="s">
        <v>108</v>
      </c>
      <c r="C1696" t="s">
        <v>346</v>
      </c>
      <c r="D1696" s="8">
        <v>1.4440300000000001E-4</v>
      </c>
      <c r="E1696" s="8">
        <v>1.4832699999999999E-5</v>
      </c>
      <c r="F1696" s="8">
        <v>2.53316E-5</v>
      </c>
      <c r="G1696" s="8">
        <v>1.8389900000000002E-5</v>
      </c>
      <c r="H1696" s="8">
        <v>1.8751079999999999E-5</v>
      </c>
      <c r="I1696" s="8">
        <v>1.9385910000000001E-5</v>
      </c>
      <c r="J1696" s="8">
        <v>1.8920149999999999E-5</v>
      </c>
      <c r="K1696" s="8">
        <v>1.8389E-5</v>
      </c>
      <c r="L1696" s="8">
        <v>1.772867E-5</v>
      </c>
      <c r="M1696" s="8">
        <v>1.6962019999999999E-5</v>
      </c>
      <c r="N1696" s="8">
        <v>1.6211359999999999E-5</v>
      </c>
      <c r="O1696">
        <v>0</v>
      </c>
      <c r="P1696">
        <v>0</v>
      </c>
      <c r="Q1696">
        <v>0</v>
      </c>
      <c r="R1696" t="s">
        <v>243</v>
      </c>
    </row>
    <row r="1697" spans="1:18" x14ac:dyDescent="0.3">
      <c r="A1697" t="s">
        <v>259</v>
      </c>
      <c r="B1697" t="s">
        <v>108</v>
      </c>
      <c r="C1697" t="s">
        <v>347</v>
      </c>
      <c r="D1697" s="8">
        <v>1.1315900000000001E-4</v>
      </c>
      <c r="E1697" s="8">
        <v>1.13979E-5</v>
      </c>
      <c r="F1697" s="8">
        <v>1.9848100000000001E-5</v>
      </c>
      <c r="G1697" s="8">
        <v>1.43571E-5</v>
      </c>
      <c r="H1697" s="8">
        <v>1.445365E-5</v>
      </c>
      <c r="I1697" s="8">
        <v>1.4935159999999999E-5</v>
      </c>
      <c r="J1697" s="8">
        <v>1.4521850000000001E-5</v>
      </c>
      <c r="K1697" s="8">
        <v>1.408895E-5</v>
      </c>
      <c r="L1697" s="8">
        <v>1.357048E-5</v>
      </c>
      <c r="M1697" s="8">
        <v>1.296969E-5</v>
      </c>
      <c r="N1697" s="8">
        <v>1.238601E-5</v>
      </c>
      <c r="O1697">
        <v>0</v>
      </c>
      <c r="P1697">
        <v>0</v>
      </c>
      <c r="Q1697">
        <v>0</v>
      </c>
      <c r="R1697" t="s">
        <v>243</v>
      </c>
    </row>
    <row r="1698" spans="1:18" x14ac:dyDescent="0.3">
      <c r="A1698" t="s">
        <v>259</v>
      </c>
      <c r="B1698" t="s">
        <v>108</v>
      </c>
      <c r="C1698" t="s">
        <v>348</v>
      </c>
      <c r="D1698" s="8">
        <v>9.7265500000000006E-5</v>
      </c>
      <c r="E1698" s="8">
        <v>9.3678800000000008E-6</v>
      </c>
      <c r="F1698" s="8">
        <v>1.6455300000000002E-5</v>
      </c>
      <c r="G1698" s="8">
        <v>1.19751E-5</v>
      </c>
      <c r="H1698" s="8">
        <v>1.196261E-5</v>
      </c>
      <c r="I1698" s="8">
        <v>1.2325570000000001E-5</v>
      </c>
      <c r="J1698" s="8">
        <v>1.196849E-5</v>
      </c>
      <c r="K1698" s="8">
        <v>1.16043E-5</v>
      </c>
      <c r="L1698" s="8">
        <v>1.1175750000000001E-5</v>
      </c>
      <c r="M1698" s="8">
        <v>1.0689099999999901E-5</v>
      </c>
      <c r="N1698" s="8">
        <v>1.021902E-5</v>
      </c>
      <c r="O1698">
        <v>0</v>
      </c>
      <c r="P1698">
        <v>0</v>
      </c>
      <c r="Q1698">
        <v>0</v>
      </c>
      <c r="R1698" t="s">
        <v>243</v>
      </c>
    </row>
    <row r="1699" spans="1:18" x14ac:dyDescent="0.3">
      <c r="A1699" t="s">
        <v>259</v>
      </c>
      <c r="B1699" t="s">
        <v>108</v>
      </c>
      <c r="C1699" t="s">
        <v>349</v>
      </c>
      <c r="D1699" s="8">
        <v>8.4707800000000002E-5</v>
      </c>
      <c r="E1699" s="8">
        <v>7.8289299999999993E-6</v>
      </c>
      <c r="F1699" s="8">
        <v>1.4060700000000001E-5</v>
      </c>
      <c r="G1699" s="8">
        <v>1.02158E-5</v>
      </c>
      <c r="H1699" s="8">
        <v>1.013277E-5</v>
      </c>
      <c r="I1699" s="8">
        <v>1.044148E-5</v>
      </c>
      <c r="J1699" s="8">
        <v>1.012937E-5</v>
      </c>
      <c r="K1699" s="8">
        <v>9.8159500000000004E-6</v>
      </c>
      <c r="L1699" s="8">
        <v>9.4508900000000006E-6</v>
      </c>
      <c r="M1699" s="8">
        <v>9.03172E-6</v>
      </c>
      <c r="N1699" s="8">
        <v>8.6331799999999992E-6</v>
      </c>
      <c r="O1699">
        <v>0</v>
      </c>
      <c r="P1699">
        <v>0</v>
      </c>
      <c r="Q1699">
        <v>0</v>
      </c>
      <c r="R1699" t="s">
        <v>243</v>
      </c>
    </row>
    <row r="1700" spans="1:18" x14ac:dyDescent="0.3">
      <c r="A1700" t="s">
        <v>259</v>
      </c>
      <c r="B1700" t="s">
        <v>108</v>
      </c>
      <c r="C1700" t="s">
        <v>350</v>
      </c>
      <c r="D1700" s="8">
        <v>7.3403299999999996E-5</v>
      </c>
      <c r="E1700" s="8">
        <v>6.6392699999999997E-6</v>
      </c>
      <c r="F1700" s="8">
        <v>1.2204900000000001E-5</v>
      </c>
      <c r="G1700" s="8">
        <v>8.8715499999999998E-6</v>
      </c>
      <c r="H1700" s="8">
        <v>8.7811800000000002E-6</v>
      </c>
      <c r="I1700" s="8">
        <v>9.0460699999999993E-6</v>
      </c>
      <c r="J1700" s="8">
        <v>8.7653700000000004E-6</v>
      </c>
      <c r="K1700" s="8">
        <v>8.4827299999999997E-6</v>
      </c>
      <c r="L1700" s="8">
        <v>8.1599699999999994E-6</v>
      </c>
      <c r="M1700" s="8">
        <v>7.7978699999999999E-6</v>
      </c>
      <c r="N1700" s="8">
        <v>7.4529899999999998E-6</v>
      </c>
      <c r="O1700">
        <v>0</v>
      </c>
      <c r="P1700">
        <v>0</v>
      </c>
      <c r="Q1700">
        <v>0</v>
      </c>
      <c r="R1700" t="s">
        <v>243</v>
      </c>
    </row>
    <row r="1701" spans="1:18" x14ac:dyDescent="0.3">
      <c r="A1701" t="s">
        <v>259</v>
      </c>
      <c r="B1701" t="s">
        <v>108</v>
      </c>
      <c r="C1701" t="s">
        <v>351</v>
      </c>
      <c r="D1701" s="8">
        <v>6.3112299999999995E-5</v>
      </c>
      <c r="E1701" s="8">
        <v>5.66477E-6</v>
      </c>
      <c r="F1701" s="8">
        <v>1.0588799999999999E-5</v>
      </c>
      <c r="G1701" s="8">
        <v>7.8048399999999996E-6</v>
      </c>
      <c r="H1701" s="8">
        <v>7.7505600000000005E-6</v>
      </c>
      <c r="I1701" s="8">
        <v>7.9689900000000004E-6</v>
      </c>
      <c r="J1701" s="8">
        <v>7.7104800000000004E-6</v>
      </c>
      <c r="K1701" s="8">
        <v>7.4648199999999998E-6</v>
      </c>
      <c r="L1701" s="8">
        <v>7.1861200000000002E-6</v>
      </c>
      <c r="M1701" s="8">
        <v>6.8687400000000002E-6</v>
      </c>
      <c r="N1701" s="8">
        <v>6.5659999999999902E-6</v>
      </c>
      <c r="O1701">
        <v>0</v>
      </c>
      <c r="P1701">
        <v>0</v>
      </c>
      <c r="Q1701">
        <v>0</v>
      </c>
      <c r="R1701" t="s">
        <v>243</v>
      </c>
    </row>
    <row r="1702" spans="1:18" x14ac:dyDescent="0.3">
      <c r="A1702" t="s">
        <v>259</v>
      </c>
      <c r="B1702" t="s">
        <v>108</v>
      </c>
      <c r="C1702" t="s">
        <v>352</v>
      </c>
      <c r="D1702" s="8">
        <v>5.3932299999999999E-5</v>
      </c>
      <c r="E1702" s="8">
        <v>4.7510199999999996E-6</v>
      </c>
      <c r="F1702" s="8">
        <v>9.0468199999999992E-6</v>
      </c>
      <c r="G1702" s="8">
        <v>6.6247000000000003E-6</v>
      </c>
      <c r="H1702" s="8">
        <v>6.5578000000000001E-6</v>
      </c>
      <c r="I1702" s="8">
        <v>6.7481499999999999E-6</v>
      </c>
      <c r="J1702" s="8">
        <v>6.525063E-6</v>
      </c>
      <c r="K1702" s="8">
        <v>6.3107789999999998E-6</v>
      </c>
      <c r="L1702" s="8">
        <v>6.0723399999999997E-6</v>
      </c>
      <c r="M1702" s="8">
        <v>5.80186E-6</v>
      </c>
      <c r="N1702" s="8">
        <v>5.54548E-6</v>
      </c>
      <c r="O1702">
        <v>0</v>
      </c>
      <c r="P1702">
        <v>0</v>
      </c>
      <c r="Q1702">
        <v>0</v>
      </c>
      <c r="R1702" t="s">
        <v>243</v>
      </c>
    </row>
    <row r="1703" spans="1:18" x14ac:dyDescent="0.3">
      <c r="A1703" t="s">
        <v>259</v>
      </c>
      <c r="B1703" t="s">
        <v>108</v>
      </c>
      <c r="C1703" t="s">
        <v>353</v>
      </c>
      <c r="D1703" s="8">
        <v>4.2016900000000001E-5</v>
      </c>
      <c r="E1703" s="8">
        <v>3.8347300000000003E-6</v>
      </c>
      <c r="F1703" s="8">
        <v>7.2231200000000001E-6</v>
      </c>
      <c r="G1703" s="8">
        <v>5.4011200000000004E-6</v>
      </c>
      <c r="H1703" s="8">
        <v>5.3610199999999997E-6</v>
      </c>
      <c r="I1703" s="8">
        <v>5.5072399999999998E-6</v>
      </c>
      <c r="J1703" s="8">
        <v>5.3169369999999901E-6</v>
      </c>
      <c r="K1703" s="8">
        <v>2.57425599999999E-6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s">
        <v>243</v>
      </c>
    </row>
    <row r="1704" spans="1:18" x14ac:dyDescent="0.3">
      <c r="A1704" t="s">
        <v>259</v>
      </c>
      <c r="B1704" t="s">
        <v>108</v>
      </c>
      <c r="C1704" t="s">
        <v>294</v>
      </c>
      <c r="D1704" s="8">
        <v>1.8462028304E-4</v>
      </c>
      <c r="E1704" s="8">
        <v>7.9693198599999995E-5</v>
      </c>
      <c r="F1704" s="8">
        <v>8.7968562999999995E-5</v>
      </c>
      <c r="G1704" s="8">
        <v>7.3519830999999904E-5</v>
      </c>
      <c r="H1704" s="8">
        <v>8.6211995E-5</v>
      </c>
      <c r="I1704" s="8">
        <v>1.02483416999999E-4</v>
      </c>
      <c r="J1704" s="8">
        <v>1.19854976E-4</v>
      </c>
      <c r="K1704" s="8">
        <v>1.26267319E-4</v>
      </c>
      <c r="L1704" s="8">
        <v>1.2568410119999899E-4</v>
      </c>
      <c r="M1704" s="8">
        <v>1.234434785E-4</v>
      </c>
      <c r="N1704" s="8">
        <v>1.195394546E-4</v>
      </c>
      <c r="O1704">
        <v>0</v>
      </c>
      <c r="P1704">
        <v>0</v>
      </c>
      <c r="Q1704">
        <v>0</v>
      </c>
      <c r="R1704" t="s">
        <v>243</v>
      </c>
    </row>
    <row r="1705" spans="1:18" x14ac:dyDescent="0.3">
      <c r="A1705" t="s">
        <v>259</v>
      </c>
      <c r="B1705" t="s">
        <v>108</v>
      </c>
      <c r="C1705" t="s">
        <v>295</v>
      </c>
      <c r="D1705">
        <v>1.3655725893000001E-3</v>
      </c>
      <c r="E1705">
        <v>1.152790845E-3</v>
      </c>
      <c r="F1705">
        <v>1.10284523E-3</v>
      </c>
      <c r="G1705" s="8">
        <v>8.3808817000000004E-4</v>
      </c>
      <c r="H1705" s="8">
        <v>8.8618823000000005E-4</v>
      </c>
      <c r="I1705" s="8">
        <v>9.9873152999999993E-4</v>
      </c>
      <c r="J1705">
        <v>1.0636012859999999E-3</v>
      </c>
      <c r="K1705">
        <v>1.0599016749999999E-3</v>
      </c>
      <c r="L1705">
        <v>1.0329320359999999E-3</v>
      </c>
      <c r="M1705" s="8">
        <v>9.9394418699999998E-4</v>
      </c>
      <c r="N1705" s="8">
        <v>9.4985575999999902E-4</v>
      </c>
      <c r="O1705">
        <v>0</v>
      </c>
      <c r="P1705">
        <v>0</v>
      </c>
      <c r="Q1705">
        <v>0</v>
      </c>
      <c r="R1705" t="s">
        <v>243</v>
      </c>
    </row>
    <row r="1706" spans="1:18" x14ac:dyDescent="0.3">
      <c r="A1706" t="s">
        <v>259</v>
      </c>
      <c r="B1706" t="s">
        <v>108</v>
      </c>
      <c r="C1706" t="s">
        <v>296</v>
      </c>
      <c r="D1706" s="8">
        <v>3.1321922371999999E-4</v>
      </c>
      <c r="E1706" s="8">
        <v>1.5277409699999999E-4</v>
      </c>
      <c r="F1706" s="8">
        <v>1.7163341800000001E-4</v>
      </c>
      <c r="G1706" s="8">
        <v>1.4252671999999999E-4</v>
      </c>
      <c r="H1706" s="8">
        <v>1.5620730400000001E-4</v>
      </c>
      <c r="I1706" s="8">
        <v>1.8405733700000001E-4</v>
      </c>
      <c r="J1706" s="8">
        <v>2.1465230800000001E-4</v>
      </c>
      <c r="K1706" s="8">
        <v>2.2597567600000001E-4</v>
      </c>
      <c r="L1706" s="8">
        <v>2.2604800319999901E-4</v>
      </c>
      <c r="M1706" s="8">
        <v>2.2336056900000001E-4</v>
      </c>
      <c r="N1706" s="8">
        <v>2.1798532200000001E-4</v>
      </c>
      <c r="O1706">
        <v>0</v>
      </c>
      <c r="P1706">
        <v>0</v>
      </c>
      <c r="Q1706">
        <v>0</v>
      </c>
      <c r="R1706" t="s">
        <v>243</v>
      </c>
    </row>
    <row r="1707" spans="1:18" x14ac:dyDescent="0.3">
      <c r="A1707" t="s">
        <v>259</v>
      </c>
      <c r="B1707" t="s">
        <v>108</v>
      </c>
      <c r="C1707" t="s">
        <v>297</v>
      </c>
      <c r="D1707" s="8">
        <v>4.2086255306000002E-4</v>
      </c>
      <c r="E1707" s="8">
        <v>2.1642267E-4</v>
      </c>
      <c r="F1707" s="8">
        <v>2.3599978299999999E-4</v>
      </c>
      <c r="G1707" s="8">
        <v>1.9638237999999999E-4</v>
      </c>
      <c r="H1707" s="8">
        <v>2.0879588799999901E-4</v>
      </c>
      <c r="I1707" s="8">
        <v>2.4654346000000001E-4</v>
      </c>
      <c r="J1707" s="8">
        <v>2.84659625999999E-4</v>
      </c>
      <c r="K1707" s="8">
        <v>2.98048916E-4</v>
      </c>
      <c r="L1707" s="8">
        <v>2.97509806999999E-4</v>
      </c>
      <c r="M1707" s="8">
        <v>2.9288392699999897E-4</v>
      </c>
      <c r="N1707" s="8">
        <v>2.8487231799999898E-4</v>
      </c>
      <c r="O1707">
        <v>0</v>
      </c>
      <c r="P1707">
        <v>0</v>
      </c>
      <c r="Q1707">
        <v>0</v>
      </c>
      <c r="R1707" t="s">
        <v>243</v>
      </c>
    </row>
    <row r="1708" spans="1:18" x14ac:dyDescent="0.3">
      <c r="A1708" t="s">
        <v>259</v>
      </c>
      <c r="B1708" t="s">
        <v>108</v>
      </c>
      <c r="C1708" t="s">
        <v>298</v>
      </c>
      <c r="D1708" s="8">
        <v>4.9857680773E-4</v>
      </c>
      <c r="E1708" s="8">
        <v>2.7619225799999997E-4</v>
      </c>
      <c r="F1708" s="8">
        <v>2.97061338E-4</v>
      </c>
      <c r="G1708" s="8">
        <v>2.4461869E-4</v>
      </c>
      <c r="H1708" s="8">
        <v>2.55092081E-4</v>
      </c>
      <c r="I1708" s="8">
        <v>2.98514841E-4</v>
      </c>
      <c r="J1708" s="8">
        <v>3.43339430999999E-4</v>
      </c>
      <c r="K1708" s="8">
        <v>3.58633418999999E-4</v>
      </c>
      <c r="L1708" s="8">
        <v>3.5794017600000001E-4</v>
      </c>
      <c r="M1708" s="8">
        <v>3.53298215E-4</v>
      </c>
      <c r="N1708" s="8">
        <v>3.44766336E-4</v>
      </c>
      <c r="O1708">
        <v>0</v>
      </c>
      <c r="P1708">
        <v>0</v>
      </c>
      <c r="Q1708">
        <v>0</v>
      </c>
      <c r="R1708" t="s">
        <v>243</v>
      </c>
    </row>
    <row r="1709" spans="1:18" x14ac:dyDescent="0.3">
      <c r="A1709" t="s">
        <v>259</v>
      </c>
      <c r="B1709" t="s">
        <v>108</v>
      </c>
      <c r="C1709" t="s">
        <v>299</v>
      </c>
      <c r="D1709" s="8">
        <v>5.7687477105E-4</v>
      </c>
      <c r="E1709" s="8">
        <v>3.4131768399999998E-4</v>
      </c>
      <c r="F1709" s="8">
        <v>3.5702415599999998E-4</v>
      </c>
      <c r="G1709" s="8">
        <v>2.9357671999999998E-4</v>
      </c>
      <c r="H1709" s="8">
        <v>3.0015687400000002E-4</v>
      </c>
      <c r="I1709" s="8">
        <v>3.5163763499999998E-4</v>
      </c>
      <c r="J1709" s="8">
        <v>4.0292647899999999E-4</v>
      </c>
      <c r="K1709" s="8">
        <v>4.1978565900000002E-4</v>
      </c>
      <c r="L1709" s="8">
        <v>4.1855915700000001E-4</v>
      </c>
      <c r="M1709" s="8">
        <v>4.1160911399999999E-4</v>
      </c>
      <c r="N1709" s="8">
        <v>4.01065375E-4</v>
      </c>
      <c r="O1709">
        <v>0</v>
      </c>
      <c r="P1709">
        <v>0</v>
      </c>
      <c r="Q1709">
        <v>0</v>
      </c>
      <c r="R1709" t="s">
        <v>243</v>
      </c>
    </row>
    <row r="1710" spans="1:18" x14ac:dyDescent="0.3">
      <c r="A1710" t="s">
        <v>259</v>
      </c>
      <c r="B1710" t="s">
        <v>108</v>
      </c>
      <c r="C1710" t="s">
        <v>300</v>
      </c>
      <c r="D1710" s="8">
        <v>6.6515678272000001E-4</v>
      </c>
      <c r="E1710" s="8">
        <v>4.10947269E-4</v>
      </c>
      <c r="F1710" s="8">
        <v>4.1837221900000002E-4</v>
      </c>
      <c r="G1710" s="8">
        <v>3.4263379E-4</v>
      </c>
      <c r="H1710" s="8">
        <v>3.49399073E-4</v>
      </c>
      <c r="I1710" s="8">
        <v>4.0886009599999998E-4</v>
      </c>
      <c r="J1710" s="8">
        <v>4.6581567599999899E-4</v>
      </c>
      <c r="K1710" s="8">
        <v>4.8241518199999898E-4</v>
      </c>
      <c r="L1710" s="8">
        <v>4.7922858699999999E-4</v>
      </c>
      <c r="M1710" s="8">
        <v>4.7079567599999999E-4</v>
      </c>
      <c r="N1710" s="8">
        <v>4.5806034399999899E-4</v>
      </c>
      <c r="O1710">
        <v>0</v>
      </c>
      <c r="P1710">
        <v>0</v>
      </c>
      <c r="Q1710">
        <v>0</v>
      </c>
      <c r="R1710" t="s">
        <v>243</v>
      </c>
    </row>
    <row r="1711" spans="1:18" x14ac:dyDescent="0.3">
      <c r="A1711" t="s">
        <v>259</v>
      </c>
      <c r="B1711" t="s">
        <v>108</v>
      </c>
      <c r="C1711" t="s">
        <v>301</v>
      </c>
      <c r="D1711" s="8">
        <v>7.6559537500000001E-4</v>
      </c>
      <c r="E1711" s="8">
        <v>4.8755869500000001E-4</v>
      </c>
      <c r="F1711" s="8">
        <v>4.8737955900000001E-4</v>
      </c>
      <c r="G1711" s="8">
        <v>3.9182101E-4</v>
      </c>
      <c r="H1711" s="8">
        <v>4.0622001699999998E-4</v>
      </c>
      <c r="I1711" s="8">
        <v>4.71532104E-4</v>
      </c>
      <c r="J1711" s="8">
        <v>5.3300364200000003E-4</v>
      </c>
      <c r="K1711" s="8">
        <v>5.5201075499999896E-4</v>
      </c>
      <c r="L1711" s="8">
        <v>5.4928984399999999E-4</v>
      </c>
      <c r="M1711" s="8">
        <v>5.3935087300000005E-4</v>
      </c>
      <c r="N1711" s="8">
        <v>5.2434091200000003E-4</v>
      </c>
      <c r="O1711">
        <v>0</v>
      </c>
      <c r="P1711">
        <v>0</v>
      </c>
      <c r="Q1711">
        <v>0</v>
      </c>
      <c r="R1711" t="s">
        <v>243</v>
      </c>
    </row>
    <row r="1712" spans="1:18" x14ac:dyDescent="0.3">
      <c r="A1712" t="s">
        <v>259</v>
      </c>
      <c r="B1712" t="s">
        <v>108</v>
      </c>
      <c r="C1712" t="s">
        <v>302</v>
      </c>
      <c r="D1712" s="8">
        <v>8.7704923100000002E-4</v>
      </c>
      <c r="E1712" s="8">
        <v>5.8399988600000001E-4</v>
      </c>
      <c r="F1712" s="8">
        <v>5.7285943999999997E-4</v>
      </c>
      <c r="G1712" s="8">
        <v>4.6133806999999998E-4</v>
      </c>
      <c r="H1712" s="8">
        <v>4.7481760300000002E-4</v>
      </c>
      <c r="I1712" s="8">
        <v>5.5178751499999998E-4</v>
      </c>
      <c r="J1712" s="8">
        <v>6.19605539999999E-4</v>
      </c>
      <c r="K1712" s="8">
        <v>6.3755255799999896E-4</v>
      </c>
      <c r="L1712" s="8">
        <v>6.3240269199999995E-4</v>
      </c>
      <c r="M1712" s="8">
        <v>6.1885063799999897E-4</v>
      </c>
      <c r="N1712" s="8">
        <v>6.0012864099999897E-4</v>
      </c>
      <c r="O1712">
        <v>0</v>
      </c>
      <c r="P1712">
        <v>0</v>
      </c>
      <c r="Q1712">
        <v>0</v>
      </c>
      <c r="R1712" t="s">
        <v>243</v>
      </c>
    </row>
    <row r="1713" spans="1:18" x14ac:dyDescent="0.3">
      <c r="A1713" t="s">
        <v>259</v>
      </c>
      <c r="B1713" t="s">
        <v>108</v>
      </c>
      <c r="C1713" t="s">
        <v>303</v>
      </c>
      <c r="D1713">
        <v>1.0647994205E-3</v>
      </c>
      <c r="E1713" s="8">
        <v>7.1760571600000002E-4</v>
      </c>
      <c r="F1713" s="8">
        <v>7.1160828000000004E-4</v>
      </c>
      <c r="G1713" s="8">
        <v>5.5826178000000003E-4</v>
      </c>
      <c r="H1713" s="8">
        <v>5.8307400000000005E-4</v>
      </c>
      <c r="I1713" s="8">
        <v>6.7029288000000002E-4</v>
      </c>
      <c r="J1713" s="8">
        <v>7.4236159499999998E-4</v>
      </c>
      <c r="K1713" s="8">
        <v>7.5897188699999905E-4</v>
      </c>
      <c r="L1713" s="8">
        <v>7.4941548800000002E-4</v>
      </c>
      <c r="M1713" s="8">
        <v>7.2963200200000002E-4</v>
      </c>
      <c r="N1713" s="8">
        <v>7.0419002899999895E-4</v>
      </c>
      <c r="O1713">
        <v>0</v>
      </c>
      <c r="P1713">
        <v>0</v>
      </c>
      <c r="Q1713">
        <v>0</v>
      </c>
      <c r="R1713" t="s">
        <v>243</v>
      </c>
    </row>
    <row r="1714" spans="1:18" x14ac:dyDescent="0.3">
      <c r="A1714" t="s">
        <v>259</v>
      </c>
      <c r="B1714" t="s">
        <v>108</v>
      </c>
      <c r="C1714" t="s">
        <v>304</v>
      </c>
      <c r="D1714" s="8">
        <v>2.9774499999999998E-4</v>
      </c>
      <c r="E1714" s="8">
        <v>2.9048300000000002E-4</v>
      </c>
      <c r="F1714" s="8">
        <v>3.8808899999999999E-4</v>
      </c>
      <c r="G1714" s="8">
        <v>4.2278699999999999E-4</v>
      </c>
      <c r="H1714" s="8">
        <v>4.73664E-4</v>
      </c>
      <c r="I1714" s="8">
        <v>4.9715999999999996E-4</v>
      </c>
      <c r="J1714" s="8">
        <v>4.90297E-4</v>
      </c>
      <c r="K1714" s="8">
        <v>4.7894389999999999E-4</v>
      </c>
      <c r="L1714" s="8">
        <v>4.6221100000000002E-4</v>
      </c>
      <c r="M1714" s="8">
        <v>4.4209069999999999E-4</v>
      </c>
      <c r="N1714" s="8">
        <v>4.2167989999999998E-4</v>
      </c>
      <c r="O1714">
        <v>0</v>
      </c>
      <c r="P1714">
        <v>0</v>
      </c>
      <c r="Q1714">
        <v>0</v>
      </c>
      <c r="R1714" t="s">
        <v>243</v>
      </c>
    </row>
    <row r="1715" spans="1:18" x14ac:dyDescent="0.3">
      <c r="A1715" t="s">
        <v>259</v>
      </c>
      <c r="B1715" t="s">
        <v>108</v>
      </c>
      <c r="C1715" t="s">
        <v>305</v>
      </c>
      <c r="D1715" s="8">
        <v>6.0301300000000001E-4</v>
      </c>
      <c r="E1715" s="8">
        <v>7.8964699999999998E-4</v>
      </c>
      <c r="F1715" s="8">
        <v>9.1501899999999999E-4</v>
      </c>
      <c r="G1715" s="8">
        <v>9.2441599999999995E-4</v>
      </c>
      <c r="H1715" s="8">
        <v>9.1996199999999997E-4</v>
      </c>
      <c r="I1715" s="8">
        <v>9.4530199999999997E-4</v>
      </c>
      <c r="J1715" s="8">
        <v>9.1082700000000001E-4</v>
      </c>
      <c r="K1715" s="8">
        <v>8.7896299999999997E-4</v>
      </c>
      <c r="L1715" s="8">
        <v>8.4508000000000001E-4</v>
      </c>
      <c r="M1715" s="8">
        <v>8.0718399999999996E-4</v>
      </c>
      <c r="N1715" s="8">
        <v>7.71469E-4</v>
      </c>
      <c r="O1715">
        <v>0</v>
      </c>
      <c r="P1715">
        <v>0</v>
      </c>
      <c r="Q1715">
        <v>0</v>
      </c>
      <c r="R1715" t="s">
        <v>243</v>
      </c>
    </row>
    <row r="1716" spans="1:18" x14ac:dyDescent="0.3">
      <c r="A1716" t="s">
        <v>259</v>
      </c>
      <c r="B1716" t="s">
        <v>108</v>
      </c>
      <c r="C1716" t="s">
        <v>306</v>
      </c>
      <c r="D1716" s="8">
        <v>3.7202399999999999E-4</v>
      </c>
      <c r="E1716" s="8">
        <v>4.1650200000000002E-4</v>
      </c>
      <c r="F1716" s="8">
        <v>5.3102200000000003E-4</v>
      </c>
      <c r="G1716" s="8">
        <v>5.5554300000000003E-4</v>
      </c>
      <c r="H1716" s="8">
        <v>5.7422500000000004E-4</v>
      </c>
      <c r="I1716" s="8">
        <v>5.9442299999999996E-4</v>
      </c>
      <c r="J1716" s="8">
        <v>5.805847E-4</v>
      </c>
      <c r="K1716" s="8">
        <v>5.6436159999999997E-4</v>
      </c>
      <c r="L1716" s="8">
        <v>5.4412299999999998E-4</v>
      </c>
      <c r="M1716" s="8">
        <v>5.2062469999999896E-4</v>
      </c>
      <c r="N1716" s="8">
        <v>4.9757109999999996E-4</v>
      </c>
      <c r="O1716">
        <v>0</v>
      </c>
      <c r="P1716">
        <v>0</v>
      </c>
      <c r="Q1716">
        <v>0</v>
      </c>
      <c r="R1716" t="s">
        <v>243</v>
      </c>
    </row>
    <row r="1717" spans="1:18" x14ac:dyDescent="0.3">
      <c r="A1717" t="s">
        <v>259</v>
      </c>
      <c r="B1717" t="s">
        <v>108</v>
      </c>
      <c r="C1717" t="s">
        <v>307</v>
      </c>
      <c r="D1717" s="8">
        <v>4.1234799999999999E-4</v>
      </c>
      <c r="E1717" s="8">
        <v>4.84251E-4</v>
      </c>
      <c r="F1717" s="8">
        <v>5.9583100000000001E-4</v>
      </c>
      <c r="G1717" s="8">
        <v>6.1671700000000002E-4</v>
      </c>
      <c r="H1717" s="8">
        <v>6.2350399999999999E-4</v>
      </c>
      <c r="I1717" s="8">
        <v>6.4445799999999999E-4</v>
      </c>
      <c r="J1717" s="8">
        <v>6.2671989999999996E-4</v>
      </c>
      <c r="K1717" s="8">
        <v>6.0802999999999996E-4</v>
      </c>
      <c r="L1717" s="8">
        <v>5.8565799999999997E-4</v>
      </c>
      <c r="M1717" s="8">
        <v>5.5973800000000005E-4</v>
      </c>
      <c r="N1717" s="8">
        <v>5.3454289999999905E-4</v>
      </c>
      <c r="O1717">
        <v>0</v>
      </c>
      <c r="P1717">
        <v>0</v>
      </c>
      <c r="Q1717">
        <v>0</v>
      </c>
      <c r="R1717" t="s">
        <v>243</v>
      </c>
    </row>
    <row r="1718" spans="1:18" x14ac:dyDescent="0.3">
      <c r="A1718" t="s">
        <v>259</v>
      </c>
      <c r="B1718" t="s">
        <v>108</v>
      </c>
      <c r="C1718" t="s">
        <v>308</v>
      </c>
      <c r="D1718" s="8">
        <v>4.35516E-4</v>
      </c>
      <c r="E1718" s="8">
        <v>5.2949699999999998E-4</v>
      </c>
      <c r="F1718" s="8">
        <v>6.4079000000000002E-4</v>
      </c>
      <c r="G1718" s="8">
        <v>6.5819100000000003E-4</v>
      </c>
      <c r="H1718" s="8">
        <v>6.5847499999999897E-4</v>
      </c>
      <c r="I1718" s="8">
        <v>6.78496E-4</v>
      </c>
      <c r="J1718" s="8">
        <v>6.5885939999999995E-4</v>
      </c>
      <c r="K1718" s="8">
        <v>6.3880320000000003E-4</v>
      </c>
      <c r="L1718" s="8">
        <v>6.15214E-4</v>
      </c>
      <c r="M1718" s="8">
        <v>5.8842699999999998E-4</v>
      </c>
      <c r="N1718" s="8">
        <v>5.6254700000000005E-4</v>
      </c>
      <c r="O1718">
        <v>0</v>
      </c>
      <c r="P1718">
        <v>0</v>
      </c>
      <c r="Q1718">
        <v>0</v>
      </c>
      <c r="R1718" t="s">
        <v>243</v>
      </c>
    </row>
    <row r="1719" spans="1:18" x14ac:dyDescent="0.3">
      <c r="A1719" t="s">
        <v>259</v>
      </c>
      <c r="B1719" t="s">
        <v>108</v>
      </c>
      <c r="C1719" t="s">
        <v>309</v>
      </c>
      <c r="D1719" s="8">
        <v>4.55833E-4</v>
      </c>
      <c r="E1719" s="8">
        <v>5.6709399999999997E-4</v>
      </c>
      <c r="F1719" s="8">
        <v>6.7608900000000005E-4</v>
      </c>
      <c r="G1719" s="8">
        <v>6.9302700000000003E-4</v>
      </c>
      <c r="H1719" s="8">
        <v>6.8773300000000005E-4</v>
      </c>
      <c r="I1719" s="8">
        <v>7.0868799999999996E-4</v>
      </c>
      <c r="J1719" s="8">
        <v>6.8750219999999995E-4</v>
      </c>
      <c r="K1719" s="8">
        <v>6.6622600000000001E-4</v>
      </c>
      <c r="L1719" s="8">
        <v>6.4144799999999997E-4</v>
      </c>
      <c r="M1719" s="8">
        <v>6.1300000000000005E-4</v>
      </c>
      <c r="N1719" s="8">
        <v>5.8595000000000001E-4</v>
      </c>
      <c r="O1719">
        <v>0</v>
      </c>
      <c r="P1719">
        <v>0</v>
      </c>
      <c r="Q1719">
        <v>0</v>
      </c>
      <c r="R1719" t="s">
        <v>243</v>
      </c>
    </row>
    <row r="1720" spans="1:18" x14ac:dyDescent="0.3">
      <c r="A1720" t="s">
        <v>259</v>
      </c>
      <c r="B1720" t="s">
        <v>108</v>
      </c>
      <c r="C1720" t="s">
        <v>310</v>
      </c>
      <c r="D1720" s="8">
        <v>4.7628999999999998E-4</v>
      </c>
      <c r="E1720" s="8">
        <v>5.9911199999999995E-4</v>
      </c>
      <c r="F1720" s="8">
        <v>7.0654300000000001E-4</v>
      </c>
      <c r="G1720" s="8">
        <v>7.2318700000000003E-4</v>
      </c>
      <c r="H1720" s="8">
        <v>7.1592899999999905E-4</v>
      </c>
      <c r="I1720" s="8">
        <v>7.37515E-4</v>
      </c>
      <c r="J1720" s="8">
        <v>7.14619E-4</v>
      </c>
      <c r="K1720" s="8">
        <v>6.9157539999999997E-4</v>
      </c>
      <c r="L1720" s="8">
        <v>6.6526200000000001E-4</v>
      </c>
      <c r="M1720" s="8">
        <v>6.35741E-4</v>
      </c>
      <c r="N1720" s="8">
        <v>6.0762299999999995E-4</v>
      </c>
      <c r="O1720">
        <v>0</v>
      </c>
      <c r="P1720">
        <v>0</v>
      </c>
      <c r="Q1720">
        <v>0</v>
      </c>
      <c r="R1720" t="s">
        <v>243</v>
      </c>
    </row>
    <row r="1721" spans="1:18" x14ac:dyDescent="0.3">
      <c r="A1721" t="s">
        <v>259</v>
      </c>
      <c r="B1721" t="s">
        <v>108</v>
      </c>
      <c r="C1721" t="s">
        <v>311</v>
      </c>
      <c r="D1721" s="8">
        <v>4.9739200000000004E-4</v>
      </c>
      <c r="E1721" s="8">
        <v>6.2829400000000005E-4</v>
      </c>
      <c r="F1721" s="8">
        <v>7.3624900000000002E-4</v>
      </c>
      <c r="G1721" s="8">
        <v>7.5006900000000002E-4</v>
      </c>
      <c r="H1721" s="8">
        <v>7.4488099999999997E-4</v>
      </c>
      <c r="I1721" s="8">
        <v>7.6585999999999896E-4</v>
      </c>
      <c r="J1721" s="8">
        <v>7.4100399999999997E-4</v>
      </c>
      <c r="K1721" s="8">
        <v>7.17394E-4</v>
      </c>
      <c r="L1721" s="8">
        <v>6.9061000000000003E-4</v>
      </c>
      <c r="M1721" s="8">
        <v>6.6010899999999998E-4</v>
      </c>
      <c r="N1721" s="8">
        <v>6.3101499999999996E-4</v>
      </c>
      <c r="O1721">
        <v>0</v>
      </c>
      <c r="P1721">
        <v>0</v>
      </c>
      <c r="Q1721">
        <v>0</v>
      </c>
      <c r="R1721" t="s">
        <v>243</v>
      </c>
    </row>
    <row r="1722" spans="1:18" x14ac:dyDescent="0.3">
      <c r="A1722" t="s">
        <v>259</v>
      </c>
      <c r="B1722" t="s">
        <v>108</v>
      </c>
      <c r="C1722" t="s">
        <v>312</v>
      </c>
      <c r="D1722" s="8">
        <v>5.1893800000000004E-4</v>
      </c>
      <c r="E1722" s="8">
        <v>6.5937899999999998E-4</v>
      </c>
      <c r="F1722" s="8">
        <v>7.6847000000000005E-4</v>
      </c>
      <c r="G1722" s="8">
        <v>7.8392999999999996E-4</v>
      </c>
      <c r="H1722" s="8">
        <v>7.7600800000000001E-4</v>
      </c>
      <c r="I1722" s="8">
        <v>7.9851800000000001E-4</v>
      </c>
      <c r="J1722" s="8">
        <v>7.7210499999999895E-4</v>
      </c>
      <c r="K1722" s="8">
        <v>7.46749E-4</v>
      </c>
      <c r="L1722" s="8">
        <v>7.1853299999999896E-4</v>
      </c>
      <c r="M1722" s="8">
        <v>6.8652999999999997E-4</v>
      </c>
      <c r="N1722" s="8">
        <v>6.5619099999999998E-4</v>
      </c>
      <c r="O1722">
        <v>0</v>
      </c>
      <c r="P1722">
        <v>0</v>
      </c>
      <c r="Q1722">
        <v>0</v>
      </c>
      <c r="R1722" t="s">
        <v>243</v>
      </c>
    </row>
    <row r="1723" spans="1:18" x14ac:dyDescent="0.3">
      <c r="A1723" t="s">
        <v>259</v>
      </c>
      <c r="B1723" t="s">
        <v>108</v>
      </c>
      <c r="C1723" t="s">
        <v>313</v>
      </c>
      <c r="D1723" s="8">
        <v>5.5243200000000005E-4</v>
      </c>
      <c r="E1723" s="8">
        <v>6.9598299999999995E-4</v>
      </c>
      <c r="F1723" s="8">
        <v>8.1358400000000001E-4</v>
      </c>
      <c r="G1723" s="8">
        <v>8.2543500000000001E-4</v>
      </c>
      <c r="H1723" s="8">
        <v>8.1929099999999999E-4</v>
      </c>
      <c r="I1723" s="8">
        <v>8.4162199999999999E-4</v>
      </c>
      <c r="J1723" s="8">
        <v>8.1252500000000003E-4</v>
      </c>
      <c r="K1723" s="8">
        <v>7.8553800000000001E-4</v>
      </c>
      <c r="L1723" s="8">
        <v>7.55542E-4</v>
      </c>
      <c r="M1723" s="8">
        <v>7.2152900000000005E-4</v>
      </c>
      <c r="N1723" s="8">
        <v>6.8932999999999896E-4</v>
      </c>
      <c r="O1723">
        <v>0</v>
      </c>
      <c r="P1723">
        <v>0</v>
      </c>
      <c r="Q1723">
        <v>0</v>
      </c>
      <c r="R1723" t="s">
        <v>243</v>
      </c>
    </row>
    <row r="1724" spans="1:18" x14ac:dyDescent="0.3">
      <c r="A1724" t="s">
        <v>259</v>
      </c>
      <c r="B1724" t="s">
        <v>108</v>
      </c>
      <c r="C1724" t="s">
        <v>314</v>
      </c>
      <c r="D1724" s="8">
        <v>4.7385900000000003E-5</v>
      </c>
      <c r="E1724" s="8">
        <v>4.2845400000000001E-5</v>
      </c>
      <c r="F1724" s="8">
        <v>5.9398599999999997E-5</v>
      </c>
      <c r="G1724" s="8">
        <v>6.7182500000000003E-5</v>
      </c>
      <c r="H1724" s="8">
        <v>7.9319200000000005E-5</v>
      </c>
      <c r="I1724" s="8">
        <v>8.3452499999999994E-5</v>
      </c>
      <c r="J1724" s="8">
        <v>8.3329699999999996E-5</v>
      </c>
      <c r="K1724" s="8">
        <v>8.1637600000000006E-5</v>
      </c>
      <c r="L1724" s="8">
        <v>7.8456900000000004E-5</v>
      </c>
      <c r="M1724" s="8">
        <v>7.4728599999999995E-5</v>
      </c>
      <c r="N1724" s="8">
        <v>7.0693999999999998E-5</v>
      </c>
      <c r="O1724">
        <v>0</v>
      </c>
      <c r="P1724">
        <v>0</v>
      </c>
      <c r="Q1724">
        <v>0</v>
      </c>
      <c r="R1724" t="s">
        <v>243</v>
      </c>
    </row>
    <row r="1725" spans="1:18" x14ac:dyDescent="0.3">
      <c r="A1725" t="s">
        <v>259</v>
      </c>
      <c r="B1725" t="s">
        <v>108</v>
      </c>
      <c r="C1725" t="s">
        <v>315</v>
      </c>
      <c r="D1725" s="8">
        <v>1.1129E-4</v>
      </c>
      <c r="E1725" s="8">
        <v>1.4972299999999999E-4</v>
      </c>
      <c r="F1725" s="8">
        <v>1.7006399999999999E-4</v>
      </c>
      <c r="G1725" s="8">
        <v>1.6955599999999999E-4</v>
      </c>
      <c r="H1725" s="8">
        <v>1.6454999999999999E-4</v>
      </c>
      <c r="I1725" s="8">
        <v>1.6599599999999999E-4</v>
      </c>
      <c r="J1725" s="8">
        <v>1.5995000000000001E-4</v>
      </c>
      <c r="K1725" s="8">
        <v>1.5238E-4</v>
      </c>
      <c r="L1725" s="8">
        <v>1.44948E-4</v>
      </c>
      <c r="M1725" s="8">
        <v>1.3741200000000001E-4</v>
      </c>
      <c r="N1725" s="8">
        <v>1.2994300000000001E-4</v>
      </c>
      <c r="O1725">
        <v>0</v>
      </c>
      <c r="P1725">
        <v>0</v>
      </c>
      <c r="Q1725">
        <v>0</v>
      </c>
      <c r="R1725" t="s">
        <v>243</v>
      </c>
    </row>
    <row r="1726" spans="1:18" x14ac:dyDescent="0.3">
      <c r="A1726" t="s">
        <v>259</v>
      </c>
      <c r="B1726" t="s">
        <v>108</v>
      </c>
      <c r="C1726" t="s">
        <v>316</v>
      </c>
      <c r="D1726" s="8">
        <v>6.39427E-5</v>
      </c>
      <c r="E1726" s="8">
        <v>6.7248899999999999E-5</v>
      </c>
      <c r="F1726" s="8">
        <v>8.9223399999999997E-5</v>
      </c>
      <c r="G1726" s="8">
        <v>9.5970400000000005E-5</v>
      </c>
      <c r="H1726" s="8">
        <v>1.00875E-4</v>
      </c>
      <c r="I1726" s="8">
        <v>1.03373E-4</v>
      </c>
      <c r="J1726" s="8">
        <v>1.01405E-4</v>
      </c>
      <c r="K1726" s="8">
        <v>9.7681400000000003E-5</v>
      </c>
      <c r="L1726" s="8">
        <v>9.3266500000000006E-5</v>
      </c>
      <c r="M1726" s="8">
        <v>8.8593700000000005E-5</v>
      </c>
      <c r="N1726" s="8">
        <v>8.3796900000000004E-5</v>
      </c>
      <c r="O1726">
        <v>0</v>
      </c>
      <c r="P1726">
        <v>0</v>
      </c>
      <c r="Q1726">
        <v>0</v>
      </c>
      <c r="R1726" t="s">
        <v>243</v>
      </c>
    </row>
    <row r="1727" spans="1:18" x14ac:dyDescent="0.3">
      <c r="A1727" t="s">
        <v>259</v>
      </c>
      <c r="B1727" t="s">
        <v>108</v>
      </c>
      <c r="C1727" t="s">
        <v>317</v>
      </c>
      <c r="D1727" s="8">
        <v>7.3324299999999999E-5</v>
      </c>
      <c r="E1727" s="8">
        <v>8.2337900000000003E-5</v>
      </c>
      <c r="F1727" s="8">
        <v>1.0422E-4</v>
      </c>
      <c r="G1727" s="8">
        <v>1.0977800000000001E-4</v>
      </c>
      <c r="H1727" s="8">
        <v>1.1077399999999999E-4</v>
      </c>
      <c r="I1727" s="8">
        <v>1.12842E-4</v>
      </c>
      <c r="J1727" s="8">
        <v>1.0990800000000001E-4</v>
      </c>
      <c r="K1727" s="8">
        <v>1.0538499999999999E-4</v>
      </c>
      <c r="L1727" s="8">
        <v>1.0044599999999999E-4</v>
      </c>
      <c r="M1727" s="8">
        <v>9.5280599999999997E-5</v>
      </c>
      <c r="N1727" s="8">
        <v>9.0034699999999994E-5</v>
      </c>
      <c r="O1727">
        <v>0</v>
      </c>
      <c r="P1727">
        <v>0</v>
      </c>
      <c r="Q1727">
        <v>0</v>
      </c>
      <c r="R1727" t="s">
        <v>243</v>
      </c>
    </row>
    <row r="1728" spans="1:18" x14ac:dyDescent="0.3">
      <c r="A1728" t="s">
        <v>259</v>
      </c>
      <c r="B1728" t="s">
        <v>108</v>
      </c>
      <c r="C1728" t="s">
        <v>318</v>
      </c>
      <c r="D1728" s="8">
        <v>7.8574199999999997E-5</v>
      </c>
      <c r="E1728" s="8">
        <v>9.3125800000000002E-5</v>
      </c>
      <c r="F1728" s="8">
        <v>1.1476000000000001E-4</v>
      </c>
      <c r="G1728" s="8">
        <v>1.18824E-4</v>
      </c>
      <c r="H1728" s="8">
        <v>1.17445E-4</v>
      </c>
      <c r="I1728" s="8">
        <v>1.19018E-4</v>
      </c>
      <c r="J1728" s="8">
        <v>1.1566E-4</v>
      </c>
      <c r="K1728" s="8">
        <v>1.10744E-4</v>
      </c>
      <c r="L1728" s="8">
        <v>1.05522E-4</v>
      </c>
      <c r="M1728" s="8">
        <v>1.0017E-4</v>
      </c>
      <c r="N1728" s="8">
        <v>9.47537E-5</v>
      </c>
      <c r="O1728">
        <v>0</v>
      </c>
      <c r="P1728">
        <v>0</v>
      </c>
      <c r="Q1728">
        <v>0</v>
      </c>
      <c r="R1728" t="s">
        <v>243</v>
      </c>
    </row>
    <row r="1729" spans="1:18" x14ac:dyDescent="0.3">
      <c r="A1729" t="s">
        <v>259</v>
      </c>
      <c r="B1729" t="s">
        <v>108</v>
      </c>
      <c r="C1729" t="s">
        <v>319</v>
      </c>
      <c r="D1729" s="8">
        <v>8.3001400000000001E-5</v>
      </c>
      <c r="E1729" s="8">
        <v>1.02316E-4</v>
      </c>
      <c r="F1729" s="8">
        <v>1.22846E-4</v>
      </c>
      <c r="G1729" s="8">
        <v>1.2607699999999999E-4</v>
      </c>
      <c r="H1729" s="8">
        <v>1.2285599999999999E-4</v>
      </c>
      <c r="I1729" s="8">
        <v>1.2439800000000001E-4</v>
      </c>
      <c r="J1729" s="8">
        <v>1.20729E-4</v>
      </c>
      <c r="K1729" s="8">
        <v>1.15501E-4</v>
      </c>
      <c r="L1729" s="8">
        <v>1.10022E-4</v>
      </c>
      <c r="M1729" s="8">
        <v>1.04355E-4</v>
      </c>
      <c r="N1729" s="8">
        <v>9.8694899999999996E-5</v>
      </c>
      <c r="O1729">
        <v>0</v>
      </c>
      <c r="P1729">
        <v>0</v>
      </c>
      <c r="Q1729">
        <v>0</v>
      </c>
      <c r="R1729" t="s">
        <v>243</v>
      </c>
    </row>
    <row r="1730" spans="1:18" x14ac:dyDescent="0.3">
      <c r="A1730" t="s">
        <v>259</v>
      </c>
      <c r="B1730" t="s">
        <v>108</v>
      </c>
      <c r="C1730" t="s">
        <v>320</v>
      </c>
      <c r="D1730" s="8">
        <v>8.7268799999999994E-5</v>
      </c>
      <c r="E1730" s="8">
        <v>1.1008E-4</v>
      </c>
      <c r="F1730" s="8">
        <v>1.2956E-4</v>
      </c>
      <c r="G1730" s="8">
        <v>1.3209699999999999E-4</v>
      </c>
      <c r="H1730" s="8">
        <v>1.27985E-4</v>
      </c>
      <c r="I1730" s="8">
        <v>1.29491E-4</v>
      </c>
      <c r="J1730" s="8">
        <v>1.2550300000000001E-4</v>
      </c>
      <c r="K1730" s="8">
        <v>1.19895E-4</v>
      </c>
      <c r="L1730" s="8">
        <v>1.1410500000000001E-4</v>
      </c>
      <c r="M1730" s="8">
        <v>1.0822700000000001E-4</v>
      </c>
      <c r="N1730" s="8">
        <v>1.02345E-4</v>
      </c>
      <c r="O1730">
        <v>0</v>
      </c>
      <c r="P1730">
        <v>0</v>
      </c>
      <c r="Q1730">
        <v>0</v>
      </c>
      <c r="R1730" t="s">
        <v>243</v>
      </c>
    </row>
    <row r="1731" spans="1:18" x14ac:dyDescent="0.3">
      <c r="A1731" t="s">
        <v>259</v>
      </c>
      <c r="B1731" t="s">
        <v>108</v>
      </c>
      <c r="C1731" t="s">
        <v>321</v>
      </c>
      <c r="D1731" s="8">
        <v>9.1485399999999997E-5</v>
      </c>
      <c r="E1731" s="8">
        <v>1.1692300000000001E-4</v>
      </c>
      <c r="F1731" s="8">
        <v>1.35828E-4</v>
      </c>
      <c r="G1731" s="8">
        <v>1.3729399999999999E-4</v>
      </c>
      <c r="H1731" s="8">
        <v>1.3320899999999999E-4</v>
      </c>
      <c r="I1731" s="8">
        <v>1.3447900000000001E-4</v>
      </c>
      <c r="J1731" s="8">
        <v>1.3013400000000001E-4</v>
      </c>
      <c r="K1731" s="8">
        <v>1.2437400000000001E-4</v>
      </c>
      <c r="L1731" s="8">
        <v>1.18454E-4</v>
      </c>
      <c r="M1731" s="8">
        <v>1.1237400000000001E-4</v>
      </c>
      <c r="N1731" s="8">
        <v>1.0628600000000001E-4</v>
      </c>
      <c r="O1731">
        <v>0</v>
      </c>
      <c r="P1731">
        <v>0</v>
      </c>
      <c r="Q1731">
        <v>0</v>
      </c>
      <c r="R1731" t="s">
        <v>243</v>
      </c>
    </row>
    <row r="1732" spans="1:18" x14ac:dyDescent="0.3">
      <c r="A1732" t="s">
        <v>259</v>
      </c>
      <c r="B1732" t="s">
        <v>108</v>
      </c>
      <c r="C1732" t="s">
        <v>322</v>
      </c>
      <c r="D1732" s="8">
        <v>9.5642600000000005E-5</v>
      </c>
      <c r="E1732" s="8">
        <v>1.2384900000000001E-4</v>
      </c>
      <c r="F1732" s="8">
        <v>1.42337E-4</v>
      </c>
      <c r="G1732" s="8">
        <v>1.4368200000000001E-4</v>
      </c>
      <c r="H1732" s="8">
        <v>1.3878499999999999E-4</v>
      </c>
      <c r="I1732" s="8">
        <v>1.4021699999999999E-4</v>
      </c>
      <c r="J1732" s="8">
        <v>1.35599E-4</v>
      </c>
      <c r="K1732" s="8">
        <v>1.2946E-4</v>
      </c>
      <c r="L1732" s="8">
        <v>1.23242E-4</v>
      </c>
      <c r="M1732" s="8">
        <v>1.16873E-4</v>
      </c>
      <c r="N1732" s="8">
        <v>1.1052600000000001E-4</v>
      </c>
      <c r="O1732">
        <v>0</v>
      </c>
      <c r="P1732">
        <v>0</v>
      </c>
      <c r="Q1732">
        <v>0</v>
      </c>
      <c r="R1732" t="s">
        <v>243</v>
      </c>
    </row>
    <row r="1733" spans="1:18" x14ac:dyDescent="0.3">
      <c r="A1733" t="s">
        <v>259</v>
      </c>
      <c r="B1733" t="s">
        <v>108</v>
      </c>
      <c r="C1733" t="s">
        <v>323</v>
      </c>
      <c r="D1733" s="8">
        <v>1.01931E-4</v>
      </c>
      <c r="E1733" s="8">
        <v>1.3150999999999999E-4</v>
      </c>
      <c r="F1733" s="8">
        <v>1.5107200000000001E-4</v>
      </c>
      <c r="G1733" s="8">
        <v>1.5137500000000001E-4</v>
      </c>
      <c r="H1733" s="8">
        <v>1.46537E-4</v>
      </c>
      <c r="I1733" s="8">
        <v>1.47785E-4</v>
      </c>
      <c r="J1733" s="8">
        <v>1.42693E-4</v>
      </c>
      <c r="K1733" s="8">
        <v>1.36186E-4</v>
      </c>
      <c r="L1733" s="8">
        <v>1.29589E-4</v>
      </c>
      <c r="M1733" s="8">
        <v>1.2282999999999999E-4</v>
      </c>
      <c r="N1733" s="8">
        <v>1.16107E-4</v>
      </c>
      <c r="O1733">
        <v>0</v>
      </c>
      <c r="P1733">
        <v>0</v>
      </c>
      <c r="Q1733">
        <v>0</v>
      </c>
      <c r="R1733" t="s">
        <v>243</v>
      </c>
    </row>
    <row r="1734" spans="1:18" x14ac:dyDescent="0.3">
      <c r="A1734" t="s">
        <v>259</v>
      </c>
      <c r="B1734" t="s">
        <v>40</v>
      </c>
      <c r="C1734" t="s">
        <v>261</v>
      </c>
      <c r="D1734" s="8">
        <v>1.38806E-4</v>
      </c>
      <c r="E1734" s="8">
        <v>4.0964495999999998E-4</v>
      </c>
      <c r="F1734" s="8">
        <v>4.7028050000000001E-4</v>
      </c>
      <c r="G1734" s="8">
        <v>4.4767139999999999E-4</v>
      </c>
      <c r="H1734" s="8">
        <v>4.7503321E-4</v>
      </c>
      <c r="I1734" s="8">
        <v>5.0965004999999996E-4</v>
      </c>
      <c r="J1734" s="8">
        <v>5.2449671400000002E-4</v>
      </c>
      <c r="K1734" s="8">
        <v>5.3644759699999903E-4</v>
      </c>
      <c r="L1734" s="8">
        <v>5.3940416999999905E-4</v>
      </c>
      <c r="M1734" s="8">
        <v>5.3106236299999996E-4</v>
      </c>
      <c r="N1734" s="8">
        <v>5.2015401799999895E-4</v>
      </c>
      <c r="O1734">
        <v>0</v>
      </c>
      <c r="P1734">
        <v>0</v>
      </c>
      <c r="Q1734">
        <v>0</v>
      </c>
      <c r="R1734" t="s">
        <v>243</v>
      </c>
    </row>
    <row r="1735" spans="1:18" x14ac:dyDescent="0.3">
      <c r="A1735" t="s">
        <v>259</v>
      </c>
      <c r="B1735" t="s">
        <v>40</v>
      </c>
      <c r="C1735" t="s">
        <v>262</v>
      </c>
      <c r="D1735" s="8">
        <v>2.6259100000000001E-4</v>
      </c>
      <c r="E1735">
        <v>4.05304986999999E-3</v>
      </c>
      <c r="F1735">
        <v>5.1834281499999997E-3</v>
      </c>
      <c r="G1735">
        <v>4.5311853099999997E-3</v>
      </c>
      <c r="H1735">
        <v>4.377863658E-3</v>
      </c>
      <c r="I1735">
        <v>4.4353289948999997E-3</v>
      </c>
      <c r="J1735">
        <v>4.4113795985000004E-3</v>
      </c>
      <c r="K1735">
        <v>4.2359638279999999E-3</v>
      </c>
      <c r="L1735">
        <v>3.5956747087999901E-3</v>
      </c>
      <c r="M1735">
        <v>3.4596884333999902E-3</v>
      </c>
      <c r="N1735">
        <v>3.3125691449999899E-3</v>
      </c>
      <c r="O1735">
        <v>0</v>
      </c>
      <c r="P1735">
        <v>0</v>
      </c>
      <c r="Q1735">
        <v>0</v>
      </c>
      <c r="R1735" t="s">
        <v>243</v>
      </c>
    </row>
    <row r="1736" spans="1:18" x14ac:dyDescent="0.3">
      <c r="A1736" t="s">
        <v>259</v>
      </c>
      <c r="B1736" t="s">
        <v>40</v>
      </c>
      <c r="C1736" t="s">
        <v>263</v>
      </c>
      <c r="D1736">
        <v>1.7316E-3</v>
      </c>
      <c r="E1736">
        <v>8.2006101900000006E-3</v>
      </c>
      <c r="F1736">
        <v>9.5150002999999997E-3</v>
      </c>
      <c r="G1736">
        <v>9.3319104899999995E-3</v>
      </c>
      <c r="H1736">
        <v>9.3333219200000001E-3</v>
      </c>
      <c r="I1736">
        <v>1.0259782868E-2</v>
      </c>
      <c r="J1736">
        <v>1.1285462309999999E-2</v>
      </c>
      <c r="K1736">
        <v>1.176726023E-2</v>
      </c>
      <c r="L1736">
        <v>1.213434849E-2</v>
      </c>
      <c r="M1736">
        <v>1.233724202E-2</v>
      </c>
      <c r="N1736">
        <v>1.2452177219999999E-2</v>
      </c>
      <c r="O1736">
        <v>0</v>
      </c>
      <c r="P1736">
        <v>0</v>
      </c>
      <c r="Q1736">
        <v>0</v>
      </c>
      <c r="R1736" t="s">
        <v>243</v>
      </c>
    </row>
    <row r="1737" spans="1:18" x14ac:dyDescent="0.3">
      <c r="A1737" t="s">
        <v>259</v>
      </c>
      <c r="B1737" t="s">
        <v>40</v>
      </c>
      <c r="C1737" t="s">
        <v>264</v>
      </c>
      <c r="D1737" s="8">
        <v>1.0010503999999999E-5</v>
      </c>
      <c r="E1737" s="8">
        <v>2.4856811999999998E-5</v>
      </c>
      <c r="F1737" s="8">
        <v>2.6091571E-5</v>
      </c>
      <c r="G1737" s="8">
        <v>2.7974619E-5</v>
      </c>
      <c r="H1737" s="8">
        <v>3.2191492000000003E-5</v>
      </c>
      <c r="I1737" s="8">
        <v>3.4160087599999999E-5</v>
      </c>
      <c r="J1737" s="8">
        <v>4.28754857E-5</v>
      </c>
      <c r="K1737" s="8">
        <v>4.8006527999999897E-5</v>
      </c>
      <c r="L1737" s="8">
        <v>5.0430140300000001E-5</v>
      </c>
      <c r="M1737" s="8">
        <v>5.0763436399999899E-5</v>
      </c>
      <c r="N1737" s="8">
        <v>5.0809205800000001E-5</v>
      </c>
      <c r="O1737">
        <v>0</v>
      </c>
      <c r="P1737">
        <v>0</v>
      </c>
      <c r="Q1737">
        <v>0</v>
      </c>
      <c r="R1737" t="s">
        <v>243</v>
      </c>
    </row>
    <row r="1738" spans="1:18" x14ac:dyDescent="0.3">
      <c r="A1738" t="s">
        <v>259</v>
      </c>
      <c r="B1738" t="s">
        <v>40</v>
      </c>
      <c r="C1738" t="s">
        <v>265</v>
      </c>
      <c r="D1738" s="8">
        <v>8.3077200000000005E-5</v>
      </c>
      <c r="E1738" s="8">
        <v>1.7726729999999999E-4</v>
      </c>
      <c r="F1738" s="8">
        <v>1.8843043E-4</v>
      </c>
      <c r="G1738" s="8">
        <v>2.212715E-4</v>
      </c>
      <c r="H1738" s="8">
        <v>2.2950674299999999E-4</v>
      </c>
      <c r="I1738" s="8">
        <v>2.5946665899999999E-4</v>
      </c>
      <c r="J1738" s="8">
        <v>3.0350253600000001E-4</v>
      </c>
      <c r="K1738" s="8">
        <v>3.3518031999999999E-4</v>
      </c>
      <c r="L1738" s="8">
        <v>3.5265001099999999E-4</v>
      </c>
      <c r="M1738" s="8">
        <v>3.5815265500000002E-4</v>
      </c>
      <c r="N1738" s="8">
        <v>3.6101427800000002E-4</v>
      </c>
      <c r="O1738">
        <v>0</v>
      </c>
      <c r="P1738">
        <v>0</v>
      </c>
      <c r="Q1738">
        <v>0</v>
      </c>
      <c r="R1738" t="s">
        <v>243</v>
      </c>
    </row>
    <row r="1739" spans="1:18" x14ac:dyDescent="0.3">
      <c r="A1739" t="s">
        <v>259</v>
      </c>
      <c r="B1739" t="s">
        <v>40</v>
      </c>
      <c r="C1739" t="s">
        <v>266</v>
      </c>
      <c r="D1739" s="8">
        <v>1.5814230000000001E-5</v>
      </c>
      <c r="E1739" s="8">
        <v>4.1044858000000002E-5</v>
      </c>
      <c r="F1739" s="8">
        <v>4.3233311000000002E-5</v>
      </c>
      <c r="G1739" s="8">
        <v>4.7779540999999998E-5</v>
      </c>
      <c r="H1739" s="8">
        <v>5.27629969999999E-5</v>
      </c>
      <c r="I1739" s="8">
        <v>5.6246165599999997E-5</v>
      </c>
      <c r="J1739" s="8">
        <v>6.9964977199999897E-5</v>
      </c>
      <c r="K1739" s="8">
        <v>7.8629775000000002E-5</v>
      </c>
      <c r="L1739" s="8">
        <v>8.2815868999999996E-5</v>
      </c>
      <c r="M1739" s="8">
        <v>8.3697690999999999E-5</v>
      </c>
      <c r="N1739" s="8">
        <v>8.4099827999999994E-5</v>
      </c>
      <c r="O1739">
        <v>0</v>
      </c>
      <c r="P1739">
        <v>0</v>
      </c>
      <c r="Q1739">
        <v>0</v>
      </c>
      <c r="R1739" t="s">
        <v>243</v>
      </c>
    </row>
    <row r="1740" spans="1:18" x14ac:dyDescent="0.3">
      <c r="A1740" t="s">
        <v>259</v>
      </c>
      <c r="B1740" t="s">
        <v>40</v>
      </c>
      <c r="C1740" t="s">
        <v>267</v>
      </c>
      <c r="D1740" s="8">
        <v>2.1031389999999999E-5</v>
      </c>
      <c r="E1740" s="8">
        <v>5.2199330000000002E-5</v>
      </c>
      <c r="F1740" s="8">
        <v>5.608768E-5</v>
      </c>
      <c r="G1740" s="8">
        <v>6.3177021000000006E-5</v>
      </c>
      <c r="H1740" s="8">
        <v>6.4590928999999896E-5</v>
      </c>
      <c r="I1740" s="8">
        <v>7.5021993999999998E-5</v>
      </c>
      <c r="J1740" s="8">
        <v>9.2261489000000001E-5</v>
      </c>
      <c r="K1740" s="8">
        <v>1.03074873E-4</v>
      </c>
      <c r="L1740" s="8">
        <v>1.08330814E-4</v>
      </c>
      <c r="M1740" s="8">
        <v>1.0915218E-4</v>
      </c>
      <c r="N1740" s="8">
        <v>1.0939967700000001E-4</v>
      </c>
      <c r="O1740">
        <v>0</v>
      </c>
      <c r="P1740">
        <v>0</v>
      </c>
      <c r="Q1740">
        <v>0</v>
      </c>
      <c r="R1740" t="s">
        <v>243</v>
      </c>
    </row>
    <row r="1741" spans="1:18" x14ac:dyDescent="0.3">
      <c r="A1741" t="s">
        <v>259</v>
      </c>
      <c r="B1741" t="s">
        <v>40</v>
      </c>
      <c r="C1741" t="s">
        <v>268</v>
      </c>
      <c r="D1741" s="8">
        <v>2.5131899999999999E-5</v>
      </c>
      <c r="E1741" s="8">
        <v>6.1618429999999995E-5</v>
      </c>
      <c r="F1741" s="8">
        <v>6.6862830000000002E-5</v>
      </c>
      <c r="G1741" s="8">
        <v>7.6288670000000005E-5</v>
      </c>
      <c r="H1741" s="8">
        <v>7.7833653000000005E-5</v>
      </c>
      <c r="I1741" s="8">
        <v>9.0076029000000002E-5</v>
      </c>
      <c r="J1741" s="8">
        <v>1.1017387399999999E-4</v>
      </c>
      <c r="K1741" s="8">
        <v>1.2311518799999901E-4</v>
      </c>
      <c r="L1741" s="8">
        <v>1.2962968699999999E-4</v>
      </c>
      <c r="M1741" s="8">
        <v>1.30938165E-4</v>
      </c>
      <c r="N1741" s="8">
        <v>1.3137722899999999E-4</v>
      </c>
      <c r="O1741">
        <v>0</v>
      </c>
      <c r="P1741">
        <v>0</v>
      </c>
      <c r="Q1741">
        <v>0</v>
      </c>
      <c r="R1741" t="s">
        <v>243</v>
      </c>
    </row>
    <row r="1742" spans="1:18" x14ac:dyDescent="0.3">
      <c r="A1742" t="s">
        <v>259</v>
      </c>
      <c r="B1742" t="s">
        <v>40</v>
      </c>
      <c r="C1742" t="s">
        <v>269</v>
      </c>
      <c r="D1742" s="8">
        <v>2.932948E-5</v>
      </c>
      <c r="E1742" s="8">
        <v>7.1197180000000002E-5</v>
      </c>
      <c r="F1742" s="8">
        <v>7.7104959999999998E-5</v>
      </c>
      <c r="G1742" s="8">
        <v>8.8380160000000002E-5</v>
      </c>
      <c r="H1742" s="8">
        <v>9.0647861999999904E-5</v>
      </c>
      <c r="I1742" s="8">
        <v>1.0492821399999999E-4</v>
      </c>
      <c r="J1742" s="8">
        <v>1.2785465999999899E-4</v>
      </c>
      <c r="K1742" s="8">
        <v>1.42705746E-4</v>
      </c>
      <c r="L1742" s="8">
        <v>1.5052143799999999E-4</v>
      </c>
      <c r="M1742" s="8">
        <v>1.5220394200000001E-4</v>
      </c>
      <c r="N1742" s="8">
        <v>1.52756363E-4</v>
      </c>
      <c r="O1742">
        <v>0</v>
      </c>
      <c r="P1742">
        <v>0</v>
      </c>
      <c r="Q1742">
        <v>0</v>
      </c>
      <c r="R1742" t="s">
        <v>243</v>
      </c>
    </row>
    <row r="1743" spans="1:18" x14ac:dyDescent="0.3">
      <c r="A1743" t="s">
        <v>259</v>
      </c>
      <c r="B1743" t="s">
        <v>40</v>
      </c>
      <c r="C1743" t="s">
        <v>270</v>
      </c>
      <c r="D1743" s="8">
        <v>3.3811920000000002E-5</v>
      </c>
      <c r="E1743" s="8">
        <v>8.1029679999999898E-5</v>
      </c>
      <c r="F1743" s="8">
        <v>8.7710509999999994E-5</v>
      </c>
      <c r="G1743" s="8">
        <v>1.01080799999999E-4</v>
      </c>
      <c r="H1743" s="8">
        <v>1.04195352E-4</v>
      </c>
      <c r="I1743" s="8">
        <v>1.20363511999999E-4</v>
      </c>
      <c r="J1743" s="8">
        <v>1.4590539000000001E-4</v>
      </c>
      <c r="K1743" s="8">
        <v>1.62876793999999E-4</v>
      </c>
      <c r="L1743" s="8">
        <v>1.7163990199999999E-4</v>
      </c>
      <c r="M1743" s="8">
        <v>1.73835157E-4</v>
      </c>
      <c r="N1743" s="8">
        <v>1.7469544699999899E-4</v>
      </c>
      <c r="O1743">
        <v>0</v>
      </c>
      <c r="P1743">
        <v>0</v>
      </c>
      <c r="Q1743">
        <v>0</v>
      </c>
      <c r="R1743" t="s">
        <v>243</v>
      </c>
    </row>
    <row r="1744" spans="1:18" x14ac:dyDescent="0.3">
      <c r="A1744" t="s">
        <v>259</v>
      </c>
      <c r="B1744" t="s">
        <v>40</v>
      </c>
      <c r="C1744" t="s">
        <v>271</v>
      </c>
      <c r="D1744" s="8">
        <v>3.9078849999999999E-5</v>
      </c>
      <c r="E1744" s="8">
        <v>9.1927119999999997E-5</v>
      </c>
      <c r="F1744" s="8">
        <v>9.9542329999999999E-5</v>
      </c>
      <c r="G1744" s="8">
        <v>1.1479033E-4</v>
      </c>
      <c r="H1744" s="8">
        <v>1.19337598999999E-4</v>
      </c>
      <c r="I1744" s="8">
        <v>1.3756826499999999E-4</v>
      </c>
      <c r="J1744" s="8">
        <v>1.66015553E-4</v>
      </c>
      <c r="K1744" s="8">
        <v>1.85091064999999E-4</v>
      </c>
      <c r="L1744" s="8">
        <v>1.9511739000000001E-4</v>
      </c>
      <c r="M1744" s="8">
        <v>1.9754422399999999E-4</v>
      </c>
      <c r="N1744" s="8">
        <v>1.9827769099999999E-4</v>
      </c>
      <c r="O1744">
        <v>0</v>
      </c>
      <c r="P1744">
        <v>0</v>
      </c>
      <c r="Q1744">
        <v>0</v>
      </c>
      <c r="R1744" t="s">
        <v>243</v>
      </c>
    </row>
    <row r="1745" spans="1:18" x14ac:dyDescent="0.3">
      <c r="A1745" t="s">
        <v>259</v>
      </c>
      <c r="B1745" t="s">
        <v>40</v>
      </c>
      <c r="C1745" t="s">
        <v>272</v>
      </c>
      <c r="D1745" s="8">
        <v>4.546656E-5</v>
      </c>
      <c r="E1745" s="8">
        <v>1.0550652E-4</v>
      </c>
      <c r="F1745" s="8">
        <v>1.1384085E-4</v>
      </c>
      <c r="G1745" s="8">
        <v>1.3305023000000001E-4</v>
      </c>
      <c r="H1745" s="8">
        <v>1.3771733799999999E-4</v>
      </c>
      <c r="I1745" s="8">
        <v>1.5847936899999999E-4</v>
      </c>
      <c r="J1745" s="8">
        <v>1.9054913E-4</v>
      </c>
      <c r="K1745" s="8">
        <v>2.12086326E-4</v>
      </c>
      <c r="L1745" s="8">
        <v>2.23285423E-4</v>
      </c>
      <c r="M1745" s="8">
        <v>2.2598382099999999E-4</v>
      </c>
      <c r="N1745" s="8">
        <v>2.2701628200000001E-4</v>
      </c>
      <c r="O1745">
        <v>0</v>
      </c>
      <c r="P1745">
        <v>0</v>
      </c>
      <c r="Q1745">
        <v>0</v>
      </c>
      <c r="R1745" t="s">
        <v>243</v>
      </c>
    </row>
    <row r="1746" spans="1:18" x14ac:dyDescent="0.3">
      <c r="A1746" t="s">
        <v>259</v>
      </c>
      <c r="B1746" t="s">
        <v>40</v>
      </c>
      <c r="C1746" t="s">
        <v>273</v>
      </c>
      <c r="D1746" s="8">
        <v>5.57316E-5</v>
      </c>
      <c r="E1746" s="8">
        <v>1.2558529999999999E-4</v>
      </c>
      <c r="F1746" s="8">
        <v>1.3477735E-4</v>
      </c>
      <c r="G1746" s="8">
        <v>1.5633319000000001E-4</v>
      </c>
      <c r="H1746" s="8">
        <v>1.6339088899999999E-4</v>
      </c>
      <c r="I1746" s="8">
        <v>1.87586963E-4</v>
      </c>
      <c r="J1746" s="8">
        <v>2.23958654E-4</v>
      </c>
      <c r="K1746" s="8">
        <v>2.4913564999999902E-4</v>
      </c>
      <c r="L1746" s="8">
        <v>2.6281921099999999E-4</v>
      </c>
      <c r="M1746" s="8">
        <v>2.66821254E-4</v>
      </c>
      <c r="N1746" s="8">
        <v>2.68617752E-4</v>
      </c>
      <c r="O1746">
        <v>0</v>
      </c>
      <c r="P1746">
        <v>0</v>
      </c>
      <c r="Q1746">
        <v>0</v>
      </c>
      <c r="R1746" t="s">
        <v>243</v>
      </c>
    </row>
    <row r="1747" spans="1:18" x14ac:dyDescent="0.3">
      <c r="A1747" t="s">
        <v>259</v>
      </c>
      <c r="B1747" t="s">
        <v>40</v>
      </c>
      <c r="C1747" t="s">
        <v>274</v>
      </c>
      <c r="D1747" s="8">
        <v>2.4507916999999999E-6</v>
      </c>
      <c r="E1747" s="8">
        <v>4.1131127899999997E-6</v>
      </c>
      <c r="F1747" s="8">
        <v>3.9686628100000002E-6</v>
      </c>
      <c r="G1747" s="8">
        <v>4.7126449299999997E-6</v>
      </c>
      <c r="H1747" s="8">
        <v>6.76588551E-6</v>
      </c>
      <c r="I1747" s="8">
        <v>7.0191409E-6</v>
      </c>
      <c r="J1747" s="8">
        <v>7.2828254099999996E-6</v>
      </c>
      <c r="K1747" s="8">
        <v>7.5564111889999899E-6</v>
      </c>
      <c r="L1747" s="8">
        <v>7.6992511299999997E-6</v>
      </c>
      <c r="M1747" s="8">
        <v>7.6561911999999999E-6</v>
      </c>
      <c r="N1747" s="8">
        <v>7.5598381300000001E-6</v>
      </c>
      <c r="O1747">
        <v>0</v>
      </c>
      <c r="P1747">
        <v>0</v>
      </c>
      <c r="Q1747">
        <v>0</v>
      </c>
      <c r="R1747" t="s">
        <v>243</v>
      </c>
    </row>
    <row r="1748" spans="1:18" x14ac:dyDescent="0.3">
      <c r="A1748" t="s">
        <v>259</v>
      </c>
      <c r="B1748" t="s">
        <v>40</v>
      </c>
      <c r="C1748" t="s">
        <v>275</v>
      </c>
      <c r="D1748" s="8">
        <v>4.4547725999999998E-6</v>
      </c>
      <c r="E1748" s="8">
        <v>6.3089616999999996E-6</v>
      </c>
      <c r="F1748" s="8">
        <v>6.0862194000000003E-6</v>
      </c>
      <c r="G1748" s="8">
        <v>7.4053187999999997E-6</v>
      </c>
      <c r="H1748" s="8">
        <v>9.3129073599999998E-6</v>
      </c>
      <c r="I1748" s="8">
        <v>9.8785671900000004E-6</v>
      </c>
      <c r="J1748" s="8">
        <v>1.0098578039999999E-5</v>
      </c>
      <c r="K1748" s="8">
        <v>1.02641436599999E-5</v>
      </c>
      <c r="L1748" s="8">
        <v>1.0293446199999999E-5</v>
      </c>
      <c r="M1748" s="8">
        <v>1.012215257E-5</v>
      </c>
      <c r="N1748" s="8">
        <v>9.8899481600000002E-6</v>
      </c>
      <c r="O1748">
        <v>0</v>
      </c>
      <c r="P1748">
        <v>0</v>
      </c>
      <c r="Q1748">
        <v>0</v>
      </c>
      <c r="R1748" t="s">
        <v>243</v>
      </c>
    </row>
    <row r="1749" spans="1:18" x14ac:dyDescent="0.3">
      <c r="A1749" t="s">
        <v>259</v>
      </c>
      <c r="B1749" t="s">
        <v>40</v>
      </c>
      <c r="C1749" t="s">
        <v>276</v>
      </c>
      <c r="D1749" s="8">
        <v>3.07306809999999E-6</v>
      </c>
      <c r="E1749" s="8">
        <v>4.86045419999999E-6</v>
      </c>
      <c r="F1749" s="8">
        <v>4.6792741300000002E-6</v>
      </c>
      <c r="G1749" s="8">
        <v>5.6440363299999999E-6</v>
      </c>
      <c r="H1749" s="8">
        <v>7.6268065700000003E-6</v>
      </c>
      <c r="I1749" s="8">
        <v>8.0239507100000007E-6</v>
      </c>
      <c r="J1749" s="8">
        <v>8.28573819E-6</v>
      </c>
      <c r="K1749" s="8">
        <v>8.5170744010000008E-6</v>
      </c>
      <c r="L1749" s="8">
        <v>8.6205985400000003E-6</v>
      </c>
      <c r="M1749" s="8">
        <v>8.5420891999999904E-6</v>
      </c>
      <c r="N1749" s="8">
        <v>8.4100975099999905E-6</v>
      </c>
      <c r="O1749">
        <v>0</v>
      </c>
      <c r="P1749">
        <v>0</v>
      </c>
      <c r="Q1749">
        <v>0</v>
      </c>
      <c r="R1749" t="s">
        <v>243</v>
      </c>
    </row>
    <row r="1750" spans="1:18" x14ac:dyDescent="0.3">
      <c r="A1750" t="s">
        <v>259</v>
      </c>
      <c r="B1750" t="s">
        <v>40</v>
      </c>
      <c r="C1750" t="s">
        <v>277</v>
      </c>
      <c r="D1750" s="8">
        <v>3.4189253699999999E-6</v>
      </c>
      <c r="E1750" s="8">
        <v>5.1390591799999901E-6</v>
      </c>
      <c r="F1750" s="8">
        <v>4.9614947700000001E-6</v>
      </c>
      <c r="G1750" s="8">
        <v>6.0140508699999996E-6</v>
      </c>
      <c r="H1750" s="8">
        <v>7.9055533000000006E-6</v>
      </c>
      <c r="I1750" s="8">
        <v>8.4142676200000008E-6</v>
      </c>
      <c r="J1750" s="8">
        <v>8.6749241199999907E-6</v>
      </c>
      <c r="K1750" s="8">
        <v>8.87992418999999E-6</v>
      </c>
      <c r="L1750" s="8">
        <v>8.9602946200000008E-6</v>
      </c>
      <c r="M1750" s="8">
        <v>8.8592205200000006E-6</v>
      </c>
      <c r="N1750" s="8">
        <v>8.7059578500000004E-6</v>
      </c>
      <c r="O1750">
        <v>0</v>
      </c>
      <c r="P1750">
        <v>0</v>
      </c>
      <c r="Q1750">
        <v>0</v>
      </c>
      <c r="R1750" t="s">
        <v>243</v>
      </c>
    </row>
    <row r="1751" spans="1:18" x14ac:dyDescent="0.3">
      <c r="A1751" t="s">
        <v>259</v>
      </c>
      <c r="B1751" t="s">
        <v>40</v>
      </c>
      <c r="C1751" t="s">
        <v>278</v>
      </c>
      <c r="D1751" s="8">
        <v>3.6067544000000001E-6</v>
      </c>
      <c r="E1751" s="8">
        <v>5.3059075999999999E-6</v>
      </c>
      <c r="F1751" s="8">
        <v>5.12721225E-6</v>
      </c>
      <c r="G1751" s="8">
        <v>6.2283394099999998E-6</v>
      </c>
      <c r="H1751" s="8">
        <v>8.1184897099999996E-6</v>
      </c>
      <c r="I1751" s="8">
        <v>8.6299591400000008E-6</v>
      </c>
      <c r="J1751" s="8">
        <v>8.88428816E-6</v>
      </c>
      <c r="K1751" s="8">
        <v>9.0808732699999996E-6</v>
      </c>
      <c r="L1751" s="8">
        <v>9.15482590999999E-6</v>
      </c>
      <c r="M1751" s="8">
        <v>9.0461504999999995E-6</v>
      </c>
      <c r="N1751" s="8">
        <v>8.8832716200000001E-6</v>
      </c>
      <c r="O1751">
        <v>0</v>
      </c>
      <c r="P1751">
        <v>0</v>
      </c>
      <c r="Q1751">
        <v>0</v>
      </c>
      <c r="R1751" t="s">
        <v>243</v>
      </c>
    </row>
    <row r="1752" spans="1:18" x14ac:dyDescent="0.3">
      <c r="A1752" t="s">
        <v>259</v>
      </c>
      <c r="B1752" t="s">
        <v>40</v>
      </c>
      <c r="C1752" t="s">
        <v>279</v>
      </c>
      <c r="D1752" s="8">
        <v>3.7511457000000001E-6</v>
      </c>
      <c r="E1752" s="8">
        <v>5.4405565000000002E-6</v>
      </c>
      <c r="F1752" s="8">
        <v>5.2523520000000003E-6</v>
      </c>
      <c r="G1752" s="8">
        <v>6.3833342999999998E-6</v>
      </c>
      <c r="H1752" s="8">
        <v>8.2738381799999995E-6</v>
      </c>
      <c r="I1752" s="8">
        <v>8.7985103200000007E-6</v>
      </c>
      <c r="J1752" s="8">
        <v>9.0491563699999996E-6</v>
      </c>
      <c r="K1752" s="8">
        <v>9.2397404499999905E-6</v>
      </c>
      <c r="L1752" s="8">
        <v>9.3096498800000003E-6</v>
      </c>
      <c r="M1752" s="8">
        <v>9.1939470599999994E-6</v>
      </c>
      <c r="N1752" s="8">
        <v>9.0226446799999993E-6</v>
      </c>
      <c r="O1752">
        <v>0</v>
      </c>
      <c r="P1752">
        <v>0</v>
      </c>
      <c r="Q1752">
        <v>0</v>
      </c>
      <c r="R1752" t="s">
        <v>243</v>
      </c>
    </row>
    <row r="1753" spans="1:18" x14ac:dyDescent="0.3">
      <c r="A1753" t="s">
        <v>259</v>
      </c>
      <c r="B1753" t="s">
        <v>40</v>
      </c>
      <c r="C1753" t="s">
        <v>280</v>
      </c>
      <c r="D1753" s="8">
        <v>3.8687042999999998E-6</v>
      </c>
      <c r="E1753" s="8">
        <v>5.5557994999999997E-6</v>
      </c>
      <c r="F1753" s="8">
        <v>5.3624528999999997E-6</v>
      </c>
      <c r="G1753" s="8">
        <v>6.52086149999999E-6</v>
      </c>
      <c r="H1753" s="8">
        <v>8.4124739499999992E-6</v>
      </c>
      <c r="I1753" s="8">
        <v>8.94741823999999E-6</v>
      </c>
      <c r="J1753" s="8">
        <v>9.1930231200000008E-6</v>
      </c>
      <c r="K1753" s="8">
        <v>9.3809800300000002E-6</v>
      </c>
      <c r="L1753" s="8">
        <v>9.4448457300000003E-6</v>
      </c>
      <c r="M1753" s="8">
        <v>9.32373824E-6</v>
      </c>
      <c r="N1753" s="8">
        <v>9.14607473E-6</v>
      </c>
      <c r="O1753">
        <v>0</v>
      </c>
      <c r="P1753">
        <v>0</v>
      </c>
      <c r="Q1753">
        <v>0</v>
      </c>
      <c r="R1753" t="s">
        <v>243</v>
      </c>
    </row>
    <row r="1754" spans="1:18" x14ac:dyDescent="0.3">
      <c r="A1754" t="s">
        <v>259</v>
      </c>
      <c r="B1754" t="s">
        <v>40</v>
      </c>
      <c r="C1754" t="s">
        <v>281</v>
      </c>
      <c r="D1754" s="8">
        <v>3.9764563000000003E-6</v>
      </c>
      <c r="E1754" s="8">
        <v>5.6667745999999999E-6</v>
      </c>
      <c r="F1754" s="8">
        <v>5.4702995000000003E-6</v>
      </c>
      <c r="G1754" s="8">
        <v>6.6507467000000001E-6</v>
      </c>
      <c r="H1754" s="8">
        <v>8.5440300000000003E-6</v>
      </c>
      <c r="I1754" s="8">
        <v>9.0932011900000007E-6</v>
      </c>
      <c r="J1754" s="8">
        <v>9.3347375600000005E-6</v>
      </c>
      <c r="K1754" s="8">
        <v>9.5189563599999999E-6</v>
      </c>
      <c r="L1754" s="8">
        <v>9.5782997899999997E-6</v>
      </c>
      <c r="M1754" s="8">
        <v>9.4492558400000002E-6</v>
      </c>
      <c r="N1754" s="8">
        <v>9.2620088399999995E-6</v>
      </c>
      <c r="O1754">
        <v>0</v>
      </c>
      <c r="P1754">
        <v>0</v>
      </c>
      <c r="Q1754">
        <v>0</v>
      </c>
      <c r="R1754" t="s">
        <v>243</v>
      </c>
    </row>
    <row r="1755" spans="1:18" x14ac:dyDescent="0.3">
      <c r="A1755" t="s">
        <v>259</v>
      </c>
      <c r="B1755" t="s">
        <v>40</v>
      </c>
      <c r="C1755" t="s">
        <v>282</v>
      </c>
      <c r="D1755" s="8">
        <v>4.0786833000000004E-6</v>
      </c>
      <c r="E1755" s="8">
        <v>5.7893913000000002E-6</v>
      </c>
      <c r="F1755" s="8">
        <v>5.5864219999999998E-6</v>
      </c>
      <c r="G1755" s="8">
        <v>6.8042793000000001E-6</v>
      </c>
      <c r="H1755" s="8">
        <v>8.70039897E-6</v>
      </c>
      <c r="I1755" s="8">
        <v>9.2507114799999995E-6</v>
      </c>
      <c r="J1755" s="8">
        <v>9.4895558799999998E-6</v>
      </c>
      <c r="K1755" s="8">
        <v>9.6698657799999893E-6</v>
      </c>
      <c r="L1755" s="8">
        <v>9.7222040300000003E-6</v>
      </c>
      <c r="M1755" s="8">
        <v>9.5839413000000002E-6</v>
      </c>
      <c r="N1755" s="8">
        <v>9.3883212499999993E-6</v>
      </c>
      <c r="O1755">
        <v>0</v>
      </c>
      <c r="P1755">
        <v>0</v>
      </c>
      <c r="Q1755">
        <v>0</v>
      </c>
      <c r="R1755" t="s">
        <v>243</v>
      </c>
    </row>
    <row r="1756" spans="1:18" x14ac:dyDescent="0.3">
      <c r="A1756" t="s">
        <v>259</v>
      </c>
      <c r="B1756" t="s">
        <v>40</v>
      </c>
      <c r="C1756" t="s">
        <v>283</v>
      </c>
      <c r="D1756" s="8">
        <v>4.2064595999999901E-6</v>
      </c>
      <c r="E1756" s="8">
        <v>5.9500381999999901E-6</v>
      </c>
      <c r="F1756" s="8">
        <v>5.7393649999999997E-6</v>
      </c>
      <c r="G1756" s="8">
        <v>6.9789151000000004E-6</v>
      </c>
      <c r="H1756" s="8">
        <v>8.8828611899999993E-6</v>
      </c>
      <c r="I1756" s="8">
        <v>9.4481354999999905E-6</v>
      </c>
      <c r="J1756" s="8">
        <v>9.6819320299999999E-6</v>
      </c>
      <c r="K1756" s="8">
        <v>9.8596832099999997E-6</v>
      </c>
      <c r="L1756" s="8">
        <v>9.9080666899999993E-6</v>
      </c>
      <c r="M1756" s="8">
        <v>9.7629045999999999E-6</v>
      </c>
      <c r="N1756" s="8">
        <v>9.5578787399999906E-6</v>
      </c>
      <c r="O1756">
        <v>0</v>
      </c>
      <c r="P1756">
        <v>0</v>
      </c>
      <c r="Q1756">
        <v>0</v>
      </c>
      <c r="R1756" t="s">
        <v>243</v>
      </c>
    </row>
    <row r="1757" spans="1:18" x14ac:dyDescent="0.3">
      <c r="A1757" t="s">
        <v>259</v>
      </c>
      <c r="B1757" t="s">
        <v>40</v>
      </c>
      <c r="C1757" t="s">
        <v>334</v>
      </c>
      <c r="D1757" s="8">
        <v>8.6457699999999997E-5</v>
      </c>
      <c r="E1757" s="8">
        <v>1.00545E-5</v>
      </c>
      <c r="F1757" s="8">
        <v>8.7028000000000008E-6</v>
      </c>
      <c r="G1757" s="8">
        <v>9.2111099999999996E-6</v>
      </c>
      <c r="H1757" s="8">
        <v>1.0366439999999901E-5</v>
      </c>
      <c r="I1757" s="8">
        <v>1.1172069999999901E-5</v>
      </c>
      <c r="J1757" s="8">
        <v>1.2015869999999999E-5</v>
      </c>
      <c r="K1757" s="8">
        <v>1.274949E-5</v>
      </c>
      <c r="L1757" s="8">
        <v>1.336534E-5</v>
      </c>
      <c r="M1757" s="8">
        <v>1.380336E-5</v>
      </c>
      <c r="N1757" s="8">
        <v>1.4151340000000001E-5</v>
      </c>
      <c r="O1757">
        <v>0</v>
      </c>
      <c r="P1757">
        <v>0</v>
      </c>
      <c r="Q1757">
        <v>0</v>
      </c>
      <c r="R1757" t="s">
        <v>243</v>
      </c>
    </row>
    <row r="1758" spans="1:18" x14ac:dyDescent="0.3">
      <c r="A1758" t="s">
        <v>259</v>
      </c>
      <c r="B1758" t="s">
        <v>40</v>
      </c>
      <c r="C1758" t="s">
        <v>335</v>
      </c>
      <c r="D1758" s="8">
        <v>4.0424499999999997E-6</v>
      </c>
      <c r="E1758" s="8">
        <v>4.2087199999999999E-7</v>
      </c>
      <c r="F1758" s="8">
        <v>3.4292499999999998E-7</v>
      </c>
      <c r="G1758" s="8">
        <v>3.3045E-7</v>
      </c>
      <c r="H1758" s="8">
        <v>3.6664299999999998E-7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243</v>
      </c>
    </row>
    <row r="1759" spans="1:18" x14ac:dyDescent="0.3">
      <c r="A1759" t="s">
        <v>259</v>
      </c>
      <c r="B1759" t="s">
        <v>40</v>
      </c>
      <c r="C1759" t="s">
        <v>336</v>
      </c>
      <c r="D1759" s="8">
        <v>4.8236099999999997E-5</v>
      </c>
      <c r="E1759" s="8">
        <v>5.1564100000000002E-6</v>
      </c>
      <c r="F1759" s="8">
        <v>4.4378500000000002E-6</v>
      </c>
      <c r="G1759" s="8">
        <v>4.5447599999999998E-6</v>
      </c>
      <c r="H1759" s="8">
        <v>5.0842600000000003E-6</v>
      </c>
      <c r="I1759" s="8">
        <v>5.5081299999999901E-6</v>
      </c>
      <c r="J1759" s="8">
        <v>5.9163849999999996E-6</v>
      </c>
      <c r="K1759" s="8">
        <v>6.2807769999999996E-6</v>
      </c>
      <c r="L1759" s="8">
        <v>6.5865599999999902E-6</v>
      </c>
      <c r="M1759" s="8">
        <v>6.8081199999999998E-6</v>
      </c>
      <c r="N1759" s="8">
        <v>6.98535E-6</v>
      </c>
      <c r="O1759">
        <v>0</v>
      </c>
      <c r="P1759">
        <v>0</v>
      </c>
      <c r="Q1759">
        <v>0</v>
      </c>
      <c r="R1759" t="s">
        <v>243</v>
      </c>
    </row>
    <row r="1760" spans="1:18" x14ac:dyDescent="0.3">
      <c r="A1760" t="s">
        <v>259</v>
      </c>
      <c r="B1760" t="s">
        <v>40</v>
      </c>
      <c r="C1760" t="s">
        <v>337</v>
      </c>
      <c r="D1760" s="8">
        <v>3.3059199999999997E-5</v>
      </c>
      <c r="E1760" s="8">
        <v>3.6760999999999998E-6</v>
      </c>
      <c r="F1760" s="8">
        <v>3.0704700000000001E-6</v>
      </c>
      <c r="G1760" s="8">
        <v>3.0727499999999999E-6</v>
      </c>
      <c r="H1760" s="8">
        <v>3.4093000000000001E-6</v>
      </c>
      <c r="I1760" s="8">
        <v>3.7279499999999899E-6</v>
      </c>
      <c r="J1760" s="8">
        <v>4.0072889999999996E-6</v>
      </c>
      <c r="K1760" s="8">
        <v>4.2509560000000001E-6</v>
      </c>
      <c r="L1760" s="8">
        <v>4.4556909999999999E-6</v>
      </c>
      <c r="M1760" s="8">
        <v>4.6033539999999998E-6</v>
      </c>
      <c r="N1760" s="8">
        <v>4.721424E-6</v>
      </c>
      <c r="O1760">
        <v>0</v>
      </c>
      <c r="P1760">
        <v>0</v>
      </c>
      <c r="Q1760">
        <v>0</v>
      </c>
      <c r="R1760" t="s">
        <v>243</v>
      </c>
    </row>
    <row r="1761" spans="1:18" x14ac:dyDescent="0.3">
      <c r="A1761" t="s">
        <v>259</v>
      </c>
      <c r="B1761" t="s">
        <v>40</v>
      </c>
      <c r="C1761" t="s">
        <v>338</v>
      </c>
      <c r="D1761" s="8">
        <v>2.59391E-5</v>
      </c>
      <c r="E1761" s="8">
        <v>2.8837E-6</v>
      </c>
      <c r="F1761" s="8">
        <v>2.3687700000000001E-6</v>
      </c>
      <c r="G1761" s="8">
        <v>2.3317500000000002E-6</v>
      </c>
      <c r="H1761" s="8">
        <v>2.58712999999999E-6</v>
      </c>
      <c r="I1761" s="8">
        <v>2.828843E-6</v>
      </c>
      <c r="J1761" s="8">
        <v>3.03982699999999E-6</v>
      </c>
      <c r="K1761" s="8">
        <v>3.2248500000000001E-6</v>
      </c>
      <c r="L1761" s="8">
        <v>3.3811690000000001E-6</v>
      </c>
      <c r="M1761" s="8">
        <v>3.494687E-6</v>
      </c>
      <c r="N1761" s="8">
        <v>3.585016E-6</v>
      </c>
      <c r="O1761">
        <v>0</v>
      </c>
      <c r="P1761">
        <v>0</v>
      </c>
      <c r="Q1761">
        <v>0</v>
      </c>
      <c r="R1761" t="s">
        <v>243</v>
      </c>
    </row>
    <row r="1762" spans="1:18" x14ac:dyDescent="0.3">
      <c r="A1762" t="s">
        <v>259</v>
      </c>
      <c r="B1762" t="s">
        <v>40</v>
      </c>
      <c r="C1762" t="s">
        <v>339</v>
      </c>
      <c r="D1762" s="8">
        <v>2.092E-5</v>
      </c>
      <c r="E1762" s="8">
        <v>2.3176999999999998E-6</v>
      </c>
      <c r="F1762" s="8">
        <v>1.9048200000000001E-6</v>
      </c>
      <c r="G1762" s="8">
        <v>1.8654E-6</v>
      </c>
      <c r="H1762" s="8">
        <v>2.0697080000000001E-6</v>
      </c>
      <c r="I1762" s="8">
        <v>2.2665069999999998E-6</v>
      </c>
      <c r="J1762" s="8">
        <v>2.4352220000000002E-6</v>
      </c>
      <c r="K1762" s="8">
        <v>2.58307799999999E-6</v>
      </c>
      <c r="L1762" s="8">
        <v>2.7090299999999998E-6</v>
      </c>
      <c r="M1762" s="8">
        <v>2.800494E-6</v>
      </c>
      <c r="N1762" s="8">
        <v>2.8730010000000001E-6</v>
      </c>
      <c r="O1762">
        <v>0</v>
      </c>
      <c r="P1762">
        <v>0</v>
      </c>
      <c r="Q1762">
        <v>0</v>
      </c>
      <c r="R1762" t="s">
        <v>243</v>
      </c>
    </row>
    <row r="1763" spans="1:18" x14ac:dyDescent="0.3">
      <c r="A1763" t="s">
        <v>259</v>
      </c>
      <c r="B1763" t="s">
        <v>40</v>
      </c>
      <c r="C1763" t="s">
        <v>340</v>
      </c>
      <c r="D1763" s="8">
        <v>1.7085899999999998E-5</v>
      </c>
      <c r="E1763" s="8">
        <v>1.8910199999999999E-6</v>
      </c>
      <c r="F1763" s="8">
        <v>1.55181E-6</v>
      </c>
      <c r="G1763" s="8">
        <v>1.51063E-6</v>
      </c>
      <c r="H1763" s="8">
        <v>1.676081E-6</v>
      </c>
      <c r="I1763" s="8">
        <v>1.8373359999999999E-6</v>
      </c>
      <c r="J1763" s="8">
        <v>1.973451E-6</v>
      </c>
      <c r="K1763" s="8">
        <v>2.09344E-6</v>
      </c>
      <c r="L1763" s="8">
        <v>2.1952120000000001E-6</v>
      </c>
      <c r="M1763" s="8">
        <v>2.2699049999999898E-6</v>
      </c>
      <c r="N1763" s="8">
        <v>2.3291669999999998E-6</v>
      </c>
      <c r="O1763">
        <v>0</v>
      </c>
      <c r="P1763">
        <v>0</v>
      </c>
      <c r="Q1763">
        <v>0</v>
      </c>
      <c r="R1763" t="s">
        <v>243</v>
      </c>
    </row>
    <row r="1764" spans="1:18" x14ac:dyDescent="0.3">
      <c r="A1764" t="s">
        <v>259</v>
      </c>
      <c r="B1764" t="s">
        <v>40</v>
      </c>
      <c r="C1764" t="s">
        <v>341</v>
      </c>
      <c r="D1764" s="8">
        <v>1.38324E-5</v>
      </c>
      <c r="E1764" s="8">
        <v>1.5398099999999999E-6</v>
      </c>
      <c r="F1764" s="8">
        <v>1.2578700000000001E-6</v>
      </c>
      <c r="G1764" s="8">
        <v>1.2259500000000001E-6</v>
      </c>
      <c r="H1764" s="8">
        <v>1.360228E-6</v>
      </c>
      <c r="I1764" s="8">
        <v>1.4934219999999999E-6</v>
      </c>
      <c r="J1764" s="8">
        <v>1.60376E-6</v>
      </c>
      <c r="K1764" s="8">
        <v>1.7010829999999899E-6</v>
      </c>
      <c r="L1764" s="8">
        <v>1.783909E-6</v>
      </c>
      <c r="M1764" s="8">
        <v>1.8444939999999999E-6</v>
      </c>
      <c r="N1764" s="8">
        <v>1.8922470000000001E-6</v>
      </c>
      <c r="O1764">
        <v>0</v>
      </c>
      <c r="P1764">
        <v>0</v>
      </c>
      <c r="Q1764">
        <v>0</v>
      </c>
      <c r="R1764" t="s">
        <v>243</v>
      </c>
    </row>
    <row r="1765" spans="1:18" x14ac:dyDescent="0.3">
      <c r="A1765" t="s">
        <v>259</v>
      </c>
      <c r="B1765" t="s">
        <v>40</v>
      </c>
      <c r="C1765" t="s">
        <v>342</v>
      </c>
      <c r="D1765" s="8">
        <v>1.1020699999999999E-5</v>
      </c>
      <c r="E1765" s="8">
        <v>1.21763E-6</v>
      </c>
      <c r="F1765" s="8">
        <v>9.9563399999999993E-7</v>
      </c>
      <c r="G1765" s="8">
        <v>9.5129499999999997E-7</v>
      </c>
      <c r="H1765" s="8">
        <v>1.055487E-6</v>
      </c>
      <c r="I1765" s="8">
        <v>1.1583790000000001E-6</v>
      </c>
      <c r="J1765" s="8">
        <v>1.244129E-6</v>
      </c>
      <c r="K1765" s="8">
        <v>1.3195259999999999E-6</v>
      </c>
      <c r="L1765" s="8">
        <v>1.383532E-6</v>
      </c>
      <c r="M1765" s="8">
        <v>1.4304139999999899E-6</v>
      </c>
      <c r="N1765" s="8">
        <v>1.4676060000000001E-6</v>
      </c>
      <c r="O1765">
        <v>0</v>
      </c>
      <c r="P1765">
        <v>0</v>
      </c>
      <c r="Q1765">
        <v>0</v>
      </c>
      <c r="R1765" t="s">
        <v>243</v>
      </c>
    </row>
    <row r="1766" spans="1:18" x14ac:dyDescent="0.3">
      <c r="A1766" t="s">
        <v>259</v>
      </c>
      <c r="B1766" t="s">
        <v>40</v>
      </c>
      <c r="C1766" t="s">
        <v>343</v>
      </c>
      <c r="D1766" s="8">
        <v>8.0169400000000005E-6</v>
      </c>
      <c r="E1766" s="8">
        <v>8.8528299999999997E-7</v>
      </c>
      <c r="F1766" s="8">
        <v>7.2619300000000005E-7</v>
      </c>
      <c r="G1766" s="8">
        <v>7.0667600000000002E-7</v>
      </c>
      <c r="H1766" s="8">
        <v>7.8456599999999999E-7</v>
      </c>
      <c r="I1766" s="8">
        <v>8.6224599999999998E-7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243</v>
      </c>
    </row>
    <row r="1767" spans="1:18" x14ac:dyDescent="0.3">
      <c r="A1767" t="s">
        <v>259</v>
      </c>
      <c r="B1767" t="s">
        <v>40</v>
      </c>
      <c r="C1767" t="s">
        <v>284</v>
      </c>
      <c r="D1767">
        <v>1.3062987393499901E-3</v>
      </c>
      <c r="E1767">
        <v>1.4083681715700001E-3</v>
      </c>
      <c r="F1767">
        <v>1.3070897455999999E-3</v>
      </c>
      <c r="G1767">
        <v>1.204652603E-3</v>
      </c>
      <c r="H1767">
        <v>1.249911719E-3</v>
      </c>
      <c r="I1767">
        <v>1.26159068799999E-3</v>
      </c>
      <c r="J1767">
        <v>1.3115223699999999E-3</v>
      </c>
      <c r="K1767">
        <v>1.32403957899999E-3</v>
      </c>
      <c r="L1767">
        <v>1.3371629715000001E-3</v>
      </c>
      <c r="M1767">
        <v>1.3222245389999999E-3</v>
      </c>
      <c r="N1767">
        <v>1.2946342178999999E-3</v>
      </c>
      <c r="O1767">
        <v>0</v>
      </c>
      <c r="P1767">
        <v>0</v>
      </c>
      <c r="Q1767">
        <v>0</v>
      </c>
      <c r="R1767" t="s">
        <v>243</v>
      </c>
    </row>
    <row r="1768" spans="1:18" x14ac:dyDescent="0.3">
      <c r="A1768" t="s">
        <v>259</v>
      </c>
      <c r="B1768" t="s">
        <v>40</v>
      </c>
      <c r="C1768" t="s">
        <v>285</v>
      </c>
      <c r="D1768">
        <v>2.0276015024E-3</v>
      </c>
      <c r="E1768">
        <v>2.0136636687999999E-3</v>
      </c>
      <c r="F1768">
        <v>1.9633376598000001E-3</v>
      </c>
      <c r="G1768">
        <v>1.8861100609999901E-3</v>
      </c>
      <c r="H1768">
        <v>1.919700191E-3</v>
      </c>
      <c r="I1768">
        <v>2.0081444319999999E-3</v>
      </c>
      <c r="J1768">
        <v>2.0288213892999899E-3</v>
      </c>
      <c r="K1768">
        <v>2.0122847401E-3</v>
      </c>
      <c r="L1768">
        <v>2.0085858701000001E-3</v>
      </c>
      <c r="M1768">
        <v>1.9702855473999999E-3</v>
      </c>
      <c r="N1768">
        <v>1.915208172E-3</v>
      </c>
      <c r="O1768">
        <v>0</v>
      </c>
      <c r="P1768">
        <v>0</v>
      </c>
      <c r="Q1768">
        <v>0</v>
      </c>
      <c r="R1768" t="s">
        <v>243</v>
      </c>
    </row>
    <row r="1769" spans="1:18" x14ac:dyDescent="0.3">
      <c r="A1769" t="s">
        <v>259</v>
      </c>
      <c r="B1769" t="s">
        <v>40</v>
      </c>
      <c r="C1769" t="s">
        <v>286</v>
      </c>
      <c r="D1769">
        <v>1.5301689314100001E-3</v>
      </c>
      <c r="E1769">
        <v>1.58777817644E-3</v>
      </c>
      <c r="F1769">
        <v>1.5210107935999999E-3</v>
      </c>
      <c r="G1769">
        <v>1.4394343649999999E-3</v>
      </c>
      <c r="H1769">
        <v>1.4771380179999999E-3</v>
      </c>
      <c r="I1769">
        <v>1.5212725925999901E-3</v>
      </c>
      <c r="J1769">
        <v>1.5612646709999901E-3</v>
      </c>
      <c r="K1769">
        <v>1.56747814949999E-3</v>
      </c>
      <c r="L1769">
        <v>1.5787918138E-3</v>
      </c>
      <c r="M1769">
        <v>1.56070152679999E-3</v>
      </c>
      <c r="N1769">
        <v>1.5292106091999999E-3</v>
      </c>
      <c r="O1769">
        <v>0</v>
      </c>
      <c r="P1769">
        <v>0</v>
      </c>
      <c r="Q1769">
        <v>0</v>
      </c>
      <c r="R1769" t="s">
        <v>243</v>
      </c>
    </row>
    <row r="1770" spans="1:18" x14ac:dyDescent="0.3">
      <c r="A1770" t="s">
        <v>259</v>
      </c>
      <c r="B1770" t="s">
        <v>40</v>
      </c>
      <c r="C1770" t="s">
        <v>287</v>
      </c>
      <c r="D1770">
        <v>1.64016286625E-3</v>
      </c>
      <c r="E1770">
        <v>1.65684862153E-3</v>
      </c>
      <c r="F1770">
        <v>1.6058151640999899E-3</v>
      </c>
      <c r="G1770">
        <v>1.532599483E-3</v>
      </c>
      <c r="H1770">
        <v>1.5547267709999999E-3</v>
      </c>
      <c r="I1770">
        <v>1.6309626667999899E-3</v>
      </c>
      <c r="J1770">
        <v>1.66562016799999E-3</v>
      </c>
      <c r="K1770">
        <v>1.6658864017E-3</v>
      </c>
      <c r="L1770">
        <v>1.6737555627E-3</v>
      </c>
      <c r="M1770">
        <v>1.6515469946999999E-3</v>
      </c>
      <c r="N1770">
        <v>1.6160629347999899E-3</v>
      </c>
      <c r="O1770">
        <v>0</v>
      </c>
      <c r="P1770">
        <v>0</v>
      </c>
      <c r="Q1770">
        <v>0</v>
      </c>
      <c r="R1770" t="s">
        <v>243</v>
      </c>
    </row>
    <row r="1771" spans="1:18" x14ac:dyDescent="0.3">
      <c r="A1771" t="s">
        <v>259</v>
      </c>
      <c r="B1771" t="s">
        <v>40</v>
      </c>
      <c r="C1771" t="s">
        <v>288</v>
      </c>
      <c r="D1771">
        <v>1.6983428020699901E-3</v>
      </c>
      <c r="E1771">
        <v>1.7016760205999901E-3</v>
      </c>
      <c r="F1771">
        <v>1.6564906627E-3</v>
      </c>
      <c r="G1771">
        <v>1.5867103300000001E-3</v>
      </c>
      <c r="H1771">
        <v>1.6134871109999901E-3</v>
      </c>
      <c r="I1771">
        <v>1.6907089550999999E-3</v>
      </c>
      <c r="J1771">
        <v>1.7217114176000001E-3</v>
      </c>
      <c r="K1771">
        <v>1.7193829624999901E-3</v>
      </c>
      <c r="L1771">
        <v>1.7264017446E-3</v>
      </c>
      <c r="M1771">
        <v>1.7029854858E-3</v>
      </c>
      <c r="N1771">
        <v>1.6656007887E-3</v>
      </c>
      <c r="O1771">
        <v>0</v>
      </c>
      <c r="P1771">
        <v>0</v>
      </c>
      <c r="Q1771">
        <v>0</v>
      </c>
      <c r="R1771" t="s">
        <v>243</v>
      </c>
    </row>
    <row r="1772" spans="1:18" x14ac:dyDescent="0.3">
      <c r="A1772" t="s">
        <v>259</v>
      </c>
      <c r="B1772" t="s">
        <v>40</v>
      </c>
      <c r="C1772" t="s">
        <v>289</v>
      </c>
      <c r="D1772">
        <v>1.74398846549999E-3</v>
      </c>
      <c r="E1772">
        <v>1.74019181248E-3</v>
      </c>
      <c r="F1772">
        <v>1.6955548172000001E-3</v>
      </c>
      <c r="G1772">
        <v>1.626024376E-3</v>
      </c>
      <c r="H1772">
        <v>1.655457972E-3</v>
      </c>
      <c r="I1772">
        <v>1.7358661694999999E-3</v>
      </c>
      <c r="J1772">
        <v>1.7648407164999899E-3</v>
      </c>
      <c r="K1772">
        <v>1.7603304417999901E-3</v>
      </c>
      <c r="L1772">
        <v>1.7665899175000001E-3</v>
      </c>
      <c r="M1772">
        <v>1.7416787377E-3</v>
      </c>
      <c r="N1772">
        <v>1.7023463869000001E-3</v>
      </c>
      <c r="O1772">
        <v>0</v>
      </c>
      <c r="P1772">
        <v>0</v>
      </c>
      <c r="Q1772">
        <v>0</v>
      </c>
      <c r="R1772" t="s">
        <v>243</v>
      </c>
    </row>
    <row r="1773" spans="1:18" x14ac:dyDescent="0.3">
      <c r="A1773" t="s">
        <v>259</v>
      </c>
      <c r="B1773" t="s">
        <v>40</v>
      </c>
      <c r="C1773" t="s">
        <v>290</v>
      </c>
      <c r="D1773">
        <v>1.783395693E-3</v>
      </c>
      <c r="E1773">
        <v>1.7749038994999901E-3</v>
      </c>
      <c r="F1773">
        <v>1.7303706416000001E-3</v>
      </c>
      <c r="G1773">
        <v>1.6609202E-3</v>
      </c>
      <c r="H1773">
        <v>1.6918345389999999E-3</v>
      </c>
      <c r="I1773">
        <v>1.7745522785E-3</v>
      </c>
      <c r="J1773">
        <v>1.8017252065999901E-3</v>
      </c>
      <c r="K1773">
        <v>1.7958131529E-3</v>
      </c>
      <c r="L1773">
        <v>1.80063565809999E-3</v>
      </c>
      <c r="M1773">
        <v>1.77448902209999E-3</v>
      </c>
      <c r="N1773">
        <v>1.7335838397999901E-3</v>
      </c>
      <c r="O1773">
        <v>0</v>
      </c>
      <c r="P1773">
        <v>0</v>
      </c>
      <c r="Q1773">
        <v>0</v>
      </c>
      <c r="R1773" t="s">
        <v>243</v>
      </c>
    </row>
    <row r="1774" spans="1:18" x14ac:dyDescent="0.3">
      <c r="A1774" t="s">
        <v>259</v>
      </c>
      <c r="B1774" t="s">
        <v>40</v>
      </c>
      <c r="C1774" t="s">
        <v>291</v>
      </c>
      <c r="D1774">
        <v>1.8221039162999999E-3</v>
      </c>
      <c r="E1774">
        <v>1.8093590661E-3</v>
      </c>
      <c r="F1774">
        <v>1.7648029821999999E-3</v>
      </c>
      <c r="G1774">
        <v>1.69392331E-3</v>
      </c>
      <c r="H1774">
        <v>1.7256555140000001E-3</v>
      </c>
      <c r="I1774">
        <v>1.811585295E-3</v>
      </c>
      <c r="J1774">
        <v>1.8375204835000001E-3</v>
      </c>
      <c r="K1774">
        <v>1.8299396037E-3</v>
      </c>
      <c r="L1774">
        <v>1.8336577918E-3</v>
      </c>
      <c r="M1774">
        <v>1.80559377649999E-3</v>
      </c>
      <c r="N1774">
        <v>1.7622554351999901E-3</v>
      </c>
      <c r="O1774">
        <v>0</v>
      </c>
      <c r="P1774">
        <v>0</v>
      </c>
      <c r="Q1774">
        <v>0</v>
      </c>
      <c r="R1774" t="s">
        <v>243</v>
      </c>
    </row>
    <row r="1775" spans="1:18" x14ac:dyDescent="0.3">
      <c r="A1775" t="s">
        <v>259</v>
      </c>
      <c r="B1775" t="s">
        <v>40</v>
      </c>
      <c r="C1775" t="s">
        <v>292</v>
      </c>
      <c r="D1775">
        <v>1.8620254468E-3</v>
      </c>
      <c r="E1775">
        <v>1.8480337709000001E-3</v>
      </c>
      <c r="F1775">
        <v>1.8022158753E-3</v>
      </c>
      <c r="G1775">
        <v>1.732977469E-3</v>
      </c>
      <c r="H1775">
        <v>1.765295822E-3</v>
      </c>
      <c r="I1775">
        <v>1.8512144171999999E-3</v>
      </c>
      <c r="J1775">
        <v>1.8764188270000001E-3</v>
      </c>
      <c r="K1775">
        <v>1.8669745375E-3</v>
      </c>
      <c r="L1775">
        <v>1.8689620480999999E-3</v>
      </c>
      <c r="M1775">
        <v>1.8386736788E-3</v>
      </c>
      <c r="N1775">
        <v>1.7931403920000001E-3</v>
      </c>
      <c r="O1775">
        <v>0</v>
      </c>
      <c r="P1775">
        <v>0</v>
      </c>
      <c r="Q1775">
        <v>0</v>
      </c>
      <c r="R1775" t="s">
        <v>243</v>
      </c>
    </row>
    <row r="1776" spans="1:18" x14ac:dyDescent="0.3">
      <c r="A1776" t="s">
        <v>259</v>
      </c>
      <c r="B1776" t="s">
        <v>40</v>
      </c>
      <c r="C1776" t="s">
        <v>293</v>
      </c>
      <c r="D1776">
        <v>1.9160988587999901E-3</v>
      </c>
      <c r="E1776">
        <v>1.8991739772E-3</v>
      </c>
      <c r="F1776">
        <v>1.8514987682E-3</v>
      </c>
      <c r="G1776">
        <v>1.7774608879999999E-3</v>
      </c>
      <c r="H1776">
        <v>1.81128943E-3</v>
      </c>
      <c r="I1776">
        <v>1.9004843446E-3</v>
      </c>
      <c r="J1776">
        <v>1.9244770034999999E-3</v>
      </c>
      <c r="K1776">
        <v>1.9134169788999999E-3</v>
      </c>
      <c r="L1776">
        <v>1.9144084382999901E-3</v>
      </c>
      <c r="M1776">
        <v>1.8824324075E-3</v>
      </c>
      <c r="N1776">
        <v>1.8344380029999901E-3</v>
      </c>
      <c r="O1776">
        <v>0</v>
      </c>
      <c r="P1776">
        <v>0</v>
      </c>
      <c r="Q1776">
        <v>0</v>
      </c>
      <c r="R1776" t="s">
        <v>243</v>
      </c>
    </row>
    <row r="1777" spans="1:18" x14ac:dyDescent="0.3">
      <c r="A1777" t="s">
        <v>259</v>
      </c>
      <c r="B1777" t="s">
        <v>40</v>
      </c>
      <c r="C1777" t="s">
        <v>294</v>
      </c>
      <c r="D1777" s="8">
        <v>4.4581220000000001E-5</v>
      </c>
      <c r="E1777" s="8">
        <v>5.0622543999999999E-5</v>
      </c>
      <c r="F1777" s="8">
        <v>4.8599005E-5</v>
      </c>
      <c r="G1777" s="8">
        <v>4.6270041000000001E-5</v>
      </c>
      <c r="H1777" s="8">
        <v>5.0043902000000003E-5</v>
      </c>
      <c r="I1777" s="8">
        <v>5.0786879000000002E-5</v>
      </c>
      <c r="J1777" s="8">
        <v>5.8771144299999897E-5</v>
      </c>
      <c r="K1777" s="8">
        <v>6.2767596099999999E-5</v>
      </c>
      <c r="L1777" s="8">
        <v>6.5327345499999995E-5</v>
      </c>
      <c r="M1777" s="8">
        <v>6.6128284999999906E-5</v>
      </c>
      <c r="N1777" s="8">
        <v>6.6203903E-5</v>
      </c>
      <c r="O1777">
        <v>0</v>
      </c>
      <c r="P1777">
        <v>0</v>
      </c>
      <c r="Q1777">
        <v>0</v>
      </c>
      <c r="R1777" t="s">
        <v>243</v>
      </c>
    </row>
    <row r="1778" spans="1:18" x14ac:dyDescent="0.3">
      <c r="A1778" t="s">
        <v>259</v>
      </c>
      <c r="B1778" t="s">
        <v>40</v>
      </c>
      <c r="C1778" t="s">
        <v>295</v>
      </c>
      <c r="D1778" s="8">
        <v>3.0778496999999999E-4</v>
      </c>
      <c r="E1778" s="8">
        <v>2.9386688E-4</v>
      </c>
      <c r="F1778" s="8">
        <v>3.1055349999999999E-4</v>
      </c>
      <c r="G1778" s="8">
        <v>3.1699616000000001E-4</v>
      </c>
      <c r="H1778" s="8">
        <v>3.2354169000000001E-4</v>
      </c>
      <c r="I1778" s="8">
        <v>3.5094789799999999E-4</v>
      </c>
      <c r="J1778" s="8">
        <v>3.7973236399999998E-4</v>
      </c>
      <c r="K1778" s="8">
        <v>4.0204076899999898E-4</v>
      </c>
      <c r="L1778" s="8">
        <v>4.1897817799999899E-4</v>
      </c>
      <c r="M1778" s="8">
        <v>4.2738388600000002E-4</v>
      </c>
      <c r="N1778" s="8">
        <v>4.3197333100000003E-4</v>
      </c>
      <c r="O1778">
        <v>0</v>
      </c>
      <c r="P1778">
        <v>0</v>
      </c>
      <c r="Q1778">
        <v>0</v>
      </c>
      <c r="R1778" t="s">
        <v>243</v>
      </c>
    </row>
    <row r="1779" spans="1:18" x14ac:dyDescent="0.3">
      <c r="A1779" t="s">
        <v>259</v>
      </c>
      <c r="B1779" t="s">
        <v>40</v>
      </c>
      <c r="C1779" t="s">
        <v>296</v>
      </c>
      <c r="D1779" s="8">
        <v>6.9378459999999895E-5</v>
      </c>
      <c r="E1779" s="8">
        <v>8.1897143000000003E-5</v>
      </c>
      <c r="F1779" s="8">
        <v>7.9592799999999995E-5</v>
      </c>
      <c r="G1779" s="8">
        <v>7.7968606999999997E-5</v>
      </c>
      <c r="H1779" s="8">
        <v>8.0905471000000001E-5</v>
      </c>
      <c r="I1779" s="8">
        <v>8.2122639999999907E-5</v>
      </c>
      <c r="J1779" s="8">
        <v>9.3777096999999904E-5</v>
      </c>
      <c r="K1779" s="8">
        <v>1.0057698400000001E-4</v>
      </c>
      <c r="L1779" s="8">
        <v>1.049358583E-4</v>
      </c>
      <c r="M1779" s="8">
        <v>1.06619105E-4</v>
      </c>
      <c r="N1779" s="8">
        <v>1.07132577E-4</v>
      </c>
      <c r="O1779">
        <v>0</v>
      </c>
      <c r="P1779">
        <v>0</v>
      </c>
      <c r="Q1779">
        <v>0</v>
      </c>
      <c r="R1779" t="s">
        <v>243</v>
      </c>
    </row>
    <row r="1780" spans="1:18" x14ac:dyDescent="0.3">
      <c r="A1780" t="s">
        <v>259</v>
      </c>
      <c r="B1780" t="s">
        <v>40</v>
      </c>
      <c r="C1780" t="s">
        <v>297</v>
      </c>
      <c r="D1780" s="8">
        <v>9.106989E-5</v>
      </c>
      <c r="E1780" s="8">
        <v>1.02707795E-4</v>
      </c>
      <c r="F1780" s="8">
        <v>1.02361273E-4</v>
      </c>
      <c r="G1780" s="8">
        <v>1.0202537E-4</v>
      </c>
      <c r="H1780" s="8">
        <v>9.8324464999999906E-5</v>
      </c>
      <c r="I1780" s="8">
        <v>1.08094556E-4</v>
      </c>
      <c r="J1780" s="8">
        <v>1.22232475E-4</v>
      </c>
      <c r="K1780" s="8">
        <v>1.3062294700000001E-4</v>
      </c>
      <c r="L1780" s="8">
        <v>1.3583175399999999E-4</v>
      </c>
      <c r="M1780" s="8">
        <v>1.3760687100000001E-4</v>
      </c>
      <c r="N1780" s="8">
        <v>1.3795630500000001E-4</v>
      </c>
      <c r="O1780">
        <v>0</v>
      </c>
      <c r="P1780">
        <v>0</v>
      </c>
      <c r="Q1780">
        <v>0</v>
      </c>
      <c r="R1780" t="s">
        <v>243</v>
      </c>
    </row>
    <row r="1781" spans="1:18" x14ac:dyDescent="0.3">
      <c r="A1781" t="s">
        <v>259</v>
      </c>
      <c r="B1781" t="s">
        <v>40</v>
      </c>
      <c r="C1781" t="s">
        <v>298</v>
      </c>
      <c r="D1781" s="8">
        <v>1.07721759999999E-4</v>
      </c>
      <c r="E1781" s="8">
        <v>1.19815422E-4</v>
      </c>
      <c r="F1781" s="8">
        <v>1.211333E-4</v>
      </c>
      <c r="G1781" s="8">
        <v>1.2210771E-4</v>
      </c>
      <c r="H1781" s="8">
        <v>1.17730462E-4</v>
      </c>
      <c r="I1781" s="8">
        <v>1.28967363E-4</v>
      </c>
      <c r="J1781" s="8">
        <v>1.4497835200000001E-4</v>
      </c>
      <c r="K1781" s="8">
        <v>1.5497775199999899E-4</v>
      </c>
      <c r="L1781" s="8">
        <v>1.6145733600000001E-4</v>
      </c>
      <c r="M1781" s="8">
        <v>1.63952497E-4</v>
      </c>
      <c r="N1781" s="8">
        <v>1.6456177700000001E-4</v>
      </c>
      <c r="O1781">
        <v>0</v>
      </c>
      <c r="P1781">
        <v>0</v>
      </c>
      <c r="Q1781">
        <v>0</v>
      </c>
      <c r="R1781" t="s">
        <v>243</v>
      </c>
    </row>
    <row r="1782" spans="1:18" x14ac:dyDescent="0.3">
      <c r="A1782" t="s">
        <v>259</v>
      </c>
      <c r="B1782" t="s">
        <v>40</v>
      </c>
      <c r="C1782" t="s">
        <v>299</v>
      </c>
      <c r="D1782" s="8">
        <v>1.2441454999999999E-4</v>
      </c>
      <c r="E1782" s="8">
        <v>1.3677479999999999E-4</v>
      </c>
      <c r="F1782" s="8">
        <v>1.3870190000000001E-4</v>
      </c>
      <c r="G1782" s="8">
        <v>1.4029325999999901E-4</v>
      </c>
      <c r="H1782" s="8">
        <v>1.36317977999999E-4</v>
      </c>
      <c r="I1782" s="8">
        <v>1.4938745E-4</v>
      </c>
      <c r="J1782" s="8">
        <v>1.6728878600000001E-4</v>
      </c>
      <c r="K1782" s="8">
        <v>1.7864053399999999E-4</v>
      </c>
      <c r="L1782" s="8">
        <v>1.86437127E-4</v>
      </c>
      <c r="M1782" s="8">
        <v>1.89505739E-4</v>
      </c>
      <c r="N1782" s="8">
        <v>1.90290203E-4</v>
      </c>
      <c r="O1782">
        <v>0</v>
      </c>
      <c r="P1782">
        <v>0</v>
      </c>
      <c r="Q1782">
        <v>0</v>
      </c>
      <c r="R1782" t="s">
        <v>243</v>
      </c>
    </row>
    <row r="1783" spans="1:18" x14ac:dyDescent="0.3">
      <c r="A1783" t="s">
        <v>259</v>
      </c>
      <c r="B1783" t="s">
        <v>40</v>
      </c>
      <c r="C1783" t="s">
        <v>300</v>
      </c>
      <c r="D1783" s="8">
        <v>1.4185120000000001E-4</v>
      </c>
      <c r="E1783" s="8">
        <v>1.5372279999999999E-4</v>
      </c>
      <c r="F1783" s="8">
        <v>1.5661239999999901E-4</v>
      </c>
      <c r="G1783" s="8">
        <v>1.5904381999999999E-4</v>
      </c>
      <c r="H1783" s="8">
        <v>1.5575245499999999E-4</v>
      </c>
      <c r="I1783" s="8">
        <v>1.7044469200000001E-4</v>
      </c>
      <c r="J1783" s="8">
        <v>1.8992433200000001E-4</v>
      </c>
      <c r="K1783" s="8">
        <v>2.0284454299999901E-4</v>
      </c>
      <c r="L1783" s="8">
        <v>2.1152861999999999E-4</v>
      </c>
      <c r="M1783" s="8">
        <v>2.1533326899999999E-4</v>
      </c>
      <c r="N1783" s="8">
        <v>2.1653832099999899E-4</v>
      </c>
      <c r="O1783">
        <v>0</v>
      </c>
      <c r="P1783">
        <v>0</v>
      </c>
      <c r="Q1783">
        <v>0</v>
      </c>
      <c r="R1783" t="s">
        <v>243</v>
      </c>
    </row>
    <row r="1784" spans="1:18" x14ac:dyDescent="0.3">
      <c r="A1784" t="s">
        <v>259</v>
      </c>
      <c r="B1784" t="s">
        <v>40</v>
      </c>
      <c r="C1784" t="s">
        <v>301</v>
      </c>
      <c r="D1784" s="8">
        <v>1.6183836999999999E-4</v>
      </c>
      <c r="E1784" s="8">
        <v>1.7195563000000001E-4</v>
      </c>
      <c r="F1784" s="8">
        <v>1.7624163E-4</v>
      </c>
      <c r="G1784" s="8">
        <v>1.7887379999999999E-4</v>
      </c>
      <c r="H1784" s="8">
        <v>1.77211287E-4</v>
      </c>
      <c r="I1784" s="8">
        <v>1.93706772999999E-4</v>
      </c>
      <c r="J1784" s="8">
        <v>2.14958183999999E-4</v>
      </c>
      <c r="K1784" s="8">
        <v>2.2931126099999999E-4</v>
      </c>
      <c r="L1784" s="8">
        <v>2.3923329699999899E-4</v>
      </c>
      <c r="M1784" s="8">
        <v>2.4343926599999999E-4</v>
      </c>
      <c r="N1784" s="8">
        <v>2.4456438100000001E-4</v>
      </c>
      <c r="O1784">
        <v>0</v>
      </c>
      <c r="P1784">
        <v>0</v>
      </c>
      <c r="Q1784">
        <v>0</v>
      </c>
      <c r="R1784" t="s">
        <v>243</v>
      </c>
    </row>
    <row r="1785" spans="1:18" x14ac:dyDescent="0.3">
      <c r="A1785" t="s">
        <v>259</v>
      </c>
      <c r="B1785" t="s">
        <v>40</v>
      </c>
      <c r="C1785" t="s">
        <v>302</v>
      </c>
      <c r="D1785" s="8">
        <v>1.853476E-4</v>
      </c>
      <c r="E1785" s="8">
        <v>1.9385896999999901E-4</v>
      </c>
      <c r="F1785" s="8">
        <v>1.9945731999999999E-4</v>
      </c>
      <c r="G1785" s="8">
        <v>2.0460709999999999E-4</v>
      </c>
      <c r="H1785" s="8">
        <v>2.02837987E-4</v>
      </c>
      <c r="I1785" s="8">
        <v>2.2163369499999901E-4</v>
      </c>
      <c r="J1785" s="8">
        <v>2.4516658799999999E-4</v>
      </c>
      <c r="K1785" s="8">
        <v>2.61203196999999E-4</v>
      </c>
      <c r="L1785" s="8">
        <v>2.7219582599999998E-4</v>
      </c>
      <c r="M1785" s="8">
        <v>2.7686615899999998E-4</v>
      </c>
      <c r="N1785" s="8">
        <v>2.78459774E-4</v>
      </c>
      <c r="O1785">
        <v>0</v>
      </c>
      <c r="P1785">
        <v>0</v>
      </c>
      <c r="Q1785">
        <v>0</v>
      </c>
      <c r="R1785" t="s">
        <v>243</v>
      </c>
    </row>
    <row r="1786" spans="1:18" x14ac:dyDescent="0.3">
      <c r="A1786" t="s">
        <v>259</v>
      </c>
      <c r="B1786" t="s">
        <v>40</v>
      </c>
      <c r="C1786" t="s">
        <v>303</v>
      </c>
      <c r="D1786" s="8">
        <v>2.2146057000000001E-4</v>
      </c>
      <c r="E1786" s="8">
        <v>2.2455005999999999E-4</v>
      </c>
      <c r="F1786" s="8">
        <v>2.3240665E-4</v>
      </c>
      <c r="G1786" s="8">
        <v>2.3625377999999999E-4</v>
      </c>
      <c r="H1786" s="8">
        <v>2.3790992E-4</v>
      </c>
      <c r="I1786" s="8">
        <v>2.5992356999999898E-4</v>
      </c>
      <c r="J1786" s="8">
        <v>2.8584029699999999E-4</v>
      </c>
      <c r="K1786" s="8">
        <v>3.04434777E-4</v>
      </c>
      <c r="L1786" s="8">
        <v>3.1791218199999998E-4</v>
      </c>
      <c r="M1786" s="8">
        <v>3.24290279E-4</v>
      </c>
      <c r="N1786" s="8">
        <v>3.2697994699999998E-4</v>
      </c>
      <c r="O1786">
        <v>0</v>
      </c>
      <c r="P1786">
        <v>0</v>
      </c>
      <c r="Q1786">
        <v>0</v>
      </c>
      <c r="R1786" t="s">
        <v>243</v>
      </c>
    </row>
    <row r="1787" spans="1:18" x14ac:dyDescent="0.3">
      <c r="A1787" t="s">
        <v>259</v>
      </c>
      <c r="B1787" t="s">
        <v>40</v>
      </c>
      <c r="C1787" t="s">
        <v>304</v>
      </c>
      <c r="D1787" s="8">
        <v>8.22869E-5</v>
      </c>
      <c r="E1787" s="8">
        <v>1.3464999999999999E-4</v>
      </c>
      <c r="F1787" s="8">
        <v>1.29574E-4</v>
      </c>
      <c r="G1787" s="8">
        <v>1.5375100000000001E-4</v>
      </c>
      <c r="H1787" s="8">
        <v>1.839338E-4</v>
      </c>
      <c r="I1787" s="8">
        <v>1.9496349999999999E-4</v>
      </c>
      <c r="J1787" s="8">
        <v>2.0817930000000001E-4</v>
      </c>
      <c r="K1787" s="8">
        <v>2.234758E-4</v>
      </c>
      <c r="L1787" s="8">
        <v>2.3557910000000001E-4</v>
      </c>
      <c r="M1787" s="8">
        <v>2.4408899999999999E-4</v>
      </c>
      <c r="N1787" s="8">
        <v>2.5083020000000002E-4</v>
      </c>
      <c r="O1787">
        <v>0</v>
      </c>
      <c r="P1787">
        <v>0</v>
      </c>
      <c r="Q1787">
        <v>0</v>
      </c>
      <c r="R1787" t="s">
        <v>243</v>
      </c>
    </row>
    <row r="1788" spans="1:18" x14ac:dyDescent="0.3">
      <c r="A1788" t="s">
        <v>259</v>
      </c>
      <c r="B1788" t="s">
        <v>40</v>
      </c>
      <c r="C1788" t="s">
        <v>305</v>
      </c>
      <c r="D1788" s="8">
        <v>1.3977E-4</v>
      </c>
      <c r="E1788" s="8">
        <v>2.0035800000000001E-4</v>
      </c>
      <c r="F1788" s="8">
        <v>1.9331700000000001E-4</v>
      </c>
      <c r="G1788" s="8">
        <v>2.35419E-4</v>
      </c>
      <c r="H1788" s="8">
        <v>2.6123299999999998E-4</v>
      </c>
      <c r="I1788" s="8">
        <v>2.8660259999999999E-4</v>
      </c>
      <c r="J1788" s="8">
        <v>3.0777959999999998E-4</v>
      </c>
      <c r="K1788" s="8">
        <v>3.264955E-4</v>
      </c>
      <c r="L1788" s="8">
        <v>3.423384E-4</v>
      </c>
      <c r="M1788" s="8">
        <v>3.5413060000000001E-4</v>
      </c>
      <c r="N1788" s="8">
        <v>3.6347160000000002E-4</v>
      </c>
      <c r="O1788">
        <v>0</v>
      </c>
      <c r="P1788">
        <v>0</v>
      </c>
      <c r="Q1788">
        <v>0</v>
      </c>
      <c r="R1788" t="s">
        <v>243</v>
      </c>
    </row>
    <row r="1789" spans="1:18" x14ac:dyDescent="0.3">
      <c r="A1789" t="s">
        <v>259</v>
      </c>
      <c r="B1789" t="s">
        <v>40</v>
      </c>
      <c r="C1789" t="s">
        <v>306</v>
      </c>
      <c r="D1789" s="8">
        <v>1.00513E-4</v>
      </c>
      <c r="E1789" s="8">
        <v>1.56112E-4</v>
      </c>
      <c r="F1789" s="8">
        <v>1.5010800000000001E-4</v>
      </c>
      <c r="G1789" s="8">
        <v>1.81101E-4</v>
      </c>
      <c r="H1789" s="8">
        <v>2.058536E-4</v>
      </c>
      <c r="I1789" s="8">
        <v>2.2214899999999999E-4</v>
      </c>
      <c r="J1789" s="8">
        <v>2.3827659999999901E-4</v>
      </c>
      <c r="K1789" s="8">
        <v>2.5377430000000001E-4</v>
      </c>
      <c r="L1789" s="8">
        <v>2.6643749999999899E-4</v>
      </c>
      <c r="M1789" s="8">
        <v>2.756344E-4</v>
      </c>
      <c r="N1789" s="8">
        <v>2.8297659999999998E-4</v>
      </c>
      <c r="O1789">
        <v>0</v>
      </c>
      <c r="P1789">
        <v>0</v>
      </c>
      <c r="Q1789">
        <v>0</v>
      </c>
      <c r="R1789" t="s">
        <v>243</v>
      </c>
    </row>
    <row r="1790" spans="1:18" x14ac:dyDescent="0.3">
      <c r="A1790" t="s">
        <v>259</v>
      </c>
      <c r="B1790" t="s">
        <v>40</v>
      </c>
      <c r="C1790" t="s">
        <v>307</v>
      </c>
      <c r="D1790" s="8">
        <v>1.10103E-4</v>
      </c>
      <c r="E1790" s="8">
        <v>1.6406999999999999E-4</v>
      </c>
      <c r="F1790" s="8">
        <v>1.5826100000000001E-4</v>
      </c>
      <c r="G1790" s="8">
        <v>1.9191999999999999E-4</v>
      </c>
      <c r="H1790" s="8">
        <v>2.1393129999999999E-4</v>
      </c>
      <c r="I1790" s="8">
        <v>2.3380969999999999E-4</v>
      </c>
      <c r="J1790" s="8">
        <v>2.5125460000000001E-4</v>
      </c>
      <c r="K1790" s="8">
        <v>2.6679310000000001E-4</v>
      </c>
      <c r="L1790" s="8">
        <v>2.7967079999999999E-4</v>
      </c>
      <c r="M1790" s="8">
        <v>2.8901349999999997E-4</v>
      </c>
      <c r="N1790" s="8">
        <v>2.9647499999999998E-4</v>
      </c>
      <c r="O1790">
        <v>0</v>
      </c>
      <c r="P1790">
        <v>0</v>
      </c>
      <c r="Q1790">
        <v>0</v>
      </c>
      <c r="R1790" t="s">
        <v>243</v>
      </c>
    </row>
    <row r="1791" spans="1:18" x14ac:dyDescent="0.3">
      <c r="A1791" t="s">
        <v>259</v>
      </c>
      <c r="B1791" t="s">
        <v>40</v>
      </c>
      <c r="C1791" t="s">
        <v>308</v>
      </c>
      <c r="D1791" s="8">
        <v>1.1519300000000001E-4</v>
      </c>
      <c r="E1791" s="8">
        <v>1.68961E-4</v>
      </c>
      <c r="F1791" s="8">
        <v>1.6317099999999999E-4</v>
      </c>
      <c r="G1791" s="8">
        <v>1.98333E-4</v>
      </c>
      <c r="H1791" s="8">
        <v>2.20459E-4</v>
      </c>
      <c r="I1791" s="8">
        <v>2.40933799999999E-4</v>
      </c>
      <c r="J1791" s="8">
        <v>2.589111E-4</v>
      </c>
      <c r="K1791" s="8">
        <v>2.7478479999999998E-4</v>
      </c>
      <c r="L1791" s="8">
        <v>2.880666E-4</v>
      </c>
      <c r="M1791" s="8">
        <v>2.977821E-4</v>
      </c>
      <c r="N1791" s="8">
        <v>3.055019E-4</v>
      </c>
      <c r="O1791">
        <v>0</v>
      </c>
      <c r="P1791">
        <v>0</v>
      </c>
      <c r="Q1791">
        <v>0</v>
      </c>
      <c r="R1791" t="s">
        <v>243</v>
      </c>
    </row>
    <row r="1792" spans="1:18" x14ac:dyDescent="0.3">
      <c r="A1792" t="s">
        <v>259</v>
      </c>
      <c r="B1792" t="s">
        <v>40</v>
      </c>
      <c r="C1792" t="s">
        <v>309</v>
      </c>
      <c r="D1792" s="8">
        <v>1.1907400000000001E-4</v>
      </c>
      <c r="E1792" s="8">
        <v>1.7299899999999999E-4</v>
      </c>
      <c r="F1792" s="8">
        <v>1.6698E-4</v>
      </c>
      <c r="G1792" s="8">
        <v>2.0308500000000001E-4</v>
      </c>
      <c r="H1792" s="8">
        <v>2.25505E-4</v>
      </c>
      <c r="I1792" s="8">
        <v>2.468231E-4</v>
      </c>
      <c r="J1792" s="8">
        <v>2.6523459999999998E-4</v>
      </c>
      <c r="K1792" s="8">
        <v>2.814014E-4</v>
      </c>
      <c r="L1792" s="8">
        <v>2.9506230000000001E-4</v>
      </c>
      <c r="M1792" s="8">
        <v>3.050563E-4</v>
      </c>
      <c r="N1792" s="8">
        <v>3.1297310000000001E-4</v>
      </c>
      <c r="O1792">
        <v>0</v>
      </c>
      <c r="P1792">
        <v>0</v>
      </c>
      <c r="Q1792">
        <v>0</v>
      </c>
      <c r="R1792" t="s">
        <v>243</v>
      </c>
    </row>
    <row r="1793" spans="1:18" x14ac:dyDescent="0.3">
      <c r="A1793" t="s">
        <v>259</v>
      </c>
      <c r="B1793" t="s">
        <v>40</v>
      </c>
      <c r="C1793" t="s">
        <v>310</v>
      </c>
      <c r="D1793" s="8">
        <v>1.2228299999999999E-4</v>
      </c>
      <c r="E1793" s="8">
        <v>1.76544E-4</v>
      </c>
      <c r="F1793" s="8">
        <v>1.7039E-4</v>
      </c>
      <c r="G1793" s="8">
        <v>2.0736499999999999E-4</v>
      </c>
      <c r="H1793" s="8">
        <v>2.3015700000000001E-4</v>
      </c>
      <c r="I1793" s="8">
        <v>2.5217209999999998E-4</v>
      </c>
      <c r="J1793" s="8">
        <v>2.7090069999999999E-4</v>
      </c>
      <c r="K1793" s="8">
        <v>2.8741850000000001E-4</v>
      </c>
      <c r="L1793" s="8">
        <v>3.0132329999999998E-4</v>
      </c>
      <c r="M1793" s="8">
        <v>3.1160690000000001E-4</v>
      </c>
      <c r="N1793" s="8">
        <v>3.197567E-4</v>
      </c>
      <c r="O1793">
        <v>0</v>
      </c>
      <c r="P1793">
        <v>0</v>
      </c>
      <c r="Q1793">
        <v>0</v>
      </c>
      <c r="R1793" t="s">
        <v>243</v>
      </c>
    </row>
    <row r="1794" spans="1:18" x14ac:dyDescent="0.3">
      <c r="A1794" t="s">
        <v>259</v>
      </c>
      <c r="B1794" t="s">
        <v>40</v>
      </c>
      <c r="C1794" t="s">
        <v>311</v>
      </c>
      <c r="D1794" s="8">
        <v>1.25277E-4</v>
      </c>
      <c r="E1794" s="8">
        <v>1.8001099999999999E-4</v>
      </c>
      <c r="F1794" s="8">
        <v>1.7377199999999999E-4</v>
      </c>
      <c r="G1794" s="8">
        <v>2.1144999999999999E-4</v>
      </c>
      <c r="H1794" s="8">
        <v>2.34653E-4</v>
      </c>
      <c r="I1794" s="8">
        <v>2.5749799999999999E-4</v>
      </c>
      <c r="J1794" s="8">
        <v>2.7657389999999999E-4</v>
      </c>
      <c r="K1794" s="8">
        <v>2.9340079999999998E-4</v>
      </c>
      <c r="L1794" s="8">
        <v>3.0761450000000001E-4</v>
      </c>
      <c r="M1794" s="8">
        <v>3.1809150000000001E-4</v>
      </c>
      <c r="N1794" s="8">
        <v>3.2634100000000001E-4</v>
      </c>
      <c r="O1794">
        <v>0</v>
      </c>
      <c r="P1794">
        <v>0</v>
      </c>
      <c r="Q1794">
        <v>0</v>
      </c>
      <c r="R1794" t="s">
        <v>243</v>
      </c>
    </row>
    <row r="1795" spans="1:18" x14ac:dyDescent="0.3">
      <c r="A1795" t="s">
        <v>259</v>
      </c>
      <c r="B1795" t="s">
        <v>40</v>
      </c>
      <c r="C1795" t="s">
        <v>312</v>
      </c>
      <c r="D1795" s="8">
        <v>1.2822199999999999E-4</v>
      </c>
      <c r="E1795" s="8">
        <v>1.8387399999999999E-4</v>
      </c>
      <c r="F1795" s="8">
        <v>1.77453E-4</v>
      </c>
      <c r="G1795" s="8">
        <v>2.1630999999999999E-4</v>
      </c>
      <c r="H1795" s="8">
        <v>2.4003100000000001E-4</v>
      </c>
      <c r="I1795" s="8">
        <v>2.6329599999999999E-4</v>
      </c>
      <c r="J1795" s="8">
        <v>2.8284049999999998E-4</v>
      </c>
      <c r="K1795" s="8">
        <v>3.0002289999999998E-4</v>
      </c>
      <c r="L1795" s="8">
        <v>3.1450249999999999E-4</v>
      </c>
      <c r="M1795" s="8">
        <v>3.2518959999999899E-4</v>
      </c>
      <c r="N1795" s="8">
        <v>3.3365970000000001E-4</v>
      </c>
      <c r="O1795">
        <v>0</v>
      </c>
      <c r="P1795">
        <v>0</v>
      </c>
      <c r="Q1795">
        <v>0</v>
      </c>
      <c r="R1795" t="s">
        <v>243</v>
      </c>
    </row>
    <row r="1796" spans="1:18" x14ac:dyDescent="0.3">
      <c r="A1796" t="s">
        <v>259</v>
      </c>
      <c r="B1796" t="s">
        <v>40</v>
      </c>
      <c r="C1796" t="s">
        <v>313</v>
      </c>
      <c r="D1796" s="8">
        <v>1.3205500000000001E-4</v>
      </c>
      <c r="E1796" s="8">
        <v>1.8896599999999999E-4</v>
      </c>
      <c r="F1796" s="8">
        <v>1.8230500000000001E-4</v>
      </c>
      <c r="G1796" s="8">
        <v>2.2185799999999999E-4</v>
      </c>
      <c r="H1796" s="8">
        <v>2.4633899999999999E-4</v>
      </c>
      <c r="I1796" s="8">
        <v>2.70592E-4</v>
      </c>
      <c r="J1796" s="8">
        <v>2.9064070000000002E-4</v>
      </c>
      <c r="K1796" s="8">
        <v>3.0835839999999998E-4</v>
      </c>
      <c r="L1796" s="8">
        <v>3.2337579999999999E-4</v>
      </c>
      <c r="M1796" s="8">
        <v>3.3452969999999999E-4</v>
      </c>
      <c r="N1796" s="8">
        <v>3.4334989999999999E-4</v>
      </c>
      <c r="O1796">
        <v>0</v>
      </c>
      <c r="P1796">
        <v>0</v>
      </c>
      <c r="Q1796">
        <v>0</v>
      </c>
      <c r="R1796" t="s">
        <v>243</v>
      </c>
    </row>
    <row r="1797" spans="1:18" x14ac:dyDescent="0.3">
      <c r="A1797" t="s">
        <v>259</v>
      </c>
      <c r="B1797" t="s">
        <v>40</v>
      </c>
      <c r="C1797" t="s">
        <v>314</v>
      </c>
      <c r="D1797" s="8">
        <v>1.5085E-5</v>
      </c>
      <c r="E1797" s="8">
        <v>2.6224099999999999E-5</v>
      </c>
      <c r="F1797" s="8">
        <v>2.5343699999999999E-5</v>
      </c>
      <c r="G1797" s="8">
        <v>2.9719499999999999E-5</v>
      </c>
      <c r="H1797" s="8">
        <v>3.7837099999999997E-5</v>
      </c>
      <c r="I1797" s="8">
        <v>3.8805299999999999E-5</v>
      </c>
      <c r="J1797" s="8">
        <v>4.0954100000000001E-5</v>
      </c>
      <c r="K1797" s="8">
        <v>4.42786E-5</v>
      </c>
      <c r="L1797" s="8">
        <v>4.6682099999999998E-5</v>
      </c>
      <c r="M1797" s="8">
        <v>4.82469E-5</v>
      </c>
      <c r="N1797" s="8">
        <v>4.9375000000000001E-5</v>
      </c>
      <c r="O1797">
        <v>0</v>
      </c>
      <c r="P1797">
        <v>0</v>
      </c>
      <c r="Q1797">
        <v>0</v>
      </c>
      <c r="R1797" t="s">
        <v>243</v>
      </c>
    </row>
    <row r="1798" spans="1:18" x14ac:dyDescent="0.3">
      <c r="A1798" t="s">
        <v>259</v>
      </c>
      <c r="B1798" t="s">
        <v>40</v>
      </c>
      <c r="C1798" t="s">
        <v>315</v>
      </c>
      <c r="D1798" s="8">
        <v>3.5667000000000003E-5</v>
      </c>
      <c r="E1798" s="8">
        <v>4.8310099999999997E-5</v>
      </c>
      <c r="F1798" s="8">
        <v>4.6453899999999999E-5</v>
      </c>
      <c r="G1798" s="8">
        <v>5.6529600000000002E-5</v>
      </c>
      <c r="H1798" s="8">
        <v>6.1690600000000002E-5</v>
      </c>
      <c r="I1798" s="8">
        <v>6.6632100000000002E-5</v>
      </c>
      <c r="J1798" s="8">
        <v>7.0849800000000001E-5</v>
      </c>
      <c r="K1798" s="8">
        <v>7.4353900000000007E-5</v>
      </c>
      <c r="L1798" s="8">
        <v>7.7161400000000003E-5</v>
      </c>
      <c r="M1798" s="8">
        <v>7.9070800000000002E-5</v>
      </c>
      <c r="N1798" s="8">
        <v>8.0335700000000004E-5</v>
      </c>
      <c r="O1798">
        <v>0</v>
      </c>
      <c r="P1798">
        <v>0</v>
      </c>
      <c r="Q1798">
        <v>0</v>
      </c>
      <c r="R1798" t="s">
        <v>243</v>
      </c>
    </row>
    <row r="1799" spans="1:18" x14ac:dyDescent="0.3">
      <c r="A1799" t="s">
        <v>259</v>
      </c>
      <c r="B1799" t="s">
        <v>40</v>
      </c>
      <c r="C1799" t="s">
        <v>316</v>
      </c>
      <c r="D1799" s="8">
        <v>2.0381E-5</v>
      </c>
      <c r="E1799" s="8">
        <v>3.3886300000000001E-5</v>
      </c>
      <c r="F1799" s="8">
        <v>3.2675200000000002E-5</v>
      </c>
      <c r="G1799" s="8">
        <v>3.9174600000000003E-5</v>
      </c>
      <c r="H1799" s="8">
        <v>4.6165599999999997E-5</v>
      </c>
      <c r="I1799" s="8">
        <v>4.8493299999999999E-5</v>
      </c>
      <c r="J1799" s="8">
        <v>5.1388299999999997E-5</v>
      </c>
      <c r="K1799" s="8">
        <v>5.4836800000000003E-5</v>
      </c>
      <c r="L1799" s="8">
        <v>5.7365799999999999E-5</v>
      </c>
      <c r="M1799" s="8">
        <v>5.9044099999999999E-5</v>
      </c>
      <c r="N1799" s="8">
        <v>6.0219400000000001E-5</v>
      </c>
      <c r="O1799">
        <v>0</v>
      </c>
      <c r="P1799">
        <v>0</v>
      </c>
      <c r="Q1799">
        <v>0</v>
      </c>
      <c r="R1799" t="s">
        <v>243</v>
      </c>
    </row>
    <row r="1800" spans="1:18" x14ac:dyDescent="0.3">
      <c r="A1800" t="s">
        <v>259</v>
      </c>
      <c r="B1800" t="s">
        <v>40</v>
      </c>
      <c r="C1800" t="s">
        <v>317</v>
      </c>
      <c r="D1800" s="8">
        <v>2.3857199999999999E-5</v>
      </c>
      <c r="E1800" s="8">
        <v>3.7176199999999998E-5</v>
      </c>
      <c r="F1800" s="8">
        <v>3.6011699999999999E-5</v>
      </c>
      <c r="G1800" s="8">
        <v>4.3552800000000001E-5</v>
      </c>
      <c r="H1800" s="8">
        <v>4.9071499999999999E-5</v>
      </c>
      <c r="I1800" s="8">
        <v>5.28883E-5</v>
      </c>
      <c r="J1800" s="8">
        <v>5.6166199999999998E-5</v>
      </c>
      <c r="K1800" s="8">
        <v>5.9425600000000002E-5</v>
      </c>
      <c r="L1800" s="8">
        <v>6.1873300000000003E-5</v>
      </c>
      <c r="M1800" s="8">
        <v>6.3471299999999997E-5</v>
      </c>
      <c r="N1800" s="8">
        <v>6.4559299999999997E-5</v>
      </c>
      <c r="O1800">
        <v>0</v>
      </c>
      <c r="P1800">
        <v>0</v>
      </c>
      <c r="Q1800">
        <v>0</v>
      </c>
      <c r="R1800" t="s">
        <v>243</v>
      </c>
    </row>
    <row r="1801" spans="1:18" x14ac:dyDescent="0.3">
      <c r="A1801" t="s">
        <v>259</v>
      </c>
      <c r="B1801" t="s">
        <v>40</v>
      </c>
      <c r="C1801" t="s">
        <v>318</v>
      </c>
      <c r="D1801" s="8">
        <v>2.5970599999999998E-5</v>
      </c>
      <c r="E1801" s="8">
        <v>3.9184299999999997E-5</v>
      </c>
      <c r="F1801" s="8">
        <v>3.7970599999999999E-5</v>
      </c>
      <c r="G1801" s="8">
        <v>4.6106500000000003E-5</v>
      </c>
      <c r="H1801" s="8">
        <v>5.1314199999999997E-5</v>
      </c>
      <c r="I1801" s="8">
        <v>5.52649E-5</v>
      </c>
      <c r="J1801" s="8">
        <v>5.8730400000000003E-5</v>
      </c>
      <c r="K1801" s="8">
        <v>6.1931400000000001E-5</v>
      </c>
      <c r="L1801" s="8">
        <v>6.4391099999999994E-5</v>
      </c>
      <c r="M1801" s="8">
        <v>6.6016600000000001E-5</v>
      </c>
      <c r="N1801" s="8">
        <v>6.7102900000000004E-5</v>
      </c>
      <c r="O1801">
        <v>0</v>
      </c>
      <c r="P1801">
        <v>0</v>
      </c>
      <c r="Q1801">
        <v>0</v>
      </c>
      <c r="R1801" t="s">
        <v>243</v>
      </c>
    </row>
    <row r="1802" spans="1:18" x14ac:dyDescent="0.3">
      <c r="A1802" t="s">
        <v>259</v>
      </c>
      <c r="B1802" t="s">
        <v>40</v>
      </c>
      <c r="C1802" t="s">
        <v>319</v>
      </c>
      <c r="D1802" s="8">
        <v>2.7705899999999998E-5</v>
      </c>
      <c r="E1802" s="8">
        <v>4.0739399999999998E-5</v>
      </c>
      <c r="F1802" s="8">
        <v>3.9375100000000002E-5</v>
      </c>
      <c r="G1802" s="8">
        <v>4.78542E-5</v>
      </c>
      <c r="H1802" s="8">
        <v>5.2877999999999998E-5</v>
      </c>
      <c r="I1802" s="8">
        <v>5.7015500000000003E-5</v>
      </c>
      <c r="J1802" s="8">
        <v>6.0622999999999999E-5</v>
      </c>
      <c r="K1802" s="8">
        <v>6.3782999999999996E-5</v>
      </c>
      <c r="L1802" s="8">
        <v>6.6267999999999996E-5</v>
      </c>
      <c r="M1802" s="8">
        <v>6.7911300000000001E-5</v>
      </c>
      <c r="N1802" s="8">
        <v>6.8998700000000001E-5</v>
      </c>
      <c r="O1802">
        <v>0</v>
      </c>
      <c r="P1802">
        <v>0</v>
      </c>
      <c r="Q1802">
        <v>0</v>
      </c>
      <c r="R1802" t="s">
        <v>243</v>
      </c>
    </row>
    <row r="1803" spans="1:18" x14ac:dyDescent="0.3">
      <c r="A1803" t="s">
        <v>259</v>
      </c>
      <c r="B1803" t="s">
        <v>40</v>
      </c>
      <c r="C1803" t="s">
        <v>320</v>
      </c>
      <c r="D1803" s="8">
        <v>2.9190899999999999E-5</v>
      </c>
      <c r="E1803" s="8">
        <v>4.1985199999999999E-5</v>
      </c>
      <c r="F1803" s="8">
        <v>4.0513999999999999E-5</v>
      </c>
      <c r="G1803" s="8">
        <v>4.92789E-5</v>
      </c>
      <c r="H1803" s="8">
        <v>5.4177500000000001E-5</v>
      </c>
      <c r="I1803" s="8">
        <v>5.8459099999999997E-5</v>
      </c>
      <c r="J1803" s="8">
        <v>6.2159100000000006E-5</v>
      </c>
      <c r="K1803" s="8">
        <v>6.5325400000000003E-5</v>
      </c>
      <c r="L1803" s="8">
        <v>6.7818900000000002E-5</v>
      </c>
      <c r="M1803" s="8">
        <v>6.9496E-5</v>
      </c>
      <c r="N1803" s="8">
        <v>7.0606700000000003E-5</v>
      </c>
      <c r="O1803">
        <v>0</v>
      </c>
      <c r="P1803">
        <v>0</v>
      </c>
      <c r="Q1803">
        <v>0</v>
      </c>
      <c r="R1803" t="s">
        <v>243</v>
      </c>
    </row>
    <row r="1804" spans="1:18" x14ac:dyDescent="0.3">
      <c r="A1804" t="s">
        <v>259</v>
      </c>
      <c r="B1804" t="s">
        <v>40</v>
      </c>
      <c r="C1804" t="s">
        <v>321</v>
      </c>
      <c r="D1804" s="8">
        <v>3.0566399999999999E-5</v>
      </c>
      <c r="E1804" s="8">
        <v>4.3087300000000003E-5</v>
      </c>
      <c r="F1804" s="8">
        <v>4.1535200000000002E-5</v>
      </c>
      <c r="G1804" s="8">
        <v>5.05089E-5</v>
      </c>
      <c r="H1804" s="8">
        <v>5.5343799999999997E-5</v>
      </c>
      <c r="I1804" s="8">
        <v>5.9799800000000003E-5</v>
      </c>
      <c r="J1804" s="8">
        <v>6.3586199999999998E-5</v>
      </c>
      <c r="K1804" s="8">
        <v>6.6769599999999999E-5</v>
      </c>
      <c r="L1804" s="8">
        <v>6.9301200000000007E-5</v>
      </c>
      <c r="M1804" s="8">
        <v>7.0997100000000005E-5</v>
      </c>
      <c r="N1804" s="8">
        <v>7.2107000000000006E-5</v>
      </c>
      <c r="O1804">
        <v>0</v>
      </c>
      <c r="P1804">
        <v>0</v>
      </c>
      <c r="Q1804">
        <v>0</v>
      </c>
      <c r="R1804" t="s">
        <v>243</v>
      </c>
    </row>
    <row r="1805" spans="1:18" x14ac:dyDescent="0.3">
      <c r="A1805" t="s">
        <v>259</v>
      </c>
      <c r="B1805" t="s">
        <v>40</v>
      </c>
      <c r="C1805" t="s">
        <v>322</v>
      </c>
      <c r="D1805" s="8">
        <v>3.1848099999999998E-5</v>
      </c>
      <c r="E1805" s="8">
        <v>4.4194799999999999E-5</v>
      </c>
      <c r="F1805" s="8">
        <v>4.2548900000000002E-5</v>
      </c>
      <c r="G1805" s="8">
        <v>5.1838900000000003E-5</v>
      </c>
      <c r="H1805" s="8">
        <v>5.6662100000000001E-5</v>
      </c>
      <c r="I1805" s="8">
        <v>6.1194199999999998E-5</v>
      </c>
      <c r="J1805" s="8">
        <v>6.5085499999999999E-5</v>
      </c>
      <c r="K1805" s="8">
        <v>6.8312900000000001E-5</v>
      </c>
      <c r="L1805" s="8">
        <v>7.0879100000000004E-5</v>
      </c>
      <c r="M1805" s="8">
        <v>7.2602399999999995E-5</v>
      </c>
      <c r="N1805" s="8">
        <v>7.3741599999999999E-5</v>
      </c>
      <c r="O1805">
        <v>0</v>
      </c>
      <c r="P1805">
        <v>0</v>
      </c>
      <c r="Q1805">
        <v>0</v>
      </c>
      <c r="R1805" t="s">
        <v>243</v>
      </c>
    </row>
    <row r="1806" spans="1:18" x14ac:dyDescent="0.3">
      <c r="A1806" t="s">
        <v>259</v>
      </c>
      <c r="B1806" t="s">
        <v>40</v>
      </c>
      <c r="C1806" t="s">
        <v>323</v>
      </c>
      <c r="D1806" s="8">
        <v>3.3324000000000001E-5</v>
      </c>
      <c r="E1806" s="8">
        <v>4.5526599999999999E-5</v>
      </c>
      <c r="F1806" s="8">
        <v>4.3785300000000002E-5</v>
      </c>
      <c r="G1806" s="8">
        <v>5.32467E-5</v>
      </c>
      <c r="H1806" s="8">
        <v>5.81698E-5</v>
      </c>
      <c r="I1806" s="8">
        <v>6.29074E-5</v>
      </c>
      <c r="J1806" s="8">
        <v>6.6901000000000002E-5</v>
      </c>
      <c r="K1806" s="8">
        <v>7.02221E-5</v>
      </c>
      <c r="L1806" s="8">
        <v>7.2886799999999995E-5</v>
      </c>
      <c r="M1806" s="8">
        <v>7.4693599999999999E-5</v>
      </c>
      <c r="N1806" s="8">
        <v>7.5887699999999995E-5</v>
      </c>
      <c r="O1806">
        <v>0</v>
      </c>
      <c r="P1806">
        <v>0</v>
      </c>
      <c r="Q1806">
        <v>0</v>
      </c>
      <c r="R1806" t="s">
        <v>243</v>
      </c>
    </row>
    <row r="1807" spans="1:18" x14ac:dyDescent="0.3">
      <c r="A1807" t="s">
        <v>259</v>
      </c>
      <c r="B1807" t="s">
        <v>427</v>
      </c>
      <c r="C1807" t="s">
        <v>261</v>
      </c>
      <c r="D1807" s="8">
        <v>9.3018999999999998E-5</v>
      </c>
      <c r="E1807" s="8">
        <v>2.9241402500000002E-4</v>
      </c>
      <c r="F1807" s="8">
        <v>4.1433202300000002E-4</v>
      </c>
      <c r="G1807" s="8">
        <v>4.0909198299999899E-4</v>
      </c>
      <c r="H1807" s="8">
        <v>4.6873313799999998E-4</v>
      </c>
      <c r="I1807" s="8">
        <v>5.2269124900000002E-4</v>
      </c>
      <c r="J1807" s="8">
        <v>5.9726456689999897E-4</v>
      </c>
      <c r="K1807" s="8">
        <v>6.632477617E-4</v>
      </c>
      <c r="L1807" s="8">
        <v>7.0672755099999995E-4</v>
      </c>
      <c r="M1807" s="8">
        <v>7.303452532E-4</v>
      </c>
      <c r="N1807" s="8">
        <v>7.4177844489999999E-4</v>
      </c>
      <c r="O1807">
        <v>0</v>
      </c>
      <c r="P1807">
        <v>0</v>
      </c>
      <c r="Q1807">
        <v>0</v>
      </c>
      <c r="R1807" t="s">
        <v>243</v>
      </c>
    </row>
    <row r="1808" spans="1:18" x14ac:dyDescent="0.3">
      <c r="A1808" t="s">
        <v>259</v>
      </c>
      <c r="B1808" t="s">
        <v>427</v>
      </c>
      <c r="C1808" t="s">
        <v>262</v>
      </c>
      <c r="D1808" s="8">
        <v>4.7406E-4</v>
      </c>
      <c r="E1808">
        <v>4.7221325000000001E-3</v>
      </c>
      <c r="F1808">
        <v>3.5605631999999902E-3</v>
      </c>
      <c r="G1808">
        <v>2.9672969999999998E-3</v>
      </c>
      <c r="H1808">
        <v>2.6717154399999899E-3</v>
      </c>
      <c r="I1808">
        <v>2.7664943119399899E-3</v>
      </c>
      <c r="J1808">
        <v>2.96300527661E-3</v>
      </c>
      <c r="K1808">
        <v>2.9522742165899998E-3</v>
      </c>
      <c r="L1808">
        <v>2.71067344415E-3</v>
      </c>
      <c r="M1808">
        <v>2.79340459923E-3</v>
      </c>
      <c r="N1808">
        <v>2.8407238710999902E-3</v>
      </c>
      <c r="O1808">
        <v>0</v>
      </c>
      <c r="P1808">
        <v>0</v>
      </c>
      <c r="Q1808">
        <v>0</v>
      </c>
      <c r="R1808" t="s">
        <v>243</v>
      </c>
    </row>
    <row r="1809" spans="1:18" x14ac:dyDescent="0.3">
      <c r="A1809" t="s">
        <v>259</v>
      </c>
      <c r="B1809" t="s">
        <v>427</v>
      </c>
      <c r="C1809" t="s">
        <v>263</v>
      </c>
      <c r="D1809">
        <v>1.0503188E-3</v>
      </c>
      <c r="E1809">
        <v>4.9011430999999998E-3</v>
      </c>
      <c r="F1809">
        <v>5.73651765E-3</v>
      </c>
      <c r="G1809">
        <v>5.4399896099999899E-3</v>
      </c>
      <c r="H1809">
        <v>6.0603971599999997E-3</v>
      </c>
      <c r="I1809">
        <v>6.92681728349999E-3</v>
      </c>
      <c r="J1809">
        <v>8.4011894559999998E-3</v>
      </c>
      <c r="K1809">
        <v>9.72322139E-3</v>
      </c>
      <c r="L1809">
        <v>1.0825864629999999E-2</v>
      </c>
      <c r="M1809">
        <v>1.177987803E-2</v>
      </c>
      <c r="N1809">
        <v>1.25696796299999E-2</v>
      </c>
      <c r="O1809">
        <v>0</v>
      </c>
      <c r="P1809">
        <v>0</v>
      </c>
      <c r="Q1809">
        <v>0</v>
      </c>
      <c r="R1809" t="s">
        <v>243</v>
      </c>
    </row>
    <row r="1810" spans="1:18" x14ac:dyDescent="0.3">
      <c r="A1810" t="s">
        <v>259</v>
      </c>
      <c r="B1810" t="s">
        <v>427</v>
      </c>
      <c r="C1810" t="s">
        <v>264</v>
      </c>
      <c r="D1810" s="8">
        <v>1.9382509999999999E-4</v>
      </c>
      <c r="E1810" s="8">
        <v>2.7044979999999997E-4</v>
      </c>
      <c r="F1810" s="8">
        <v>2.9505929999999899E-4</v>
      </c>
      <c r="G1810" s="8">
        <v>2.963358E-4</v>
      </c>
      <c r="H1810" s="8">
        <v>2.8257177999999999E-4</v>
      </c>
      <c r="I1810" s="8">
        <v>3.2598137999999998E-4</v>
      </c>
      <c r="J1810" s="8">
        <v>3.6868325999999898E-4</v>
      </c>
      <c r="K1810" s="8">
        <v>3.9021214999999899E-4</v>
      </c>
      <c r="L1810" s="8">
        <v>3.9164889E-4</v>
      </c>
      <c r="M1810" s="8">
        <v>3.8228375000000001E-4</v>
      </c>
      <c r="N1810" s="8">
        <v>3.7308849999999902E-4</v>
      </c>
      <c r="O1810">
        <v>0</v>
      </c>
      <c r="P1810">
        <v>0</v>
      </c>
      <c r="Q1810">
        <v>0</v>
      </c>
      <c r="R1810" t="s">
        <v>243</v>
      </c>
    </row>
    <row r="1811" spans="1:18" x14ac:dyDescent="0.3">
      <c r="A1811" t="s">
        <v>259</v>
      </c>
      <c r="B1811" t="s">
        <v>427</v>
      </c>
      <c r="C1811" t="s">
        <v>265</v>
      </c>
      <c r="D1811" s="8">
        <v>6.05684E-4</v>
      </c>
      <c r="E1811">
        <v>1.024056E-3</v>
      </c>
      <c r="F1811" s="8">
        <v>9.6500100000000005E-4</v>
      </c>
      <c r="G1811">
        <v>1.0076928E-3</v>
      </c>
      <c r="H1811" s="8">
        <v>9.6624803999999904E-4</v>
      </c>
      <c r="I1811" s="8">
        <v>9.9156621999999992E-4</v>
      </c>
      <c r="J1811">
        <v>1.0198111499999901E-3</v>
      </c>
      <c r="K1811">
        <v>1.0336455100000001E-3</v>
      </c>
      <c r="L1811">
        <v>1.00655178E-3</v>
      </c>
      <c r="M1811" s="8">
        <v>9.5619074999999895E-4</v>
      </c>
      <c r="N1811" s="8">
        <v>9.1054887999999904E-4</v>
      </c>
      <c r="O1811">
        <v>0</v>
      </c>
      <c r="P1811">
        <v>0</v>
      </c>
      <c r="Q1811">
        <v>0</v>
      </c>
      <c r="R1811" t="s">
        <v>243</v>
      </c>
    </row>
    <row r="1812" spans="1:18" x14ac:dyDescent="0.3">
      <c r="A1812" t="s">
        <v>259</v>
      </c>
      <c r="B1812" t="s">
        <v>427</v>
      </c>
      <c r="C1812" t="s">
        <v>266</v>
      </c>
      <c r="D1812" s="8">
        <v>2.8232810000000002E-4</v>
      </c>
      <c r="E1812" s="8">
        <v>4.4264849999999998E-4</v>
      </c>
      <c r="F1812" s="8">
        <v>4.663437E-4</v>
      </c>
      <c r="G1812" s="8">
        <v>4.46775699999999E-4</v>
      </c>
      <c r="H1812" s="8">
        <v>4.3606264000000002E-4</v>
      </c>
      <c r="I1812" s="8">
        <v>4.7589523E-4</v>
      </c>
      <c r="J1812" s="8">
        <v>5.1202929000000003E-4</v>
      </c>
      <c r="K1812" s="8">
        <v>5.2999681000000004E-4</v>
      </c>
      <c r="L1812" s="8">
        <v>5.2379377E-4</v>
      </c>
      <c r="M1812" s="8">
        <v>5.0441731000000001E-4</v>
      </c>
      <c r="N1812" s="8">
        <v>4.8591721000000002E-4</v>
      </c>
      <c r="O1812">
        <v>0</v>
      </c>
      <c r="P1812">
        <v>0</v>
      </c>
      <c r="Q1812">
        <v>0</v>
      </c>
      <c r="R1812" t="s">
        <v>243</v>
      </c>
    </row>
    <row r="1813" spans="1:18" x14ac:dyDescent="0.3">
      <c r="A1813" t="s">
        <v>259</v>
      </c>
      <c r="B1813" t="s">
        <v>427</v>
      </c>
      <c r="C1813" t="s">
        <v>267</v>
      </c>
      <c r="D1813" s="8">
        <v>3.2695689999999997E-4</v>
      </c>
      <c r="E1813" s="8">
        <v>5.3655689999999997E-4</v>
      </c>
      <c r="F1813" s="8">
        <v>5.4805559999999997E-4</v>
      </c>
      <c r="G1813" s="8">
        <v>5.2574930000000005E-4</v>
      </c>
      <c r="H1813" s="8">
        <v>5.1040286999999996E-4</v>
      </c>
      <c r="I1813" s="8">
        <v>5.4427735999999999E-4</v>
      </c>
      <c r="J1813" s="8">
        <v>5.7642182999999997E-4</v>
      </c>
      <c r="K1813" s="8">
        <v>5.9294165000000005E-4</v>
      </c>
      <c r="L1813" s="8">
        <v>5.8353471999999997E-4</v>
      </c>
      <c r="M1813" s="8">
        <v>5.5996731999999902E-4</v>
      </c>
      <c r="N1813" s="8">
        <v>5.3787870999999997E-4</v>
      </c>
      <c r="O1813">
        <v>0</v>
      </c>
      <c r="P1813">
        <v>0</v>
      </c>
      <c r="Q1813">
        <v>0</v>
      </c>
      <c r="R1813" t="s">
        <v>243</v>
      </c>
    </row>
    <row r="1814" spans="1:18" x14ac:dyDescent="0.3">
      <c r="A1814" t="s">
        <v>259</v>
      </c>
      <c r="B1814" t="s">
        <v>427</v>
      </c>
      <c r="C1814" t="s">
        <v>268</v>
      </c>
      <c r="D1814" s="8">
        <v>3.608784E-4</v>
      </c>
      <c r="E1814" s="8">
        <v>6.0658809999999995E-4</v>
      </c>
      <c r="F1814" s="8">
        <v>6.0559229999999995E-4</v>
      </c>
      <c r="G1814" s="8">
        <v>5.8334019999999997E-4</v>
      </c>
      <c r="H1814" s="8">
        <v>5.6460842000000003E-4</v>
      </c>
      <c r="I1814" s="8">
        <v>5.9397344E-4</v>
      </c>
      <c r="J1814" s="8">
        <v>6.2299221999999896E-4</v>
      </c>
      <c r="K1814" s="8">
        <v>6.3877046999999995E-4</v>
      </c>
      <c r="L1814" s="8">
        <v>6.2767577000000002E-4</v>
      </c>
      <c r="M1814" s="8">
        <v>6.0137680999999897E-4</v>
      </c>
      <c r="N1814" s="8">
        <v>5.7682554999999996E-4</v>
      </c>
      <c r="O1814">
        <v>0</v>
      </c>
      <c r="P1814">
        <v>0</v>
      </c>
      <c r="Q1814">
        <v>0</v>
      </c>
      <c r="R1814" t="s">
        <v>243</v>
      </c>
    </row>
    <row r="1815" spans="1:18" x14ac:dyDescent="0.3">
      <c r="A1815" t="s">
        <v>259</v>
      </c>
      <c r="B1815" t="s">
        <v>427</v>
      </c>
      <c r="C1815" t="s">
        <v>269</v>
      </c>
      <c r="D1815" s="8">
        <v>3.8841199999999998E-4</v>
      </c>
      <c r="E1815" s="8">
        <v>6.6398719999999996E-4</v>
      </c>
      <c r="F1815" s="8">
        <v>6.5106899999999902E-4</v>
      </c>
      <c r="G1815" s="8">
        <v>6.3180750000000003E-4</v>
      </c>
      <c r="H1815" s="8">
        <v>6.0949872000000003E-4</v>
      </c>
      <c r="I1815" s="8">
        <v>6.3563965999999901E-4</v>
      </c>
      <c r="J1815" s="8">
        <v>6.6382047000000004E-4</v>
      </c>
      <c r="K1815" s="8">
        <v>6.7921752999999905E-4</v>
      </c>
      <c r="L1815" s="8">
        <v>6.6658324999999997E-4</v>
      </c>
      <c r="M1815" s="8">
        <v>6.3797221999999998E-4</v>
      </c>
      <c r="N1815" s="8">
        <v>6.1149116000000004E-4</v>
      </c>
      <c r="O1815">
        <v>0</v>
      </c>
      <c r="P1815">
        <v>0</v>
      </c>
      <c r="Q1815">
        <v>0</v>
      </c>
      <c r="R1815" t="s">
        <v>243</v>
      </c>
    </row>
    <row r="1816" spans="1:18" x14ac:dyDescent="0.3">
      <c r="A1816" t="s">
        <v>259</v>
      </c>
      <c r="B1816" t="s">
        <v>427</v>
      </c>
      <c r="C1816" t="s">
        <v>270</v>
      </c>
      <c r="D1816" s="8">
        <v>4.1377029999999998E-4</v>
      </c>
      <c r="E1816" s="8">
        <v>7.1435499999999996E-4</v>
      </c>
      <c r="F1816" s="8">
        <v>6.9091400000000005E-4</v>
      </c>
      <c r="G1816" s="8">
        <v>6.7643479999999903E-4</v>
      </c>
      <c r="H1816" s="8">
        <v>6.5084932999999998E-4</v>
      </c>
      <c r="I1816" s="8">
        <v>6.7555977999999997E-4</v>
      </c>
      <c r="J1816" s="8">
        <v>7.0338653999999997E-4</v>
      </c>
      <c r="K1816" s="8">
        <v>7.1874858999999998E-4</v>
      </c>
      <c r="L1816" s="8">
        <v>7.0445798999999899E-4</v>
      </c>
      <c r="M1816" s="8">
        <v>6.7341381E-4</v>
      </c>
      <c r="N1816" s="8">
        <v>6.4503306000000002E-4</v>
      </c>
      <c r="O1816">
        <v>0</v>
      </c>
      <c r="P1816">
        <v>0</v>
      </c>
      <c r="Q1816">
        <v>0</v>
      </c>
      <c r="R1816" t="s">
        <v>243</v>
      </c>
    </row>
    <row r="1817" spans="1:18" x14ac:dyDescent="0.3">
      <c r="A1817" t="s">
        <v>259</v>
      </c>
      <c r="B1817" t="s">
        <v>427</v>
      </c>
      <c r="C1817" t="s">
        <v>271</v>
      </c>
      <c r="D1817" s="8">
        <v>4.4202150000000002E-4</v>
      </c>
      <c r="E1817" s="8">
        <v>7.5965199999999998E-4</v>
      </c>
      <c r="F1817" s="8">
        <v>7.3026700000000005E-4</v>
      </c>
      <c r="G1817" s="8">
        <v>7.2096300000000003E-4</v>
      </c>
      <c r="H1817" s="8">
        <v>6.9323783000000002E-4</v>
      </c>
      <c r="I1817" s="8">
        <v>7.1757409999999896E-4</v>
      </c>
      <c r="J1817" s="8">
        <v>7.4499281999999996E-4</v>
      </c>
      <c r="K1817" s="8">
        <v>7.6021908999999999E-4</v>
      </c>
      <c r="L1817" s="8">
        <v>7.4450174000000003E-4</v>
      </c>
      <c r="M1817" s="8">
        <v>7.1117423999999998E-4</v>
      </c>
      <c r="N1817" s="8">
        <v>6.8056877999999904E-4</v>
      </c>
      <c r="O1817">
        <v>0</v>
      </c>
      <c r="P1817">
        <v>0</v>
      </c>
      <c r="Q1817">
        <v>0</v>
      </c>
      <c r="R1817" t="s">
        <v>243</v>
      </c>
    </row>
    <row r="1818" spans="1:18" x14ac:dyDescent="0.3">
      <c r="A1818" t="s">
        <v>259</v>
      </c>
      <c r="B1818" t="s">
        <v>427</v>
      </c>
      <c r="C1818" t="s">
        <v>272</v>
      </c>
      <c r="D1818" s="8">
        <v>4.7061740000000003E-4</v>
      </c>
      <c r="E1818" s="8">
        <v>8.0897299999999896E-4</v>
      </c>
      <c r="F1818" s="8">
        <v>7.7781200000000001E-4</v>
      </c>
      <c r="G1818" s="8">
        <v>7.745327E-4</v>
      </c>
      <c r="H1818" s="8">
        <v>7.4192224000000002E-4</v>
      </c>
      <c r="I1818" s="8">
        <v>7.65617469999999E-4</v>
      </c>
      <c r="J1818" s="8">
        <v>7.9362648999999996E-4</v>
      </c>
      <c r="K1818" s="8">
        <v>8.0895871000000001E-4</v>
      </c>
      <c r="L1818" s="8">
        <v>7.9139371999999999E-4</v>
      </c>
      <c r="M1818" s="8">
        <v>7.5500126999999897E-4</v>
      </c>
      <c r="N1818" s="8">
        <v>7.2175400000000002E-4</v>
      </c>
      <c r="O1818">
        <v>0</v>
      </c>
      <c r="P1818">
        <v>0</v>
      </c>
      <c r="Q1818">
        <v>0</v>
      </c>
      <c r="R1818" t="s">
        <v>243</v>
      </c>
    </row>
    <row r="1819" spans="1:18" x14ac:dyDescent="0.3">
      <c r="A1819" t="s">
        <v>259</v>
      </c>
      <c r="B1819" t="s">
        <v>427</v>
      </c>
      <c r="C1819" t="s">
        <v>273</v>
      </c>
      <c r="D1819" s="8">
        <v>5.1168199999999996E-4</v>
      </c>
      <c r="E1819" s="8">
        <v>8.6766100000000004E-4</v>
      </c>
      <c r="F1819" s="8">
        <v>8.3332099999999896E-4</v>
      </c>
      <c r="G1819" s="8">
        <v>8.3942190000000001E-4</v>
      </c>
      <c r="H1819" s="8">
        <v>8.0490265000000003E-4</v>
      </c>
      <c r="I1819" s="8">
        <v>8.2919483000000005E-4</v>
      </c>
      <c r="J1819" s="8">
        <v>8.5690023000000001E-4</v>
      </c>
      <c r="K1819" s="8">
        <v>8.7148630999999896E-4</v>
      </c>
      <c r="L1819" s="8">
        <v>8.5111710999999997E-4</v>
      </c>
      <c r="M1819" s="8">
        <v>8.1094160999999998E-4</v>
      </c>
      <c r="N1819" s="8">
        <v>7.7440544999999997E-4</v>
      </c>
      <c r="O1819">
        <v>0</v>
      </c>
      <c r="P1819">
        <v>0</v>
      </c>
      <c r="Q1819">
        <v>0</v>
      </c>
      <c r="R1819" t="s">
        <v>243</v>
      </c>
    </row>
    <row r="1820" spans="1:18" x14ac:dyDescent="0.3">
      <c r="A1820" t="s">
        <v>259</v>
      </c>
      <c r="B1820" t="s">
        <v>427</v>
      </c>
      <c r="C1820" t="s">
        <v>274</v>
      </c>
      <c r="D1820" s="8">
        <v>1.029470201E-5</v>
      </c>
      <c r="E1820" s="8">
        <v>1.678370118E-5</v>
      </c>
      <c r="F1820" s="8">
        <v>2.0916237229999999E-5</v>
      </c>
      <c r="G1820" s="8">
        <v>2.05149822E-5</v>
      </c>
      <c r="H1820" s="8">
        <v>3.026056388E-5</v>
      </c>
      <c r="I1820" s="8">
        <v>3.14729295499999E-5</v>
      </c>
      <c r="J1820" s="8">
        <v>3.2874672080000001E-5</v>
      </c>
      <c r="K1820" s="8">
        <v>3.3738545294999999E-5</v>
      </c>
      <c r="L1820" s="8">
        <v>3.3751924750000001E-5</v>
      </c>
      <c r="M1820" s="8">
        <v>3.3014645545000003E-5</v>
      </c>
      <c r="N1820" s="8">
        <v>3.2109017245999903E-5</v>
      </c>
      <c r="O1820">
        <v>0</v>
      </c>
      <c r="P1820">
        <v>0</v>
      </c>
      <c r="Q1820">
        <v>0</v>
      </c>
      <c r="R1820" t="s">
        <v>243</v>
      </c>
    </row>
    <row r="1821" spans="1:18" x14ac:dyDescent="0.3">
      <c r="A1821" t="s">
        <v>259</v>
      </c>
      <c r="B1821" t="s">
        <v>427</v>
      </c>
      <c r="C1821" t="s">
        <v>275</v>
      </c>
      <c r="D1821" s="8">
        <v>3.4275121900000002E-5</v>
      </c>
      <c r="E1821" s="8">
        <v>6.06582835E-5</v>
      </c>
      <c r="F1821" s="8">
        <v>6.2893445200000003E-5</v>
      </c>
      <c r="G1821" s="8">
        <v>6.4469342499999996E-5</v>
      </c>
      <c r="H1821" s="8">
        <v>7.2375850229999995E-5</v>
      </c>
      <c r="I1821" s="8">
        <v>7.1043421840000001E-5</v>
      </c>
      <c r="J1821" s="8">
        <v>6.8021828429999897E-5</v>
      </c>
      <c r="K1821" s="8">
        <v>6.5853853709999999E-5</v>
      </c>
      <c r="L1821" s="8">
        <v>6.303712799E-5</v>
      </c>
      <c r="M1821" s="8">
        <v>5.9366979027E-5</v>
      </c>
      <c r="N1821" s="8">
        <v>5.5973838097999998E-5</v>
      </c>
      <c r="O1821">
        <v>0</v>
      </c>
      <c r="P1821">
        <v>0</v>
      </c>
      <c r="Q1821">
        <v>0</v>
      </c>
      <c r="R1821" t="s">
        <v>243</v>
      </c>
    </row>
    <row r="1822" spans="1:18" x14ac:dyDescent="0.3">
      <c r="A1822" t="s">
        <v>259</v>
      </c>
      <c r="B1822" t="s">
        <v>427</v>
      </c>
      <c r="C1822" t="s">
        <v>276</v>
      </c>
      <c r="D1822" s="8">
        <v>1.53794750599999E-5</v>
      </c>
      <c r="E1822" s="8">
        <v>2.69730517099999E-5</v>
      </c>
      <c r="F1822" s="8">
        <v>3.165452065E-5</v>
      </c>
      <c r="G1822" s="8">
        <v>2.9734176189999998E-5</v>
      </c>
      <c r="H1822" s="8">
        <v>4.0493970289999998E-5</v>
      </c>
      <c r="I1822" s="8">
        <v>4.1133024130000001E-5</v>
      </c>
      <c r="J1822" s="8">
        <v>4.1230698539999997E-5</v>
      </c>
      <c r="K1822" s="8">
        <v>4.1046859267000001E-5</v>
      </c>
      <c r="L1822" s="8">
        <v>4.0195968841999998E-5</v>
      </c>
      <c r="M1822" s="8">
        <v>3.8659663937E-5</v>
      </c>
      <c r="N1822" s="8">
        <v>3.7130425287999999E-5</v>
      </c>
      <c r="O1822">
        <v>0</v>
      </c>
      <c r="P1822">
        <v>0</v>
      </c>
      <c r="Q1822">
        <v>0</v>
      </c>
      <c r="R1822" t="s">
        <v>243</v>
      </c>
    </row>
    <row r="1823" spans="1:18" x14ac:dyDescent="0.3">
      <c r="A1823" t="s">
        <v>259</v>
      </c>
      <c r="B1823" t="s">
        <v>427</v>
      </c>
      <c r="C1823" t="s">
        <v>277</v>
      </c>
      <c r="D1823" s="8">
        <v>1.8041064869999999E-5</v>
      </c>
      <c r="E1823" s="8">
        <v>3.2371002869999999E-5</v>
      </c>
      <c r="F1823" s="8">
        <v>3.6523446690000001E-5</v>
      </c>
      <c r="G1823" s="8">
        <v>3.4368579099999901E-5</v>
      </c>
      <c r="H1823" s="8">
        <v>4.4760550080000002E-5</v>
      </c>
      <c r="I1823" s="8">
        <v>4.5084165489999997E-5</v>
      </c>
      <c r="J1823" s="8">
        <v>4.466077073E-5</v>
      </c>
      <c r="K1823" s="8">
        <v>4.4153641195999998E-5</v>
      </c>
      <c r="L1823" s="8">
        <v>4.3036230250000001E-5</v>
      </c>
      <c r="M1823" s="8">
        <v>4.1247024225999997E-5</v>
      </c>
      <c r="N1823" s="8">
        <v>3.9515986108000002E-5</v>
      </c>
      <c r="O1823">
        <v>0</v>
      </c>
      <c r="P1823">
        <v>0</v>
      </c>
      <c r="Q1823">
        <v>0</v>
      </c>
      <c r="R1823" t="s">
        <v>243</v>
      </c>
    </row>
    <row r="1824" spans="1:18" x14ac:dyDescent="0.3">
      <c r="A1824" t="s">
        <v>259</v>
      </c>
      <c r="B1824" t="s">
        <v>427</v>
      </c>
      <c r="C1824" t="s">
        <v>278</v>
      </c>
      <c r="D1824" s="8">
        <v>2.0095483210000001E-5</v>
      </c>
      <c r="E1824" s="8">
        <v>3.6339496250000001E-5</v>
      </c>
      <c r="F1824" s="8">
        <v>3.9938336439999899E-5</v>
      </c>
      <c r="G1824" s="8">
        <v>3.7741781870000001E-5</v>
      </c>
      <c r="H1824" s="8">
        <v>4.78014809799999E-5</v>
      </c>
      <c r="I1824" s="8">
        <v>4.7915498600000003E-5</v>
      </c>
      <c r="J1824" s="8">
        <v>4.7125300870000003E-5</v>
      </c>
      <c r="K1824" s="8">
        <v>4.6431711494999998E-5</v>
      </c>
      <c r="L1824" s="8">
        <v>4.5163765239999901E-5</v>
      </c>
      <c r="M1824" s="8">
        <v>4.3202748012000001E-5</v>
      </c>
      <c r="N1824" s="8">
        <v>4.1316570006000003E-5</v>
      </c>
      <c r="O1824">
        <v>0</v>
      </c>
      <c r="P1824">
        <v>0</v>
      </c>
      <c r="Q1824">
        <v>0</v>
      </c>
      <c r="R1824" t="s">
        <v>243</v>
      </c>
    </row>
    <row r="1825" spans="1:18" x14ac:dyDescent="0.3">
      <c r="A1825" t="s">
        <v>259</v>
      </c>
      <c r="B1825" t="s">
        <v>427</v>
      </c>
      <c r="C1825" t="s">
        <v>279</v>
      </c>
      <c r="D1825" s="8">
        <v>2.1767630730000001E-5</v>
      </c>
      <c r="E1825" s="8">
        <v>3.9581307709999997E-5</v>
      </c>
      <c r="F1825" s="8">
        <v>4.2683271249999998E-5</v>
      </c>
      <c r="G1825" s="8">
        <v>4.0633269989999997E-5</v>
      </c>
      <c r="H1825" s="8">
        <v>5.0370316220000001E-5</v>
      </c>
      <c r="I1825" s="8">
        <v>5.0309550789999902E-5</v>
      </c>
      <c r="J1825" s="8">
        <v>4.929327265E-5</v>
      </c>
      <c r="K1825" s="8">
        <v>4.8455443680999902E-5</v>
      </c>
      <c r="L1825" s="8">
        <v>4.7047258249999997E-5</v>
      </c>
      <c r="M1825" s="8">
        <v>4.4931705084000002E-5</v>
      </c>
      <c r="N1825" s="8">
        <v>4.2912580929999999E-5</v>
      </c>
      <c r="O1825">
        <v>0</v>
      </c>
      <c r="P1825">
        <v>0</v>
      </c>
      <c r="Q1825">
        <v>0</v>
      </c>
      <c r="R1825" t="s">
        <v>243</v>
      </c>
    </row>
    <row r="1826" spans="1:18" x14ac:dyDescent="0.3">
      <c r="A1826" t="s">
        <v>259</v>
      </c>
      <c r="B1826" t="s">
        <v>427</v>
      </c>
      <c r="C1826" t="s">
        <v>280</v>
      </c>
      <c r="D1826" s="8">
        <v>2.3293712900000001E-5</v>
      </c>
      <c r="E1826" s="8">
        <v>4.2444324400000002E-5</v>
      </c>
      <c r="F1826" s="8">
        <v>4.5147841199999997E-5</v>
      </c>
      <c r="G1826" s="8">
        <v>4.3364719999999901E-5</v>
      </c>
      <c r="H1826" s="8">
        <v>5.2817724879999998E-5</v>
      </c>
      <c r="I1826" s="8">
        <v>5.2628986139999898E-5</v>
      </c>
      <c r="J1826" s="8">
        <v>5.1400117129999997E-5</v>
      </c>
      <c r="K1826" s="8">
        <v>5.0436151067999997E-5</v>
      </c>
      <c r="L1826" s="8">
        <v>4.887782636E-5</v>
      </c>
      <c r="M1826" s="8">
        <v>4.6597547752000002E-5</v>
      </c>
      <c r="N1826" s="8">
        <v>4.4444827815000003E-5</v>
      </c>
      <c r="O1826">
        <v>0</v>
      </c>
      <c r="P1826">
        <v>0</v>
      </c>
      <c r="Q1826">
        <v>0</v>
      </c>
      <c r="R1826" t="s">
        <v>243</v>
      </c>
    </row>
    <row r="1827" spans="1:18" x14ac:dyDescent="0.3">
      <c r="A1827" t="s">
        <v>259</v>
      </c>
      <c r="B1827" t="s">
        <v>427</v>
      </c>
      <c r="C1827" t="s">
        <v>281</v>
      </c>
      <c r="D1827" s="8">
        <v>2.49624589E-5</v>
      </c>
      <c r="E1827" s="8">
        <v>4.5052977300000002E-5</v>
      </c>
      <c r="F1827" s="8">
        <v>4.7639217400000002E-5</v>
      </c>
      <c r="G1827" s="8">
        <v>4.6152683500000001E-5</v>
      </c>
      <c r="H1827" s="8">
        <v>5.5403656949999999E-5</v>
      </c>
      <c r="I1827" s="8">
        <v>5.5087443630000001E-5</v>
      </c>
      <c r="J1827" s="8">
        <v>5.3613035799999998E-5</v>
      </c>
      <c r="K1827" s="8">
        <v>5.2502437836999898E-5</v>
      </c>
      <c r="L1827" s="8">
        <v>5.0798902399999998E-5</v>
      </c>
      <c r="M1827" s="8">
        <v>4.8355787219000002E-5</v>
      </c>
      <c r="N1827" s="8">
        <v>4.6047189251999998E-5</v>
      </c>
      <c r="O1827">
        <v>0</v>
      </c>
      <c r="P1827">
        <v>0</v>
      </c>
      <c r="Q1827">
        <v>0</v>
      </c>
      <c r="R1827" t="s">
        <v>243</v>
      </c>
    </row>
    <row r="1828" spans="1:18" x14ac:dyDescent="0.3">
      <c r="A1828" t="s">
        <v>259</v>
      </c>
      <c r="B1828" t="s">
        <v>427</v>
      </c>
      <c r="C1828" t="s">
        <v>282</v>
      </c>
      <c r="D1828" s="8">
        <v>2.6616498299999899E-5</v>
      </c>
      <c r="E1828" s="8">
        <v>4.7934098499999998E-5</v>
      </c>
      <c r="F1828" s="8">
        <v>5.0703125999999997E-5</v>
      </c>
      <c r="G1828" s="8">
        <v>4.9556793599999997E-5</v>
      </c>
      <c r="H1828" s="8">
        <v>5.8412284789999901E-5</v>
      </c>
      <c r="I1828" s="8">
        <v>5.7896474600000002E-5</v>
      </c>
      <c r="J1828" s="8">
        <v>5.6185527960000003E-5</v>
      </c>
      <c r="K1828" s="8">
        <v>5.4920133099999998E-5</v>
      </c>
      <c r="L1828" s="8">
        <v>5.3035708130000001E-5</v>
      </c>
      <c r="M1828" s="8">
        <v>5.0379026181000002E-5</v>
      </c>
      <c r="N1828" s="8">
        <v>4.7885025620999998E-5</v>
      </c>
      <c r="O1828">
        <v>0</v>
      </c>
      <c r="P1828">
        <v>0</v>
      </c>
      <c r="Q1828">
        <v>0</v>
      </c>
      <c r="R1828" t="s">
        <v>243</v>
      </c>
    </row>
    <row r="1829" spans="1:18" x14ac:dyDescent="0.3">
      <c r="A1829" t="s">
        <v>259</v>
      </c>
      <c r="B1829" t="s">
        <v>427</v>
      </c>
      <c r="C1829" t="s">
        <v>283</v>
      </c>
      <c r="D1829" s="8">
        <v>2.8954343399999999E-5</v>
      </c>
      <c r="E1829" s="8">
        <v>5.1396465200000002E-5</v>
      </c>
      <c r="F1829" s="8">
        <v>5.4312360699999997E-5</v>
      </c>
      <c r="G1829" s="8">
        <v>5.3703880499999901E-5</v>
      </c>
      <c r="H1829" s="8">
        <v>6.2340788310000003E-5</v>
      </c>
      <c r="I1829" s="8">
        <v>6.1613863929999894E-5</v>
      </c>
      <c r="J1829" s="8">
        <v>5.9522558690000002E-5</v>
      </c>
      <c r="K1829" s="8">
        <v>5.7992300588999902E-5</v>
      </c>
      <c r="L1829" s="8">
        <v>5.584596644E-5</v>
      </c>
      <c r="M1829" s="8">
        <v>5.2917803335999998E-5</v>
      </c>
      <c r="N1829" s="8">
        <v>5.0185861295999997E-5</v>
      </c>
      <c r="O1829">
        <v>0</v>
      </c>
      <c r="P1829">
        <v>0</v>
      </c>
      <c r="Q1829">
        <v>0</v>
      </c>
      <c r="R1829" t="s">
        <v>243</v>
      </c>
    </row>
    <row r="1830" spans="1:18" x14ac:dyDescent="0.3">
      <c r="A1830" t="s">
        <v>259</v>
      </c>
      <c r="B1830" t="s">
        <v>427</v>
      </c>
      <c r="C1830" t="s">
        <v>334</v>
      </c>
      <c r="D1830" s="8">
        <v>4.3223299999999997E-5</v>
      </c>
      <c r="E1830" s="8">
        <v>6.2635499999999993E-5</v>
      </c>
      <c r="F1830" s="8">
        <v>3.2968200000000001E-5</v>
      </c>
      <c r="G1830" s="8">
        <v>1.4776999999999999E-5</v>
      </c>
      <c r="H1830" s="8">
        <v>1.4819909999999999E-5</v>
      </c>
      <c r="I1830" s="8">
        <v>1.5316609999999999E-5</v>
      </c>
      <c r="J1830" s="8">
        <v>1.589501E-5</v>
      </c>
      <c r="K1830" s="8">
        <v>1.6380209999999899E-5</v>
      </c>
      <c r="L1830" s="8">
        <v>1.6682970000000001E-5</v>
      </c>
      <c r="M1830" s="8">
        <v>1.6827930000000001E-5</v>
      </c>
      <c r="N1830" s="8">
        <v>1.69412699999999E-5</v>
      </c>
      <c r="O1830">
        <v>0</v>
      </c>
      <c r="P1830">
        <v>0</v>
      </c>
      <c r="Q1830">
        <v>0</v>
      </c>
      <c r="R1830" t="s">
        <v>243</v>
      </c>
    </row>
    <row r="1831" spans="1:18" x14ac:dyDescent="0.3">
      <c r="A1831" t="s">
        <v>259</v>
      </c>
      <c r="B1831" t="s">
        <v>427</v>
      </c>
      <c r="C1831" t="s">
        <v>335</v>
      </c>
      <c r="D1831" s="8">
        <v>9.7820300000000009E-7</v>
      </c>
      <c r="E1831" s="8">
        <v>1.0693700000000001E-6</v>
      </c>
      <c r="F1831" s="8">
        <v>8.4438699999999998E-7</v>
      </c>
      <c r="G1831" s="8">
        <v>3.0785500000000003E-7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243</v>
      </c>
    </row>
    <row r="1832" spans="1:18" x14ac:dyDescent="0.3">
      <c r="A1832" t="s">
        <v>259</v>
      </c>
      <c r="B1832" t="s">
        <v>427</v>
      </c>
      <c r="C1832" t="s">
        <v>336</v>
      </c>
      <c r="D1832" s="8">
        <v>2.2675900000000001E-5</v>
      </c>
      <c r="E1832" s="8">
        <v>2.9193800000000002E-5</v>
      </c>
      <c r="F1832" s="8">
        <v>1.5642100000000001E-5</v>
      </c>
      <c r="G1832" s="8">
        <v>7.7579500000000008E-6</v>
      </c>
      <c r="H1832" s="8">
        <v>7.8987999999999997E-6</v>
      </c>
      <c r="I1832" s="8">
        <v>8.1375800000000001E-6</v>
      </c>
      <c r="J1832" s="8">
        <v>8.3956099999999902E-6</v>
      </c>
      <c r="K1832" s="8">
        <v>8.6166600000000006E-6</v>
      </c>
      <c r="L1832" s="8">
        <v>8.7523400000000003E-6</v>
      </c>
      <c r="M1832" s="8">
        <v>8.8063200000000004E-6</v>
      </c>
      <c r="N1832" s="8">
        <v>8.8444899999999906E-6</v>
      </c>
      <c r="O1832">
        <v>0</v>
      </c>
      <c r="P1832">
        <v>0</v>
      </c>
      <c r="Q1832">
        <v>0</v>
      </c>
      <c r="R1832" t="s">
        <v>243</v>
      </c>
    </row>
    <row r="1833" spans="1:18" x14ac:dyDescent="0.3">
      <c r="A1833" t="s">
        <v>259</v>
      </c>
      <c r="B1833" t="s">
        <v>427</v>
      </c>
      <c r="C1833" t="s">
        <v>337</v>
      </c>
      <c r="D1833" s="8">
        <v>1.61949E-5</v>
      </c>
      <c r="E1833" s="8">
        <v>1.9559600000000002E-5</v>
      </c>
      <c r="F1833" s="8">
        <v>1.0759499999999999E-5</v>
      </c>
      <c r="G1833" s="8">
        <v>5.4292999999999998E-6</v>
      </c>
      <c r="H1833" s="8">
        <v>5.5173999999999999E-6</v>
      </c>
      <c r="I1833" s="8">
        <v>5.6781199999999996E-6</v>
      </c>
      <c r="J1833" s="8">
        <v>5.8514700000000002E-6</v>
      </c>
      <c r="K1833" s="8">
        <v>5.99823E-6</v>
      </c>
      <c r="L1833" s="8">
        <v>6.0853799999999997E-6</v>
      </c>
      <c r="M1833" s="8">
        <v>6.1161900000000001E-6</v>
      </c>
      <c r="N1833" s="8">
        <v>6.1362200000000003E-6</v>
      </c>
      <c r="O1833">
        <v>0</v>
      </c>
      <c r="P1833">
        <v>0</v>
      </c>
      <c r="Q1833">
        <v>0</v>
      </c>
      <c r="R1833" t="s">
        <v>243</v>
      </c>
    </row>
    <row r="1834" spans="1:18" x14ac:dyDescent="0.3">
      <c r="A1834" t="s">
        <v>259</v>
      </c>
      <c r="B1834" t="s">
        <v>427</v>
      </c>
      <c r="C1834" t="s">
        <v>338</v>
      </c>
      <c r="D1834" s="8">
        <v>1.2265E-5</v>
      </c>
      <c r="E1834" s="8">
        <v>1.4189700000000001E-5</v>
      </c>
      <c r="F1834" s="8">
        <v>8.0410199999999995E-6</v>
      </c>
      <c r="G1834" s="8">
        <v>4.0794700000000001E-6</v>
      </c>
      <c r="H1834" s="8">
        <v>4.1409700000000003E-6</v>
      </c>
      <c r="I1834" s="8">
        <v>4.2568200000000002E-6</v>
      </c>
      <c r="J1834" s="8">
        <v>4.3740790000000002E-6</v>
      </c>
      <c r="K1834" s="8">
        <v>4.476853E-6</v>
      </c>
      <c r="L1834" s="8">
        <v>4.5389400000000001E-6</v>
      </c>
      <c r="M1834" s="8">
        <v>4.5578699999999996E-6</v>
      </c>
      <c r="N1834" s="8">
        <v>4.5680180000000002E-6</v>
      </c>
      <c r="O1834">
        <v>0</v>
      </c>
      <c r="P1834">
        <v>0</v>
      </c>
      <c r="Q1834">
        <v>0</v>
      </c>
      <c r="R1834" t="s">
        <v>243</v>
      </c>
    </row>
    <row r="1835" spans="1:18" x14ac:dyDescent="0.3">
      <c r="A1835" t="s">
        <v>259</v>
      </c>
      <c r="B1835" t="s">
        <v>427</v>
      </c>
      <c r="C1835" t="s">
        <v>339</v>
      </c>
      <c r="D1835" s="8">
        <v>9.5911599999999995E-6</v>
      </c>
      <c r="E1835" s="8">
        <v>1.06082E-5</v>
      </c>
      <c r="F1835" s="8">
        <v>6.2491099999999999E-6</v>
      </c>
      <c r="G1835" s="8">
        <v>3.1385399999999999E-6</v>
      </c>
      <c r="H1835" s="8">
        <v>3.1789000000000002E-6</v>
      </c>
      <c r="I1835" s="8">
        <v>3.2621029999999999E-6</v>
      </c>
      <c r="J1835" s="8">
        <v>3.3472829999999999E-6</v>
      </c>
      <c r="K1835" s="8">
        <v>3.4206969999999998E-6</v>
      </c>
      <c r="L1835" s="8">
        <v>3.4646039999999999E-6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243</v>
      </c>
    </row>
    <row r="1836" spans="1:18" x14ac:dyDescent="0.3">
      <c r="A1836" t="s">
        <v>259</v>
      </c>
      <c r="B1836" t="s">
        <v>427</v>
      </c>
      <c r="C1836" t="s">
        <v>340</v>
      </c>
      <c r="D1836" s="8">
        <v>7.5137599999999997E-6</v>
      </c>
      <c r="E1836" s="8">
        <v>7.9972500000000004E-6</v>
      </c>
      <c r="F1836" s="8">
        <v>4.9341900000000003E-6</v>
      </c>
      <c r="G1836" s="8">
        <v>2.42653E-6</v>
      </c>
      <c r="H1836" s="8">
        <v>2.4524699999999998E-6</v>
      </c>
      <c r="I1836" s="8">
        <v>2.5137219999999999E-6</v>
      </c>
      <c r="J1836" s="8">
        <v>2.574735E-6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243</v>
      </c>
    </row>
    <row r="1837" spans="1:18" x14ac:dyDescent="0.3">
      <c r="A1837" t="s">
        <v>259</v>
      </c>
      <c r="B1837" t="s">
        <v>427</v>
      </c>
      <c r="C1837" t="s">
        <v>341</v>
      </c>
      <c r="D1837" s="8">
        <v>5.6306300000000003E-6</v>
      </c>
      <c r="E1837" s="8">
        <v>6.0707399999999996E-6</v>
      </c>
      <c r="F1837" s="8">
        <v>3.8642000000000002E-6</v>
      </c>
      <c r="G1837" s="8">
        <v>1.8550199999999999E-6</v>
      </c>
      <c r="H1837" s="8">
        <v>1.8739969999999899E-6</v>
      </c>
      <c r="I1837" s="8">
        <v>1.9185139999999999E-6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243</v>
      </c>
    </row>
    <row r="1838" spans="1:18" x14ac:dyDescent="0.3">
      <c r="A1838" t="s">
        <v>259</v>
      </c>
      <c r="B1838" t="s">
        <v>427</v>
      </c>
      <c r="C1838" t="s">
        <v>342</v>
      </c>
      <c r="D1838" s="8">
        <v>4.1616199999999998E-6</v>
      </c>
      <c r="E1838" s="8">
        <v>4.4255500000000003E-6</v>
      </c>
      <c r="F1838" s="8">
        <v>2.8522200000000001E-6</v>
      </c>
      <c r="G1838" s="8">
        <v>1.3340400000000001E-6</v>
      </c>
      <c r="H1838" s="8">
        <v>1.3422620000000001E-6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243</v>
      </c>
    </row>
    <row r="1839" spans="1:18" x14ac:dyDescent="0.3">
      <c r="A1839" t="s">
        <v>259</v>
      </c>
      <c r="B1839" t="s">
        <v>427</v>
      </c>
      <c r="C1839" t="s">
        <v>343</v>
      </c>
      <c r="D1839" s="8">
        <v>2.6823900000000001E-6</v>
      </c>
      <c r="E1839" s="8">
        <v>3.01069E-6</v>
      </c>
      <c r="F1839" s="8">
        <v>1.99333E-6</v>
      </c>
      <c r="G1839" s="8">
        <v>8.9041199999999999E-7</v>
      </c>
      <c r="H1839" s="8">
        <v>8.9690899999999997E-7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243</v>
      </c>
    </row>
    <row r="1840" spans="1:18" x14ac:dyDescent="0.3">
      <c r="A1840" t="s">
        <v>259</v>
      </c>
      <c r="B1840" t="s">
        <v>427</v>
      </c>
      <c r="C1840" t="s">
        <v>284</v>
      </c>
      <c r="D1840" s="8">
        <v>6.0574310000000001E-5</v>
      </c>
      <c r="E1840" s="8">
        <v>1.0720666E-4</v>
      </c>
      <c r="F1840" s="8">
        <v>1.1888374E-4</v>
      </c>
      <c r="G1840" s="8">
        <v>1.1729764469999999E-4</v>
      </c>
      <c r="H1840" s="8">
        <v>9.9543704420999998E-5</v>
      </c>
      <c r="I1840" s="8">
        <v>1.00152465552E-4</v>
      </c>
      <c r="J1840" s="8">
        <v>1.0096637832E-4</v>
      </c>
      <c r="K1840" s="8">
        <v>1.04301436106E-4</v>
      </c>
      <c r="L1840" s="8">
        <v>1.1335069530000001E-4</v>
      </c>
      <c r="M1840" s="8">
        <v>1.2003164885999999E-4</v>
      </c>
      <c r="N1840" s="8">
        <v>1.2545792234999999E-4</v>
      </c>
      <c r="O1840">
        <v>0</v>
      </c>
      <c r="P1840">
        <v>0</v>
      </c>
      <c r="Q1840">
        <v>0</v>
      </c>
      <c r="R1840" t="s">
        <v>243</v>
      </c>
    </row>
    <row r="1841" spans="1:18" x14ac:dyDescent="0.3">
      <c r="A1841" t="s">
        <v>259</v>
      </c>
      <c r="B1841" t="s">
        <v>427</v>
      </c>
      <c r="C1841" t="s">
        <v>285</v>
      </c>
      <c r="D1841">
        <v>1.4894109999999999E-3</v>
      </c>
      <c r="E1841">
        <v>3.061668E-3</v>
      </c>
      <c r="F1841">
        <v>2.642475E-3</v>
      </c>
      <c r="G1841">
        <v>2.8679335869999999E-3</v>
      </c>
      <c r="H1841">
        <v>2.3481343079449898E-3</v>
      </c>
      <c r="I1841">
        <v>2.1677288326450001E-3</v>
      </c>
      <c r="J1841">
        <v>1.8215498057490001E-3</v>
      </c>
      <c r="K1841">
        <v>1.5597303971729901E-3</v>
      </c>
      <c r="L1841">
        <v>1.4955403956129899E-3</v>
      </c>
      <c r="M1841">
        <v>1.4005603256979999E-3</v>
      </c>
      <c r="N1841">
        <v>1.299393428257E-3</v>
      </c>
      <c r="O1841">
        <v>0</v>
      </c>
      <c r="P1841">
        <v>0</v>
      </c>
      <c r="Q1841">
        <v>0</v>
      </c>
      <c r="R1841" t="s">
        <v>243</v>
      </c>
    </row>
    <row r="1842" spans="1:18" x14ac:dyDescent="0.3">
      <c r="A1842" t="s">
        <v>259</v>
      </c>
      <c r="B1842" t="s">
        <v>427</v>
      </c>
      <c r="C1842" t="s">
        <v>286</v>
      </c>
      <c r="D1842" s="8">
        <v>1.1816540000000001E-4</v>
      </c>
      <c r="E1842" s="8">
        <v>2.3240810000000001E-4</v>
      </c>
      <c r="F1842" s="8">
        <v>2.6353979999999997E-4</v>
      </c>
      <c r="G1842" s="8">
        <v>2.41362586099999E-4</v>
      </c>
      <c r="H1842" s="8">
        <v>2.1250183755200001E-4</v>
      </c>
      <c r="I1842" s="8">
        <v>2.1397003743E-4</v>
      </c>
      <c r="J1842" s="8">
        <v>2.14668057797999E-4</v>
      </c>
      <c r="K1842" s="8">
        <v>2.1999248175999899E-4</v>
      </c>
      <c r="L1842" s="8">
        <v>2.3708696899199999E-4</v>
      </c>
      <c r="M1842" s="8">
        <v>2.4880368223900002E-4</v>
      </c>
      <c r="N1842" s="8">
        <v>2.5748328503999999E-4</v>
      </c>
      <c r="O1842">
        <v>0</v>
      </c>
      <c r="P1842">
        <v>0</v>
      </c>
      <c r="Q1842">
        <v>0</v>
      </c>
      <c r="R1842" t="s">
        <v>243</v>
      </c>
    </row>
    <row r="1843" spans="1:18" x14ac:dyDescent="0.3">
      <c r="A1843" t="s">
        <v>259</v>
      </c>
      <c r="B1843" t="s">
        <v>427</v>
      </c>
      <c r="C1843" t="s">
        <v>287</v>
      </c>
      <c r="D1843" s="8">
        <v>1.648435E-4</v>
      </c>
      <c r="E1843" s="8">
        <v>3.4205550000000003E-4</v>
      </c>
      <c r="F1843" s="8">
        <v>3.8210220000000001E-4</v>
      </c>
      <c r="G1843" s="8">
        <v>3.4902027200000001E-4</v>
      </c>
      <c r="H1843" s="8">
        <v>3.0619135052699999E-4</v>
      </c>
      <c r="I1843" s="8">
        <v>3.0767804564500002E-4</v>
      </c>
      <c r="J1843" s="8">
        <v>3.0744282510500001E-4</v>
      </c>
      <c r="K1843" s="8">
        <v>3.1307444208300003E-4</v>
      </c>
      <c r="L1843" s="8">
        <v>3.3531130516599998E-4</v>
      </c>
      <c r="M1843" s="8">
        <v>3.4951074107500001E-4</v>
      </c>
      <c r="N1843" s="8">
        <v>3.5906525593699999E-4</v>
      </c>
      <c r="O1843">
        <v>0</v>
      </c>
      <c r="P1843">
        <v>0</v>
      </c>
      <c r="Q1843">
        <v>0</v>
      </c>
      <c r="R1843" t="s">
        <v>243</v>
      </c>
    </row>
    <row r="1844" spans="1:18" x14ac:dyDescent="0.3">
      <c r="A1844" t="s">
        <v>259</v>
      </c>
      <c r="B1844" t="s">
        <v>427</v>
      </c>
      <c r="C1844" t="s">
        <v>288</v>
      </c>
      <c r="D1844" s="8">
        <v>2.1506659999999999E-4</v>
      </c>
      <c r="E1844" s="8">
        <v>4.611169E-4</v>
      </c>
      <c r="F1844" s="8">
        <v>5.0341660000000001E-4</v>
      </c>
      <c r="G1844" s="8">
        <v>4.6176903800000001E-4</v>
      </c>
      <c r="H1844" s="8">
        <v>4.0389635576199999E-4</v>
      </c>
      <c r="I1844" s="8">
        <v>4.0459802402500003E-4</v>
      </c>
      <c r="J1844" s="8">
        <v>3.9953085508599999E-4</v>
      </c>
      <c r="K1844" s="8">
        <v>4.0290159975699997E-4</v>
      </c>
      <c r="L1844" s="8">
        <v>4.2920205350599998E-4</v>
      </c>
      <c r="M1844" s="8">
        <v>4.4438997011199898E-4</v>
      </c>
      <c r="N1844" s="8">
        <v>4.5294586155099998E-4</v>
      </c>
      <c r="O1844">
        <v>0</v>
      </c>
      <c r="P1844">
        <v>0</v>
      </c>
      <c r="Q1844">
        <v>0</v>
      </c>
      <c r="R1844" t="s">
        <v>243</v>
      </c>
    </row>
    <row r="1845" spans="1:18" x14ac:dyDescent="0.3">
      <c r="A1845" t="s">
        <v>259</v>
      </c>
      <c r="B1845" t="s">
        <v>427</v>
      </c>
      <c r="C1845" t="s">
        <v>289</v>
      </c>
      <c r="D1845" s="8">
        <v>2.701898E-4</v>
      </c>
      <c r="E1845" s="8">
        <v>5.9876419999999996E-4</v>
      </c>
      <c r="F1845" s="8">
        <v>6.3279860000000005E-4</v>
      </c>
      <c r="G1845" s="8">
        <v>5.8978770200000005E-4</v>
      </c>
      <c r="H1845" s="8">
        <v>5.1263552189499998E-4</v>
      </c>
      <c r="I1845" s="8">
        <v>5.1048974003499903E-4</v>
      </c>
      <c r="J1845" s="8">
        <v>4.9945612495000001E-4</v>
      </c>
      <c r="K1845" s="8">
        <v>4.9806769534399998E-4</v>
      </c>
      <c r="L1845" s="8">
        <v>5.2662848256399995E-4</v>
      </c>
      <c r="M1845" s="8">
        <v>5.4116082101699999E-4</v>
      </c>
      <c r="N1845" s="8">
        <v>5.4745501777099905E-4</v>
      </c>
      <c r="O1845">
        <v>0</v>
      </c>
      <c r="P1845">
        <v>0</v>
      </c>
      <c r="Q1845">
        <v>0</v>
      </c>
      <c r="R1845" t="s">
        <v>243</v>
      </c>
    </row>
    <row r="1846" spans="1:18" x14ac:dyDescent="0.3">
      <c r="A1846" t="s">
        <v>259</v>
      </c>
      <c r="B1846" t="s">
        <v>427</v>
      </c>
      <c r="C1846" t="s">
        <v>290</v>
      </c>
      <c r="D1846" s="8">
        <v>3.365059E-4</v>
      </c>
      <c r="E1846" s="8">
        <v>7.6447589999999903E-4</v>
      </c>
      <c r="F1846" s="8">
        <v>7.7756820000000003E-4</v>
      </c>
      <c r="G1846" s="8">
        <v>7.4170875400000002E-4</v>
      </c>
      <c r="H1846" s="8">
        <v>6.4021385246399896E-4</v>
      </c>
      <c r="I1846" s="8">
        <v>6.3425449847900005E-4</v>
      </c>
      <c r="J1846" s="8">
        <v>6.1318097933899896E-4</v>
      </c>
      <c r="K1846" s="8">
        <v>6.0443463838999998E-4</v>
      </c>
      <c r="L1846" s="8">
        <v>6.3312019738599897E-4</v>
      </c>
      <c r="M1846" s="8">
        <v>6.4448395655599896E-4</v>
      </c>
      <c r="N1846" s="8">
        <v>6.4641278319699995E-4</v>
      </c>
      <c r="O1846">
        <v>0</v>
      </c>
      <c r="P1846">
        <v>0</v>
      </c>
      <c r="Q1846">
        <v>0</v>
      </c>
      <c r="R1846" t="s">
        <v>243</v>
      </c>
    </row>
    <row r="1847" spans="1:18" x14ac:dyDescent="0.3">
      <c r="A1847" t="s">
        <v>259</v>
      </c>
      <c r="B1847" t="s">
        <v>427</v>
      </c>
      <c r="C1847" t="s">
        <v>291</v>
      </c>
      <c r="D1847" s="8">
        <v>4.3203749999999998E-4</v>
      </c>
      <c r="E1847" s="8">
        <v>9.6089750000000001E-4</v>
      </c>
      <c r="F1847" s="8">
        <v>9.533826E-4</v>
      </c>
      <c r="G1847" s="8">
        <v>9.2975881999999904E-4</v>
      </c>
      <c r="H1847" s="8">
        <v>7.9940358620799996E-4</v>
      </c>
      <c r="I1847" s="8">
        <v>7.8733051217399997E-4</v>
      </c>
      <c r="J1847" s="8">
        <v>7.4950523449199996E-4</v>
      </c>
      <c r="K1847" s="8">
        <v>7.2825581043699998E-4</v>
      </c>
      <c r="L1847" s="8">
        <v>7.5556794071700002E-4</v>
      </c>
      <c r="M1847" s="8">
        <v>7.61689680214E-4</v>
      </c>
      <c r="N1847" s="8">
        <v>7.5568329642000003E-4</v>
      </c>
      <c r="O1847">
        <v>0</v>
      </c>
      <c r="P1847">
        <v>0</v>
      </c>
      <c r="Q1847">
        <v>0</v>
      </c>
      <c r="R1847" t="s">
        <v>243</v>
      </c>
    </row>
    <row r="1848" spans="1:18" x14ac:dyDescent="0.3">
      <c r="A1848" t="s">
        <v>259</v>
      </c>
      <c r="B1848" t="s">
        <v>427</v>
      </c>
      <c r="C1848" t="s">
        <v>292</v>
      </c>
      <c r="D1848" s="8">
        <v>5.5466779999999995E-4</v>
      </c>
      <c r="E1848">
        <v>1.2332001999999999E-3</v>
      </c>
      <c r="F1848">
        <v>1.211047E-3</v>
      </c>
      <c r="G1848">
        <v>1.2051139770000001E-3</v>
      </c>
      <c r="H1848">
        <v>1.021747133665E-3</v>
      </c>
      <c r="I1848" s="8">
        <v>9.9456999047299989E-4</v>
      </c>
      <c r="J1848" s="8">
        <v>9.2964826142100001E-4</v>
      </c>
      <c r="K1848" s="8">
        <v>8.8647039409199904E-4</v>
      </c>
      <c r="L1848" s="8">
        <v>9.0767149679699902E-4</v>
      </c>
      <c r="M1848" s="8">
        <v>9.0205584803799998E-4</v>
      </c>
      <c r="N1848" s="8">
        <v>8.8254858031799996E-4</v>
      </c>
      <c r="O1848">
        <v>0</v>
      </c>
      <c r="P1848">
        <v>0</v>
      </c>
      <c r="Q1848">
        <v>0</v>
      </c>
      <c r="R1848" t="s">
        <v>243</v>
      </c>
    </row>
    <row r="1849" spans="1:18" x14ac:dyDescent="0.3">
      <c r="A1849" t="s">
        <v>259</v>
      </c>
      <c r="B1849" t="s">
        <v>427</v>
      </c>
      <c r="C1849" t="s">
        <v>293</v>
      </c>
      <c r="D1849" s="8">
        <v>7.7839389999999895E-4</v>
      </c>
      <c r="E1849">
        <v>1.6371999999999999E-3</v>
      </c>
      <c r="F1849">
        <v>1.572742E-3</v>
      </c>
      <c r="G1849">
        <v>1.606446992E-3</v>
      </c>
      <c r="H1849">
        <v>1.355080771028E-3</v>
      </c>
      <c r="I1849">
        <v>1.303176123882E-3</v>
      </c>
      <c r="J1849">
        <v>1.184709868167E-3</v>
      </c>
      <c r="K1849">
        <v>1.0970919164129901E-3</v>
      </c>
      <c r="L1849">
        <v>1.101059019286E-3</v>
      </c>
      <c r="M1849">
        <v>1.0740085400459899E-3</v>
      </c>
      <c r="N1849">
        <v>1.0321583653079901E-3</v>
      </c>
      <c r="O1849">
        <v>0</v>
      </c>
      <c r="P1849">
        <v>0</v>
      </c>
      <c r="Q1849">
        <v>0</v>
      </c>
      <c r="R1849" t="s">
        <v>243</v>
      </c>
    </row>
    <row r="1850" spans="1:18" x14ac:dyDescent="0.3">
      <c r="A1850" t="s">
        <v>259</v>
      </c>
      <c r="B1850" t="s">
        <v>427</v>
      </c>
      <c r="C1850" t="s">
        <v>294</v>
      </c>
      <c r="D1850" s="8">
        <v>2.06684E-5</v>
      </c>
      <c r="E1850" s="8">
        <v>3.00918403E-5</v>
      </c>
      <c r="F1850" s="8">
        <v>3.8532056900000001E-5</v>
      </c>
      <c r="G1850" s="8">
        <v>3.7090540699999997E-5</v>
      </c>
      <c r="H1850" s="8">
        <v>4.7254799499999901E-5</v>
      </c>
      <c r="I1850" s="8">
        <v>5.23410911E-5</v>
      </c>
      <c r="J1850" s="8">
        <v>6.3918365850000001E-5</v>
      </c>
      <c r="K1850" s="8">
        <v>7.5398197499999996E-5</v>
      </c>
      <c r="L1850" s="8">
        <v>8.5847548799999998E-5</v>
      </c>
      <c r="M1850" s="8">
        <v>9.63764205E-5</v>
      </c>
      <c r="N1850" s="8">
        <v>1.07089081499999E-4</v>
      </c>
      <c r="O1850">
        <v>0</v>
      </c>
      <c r="P1850">
        <v>0</v>
      </c>
      <c r="Q1850">
        <v>0</v>
      </c>
      <c r="R1850" t="s">
        <v>243</v>
      </c>
    </row>
    <row r="1851" spans="1:18" x14ac:dyDescent="0.3">
      <c r="A1851" t="s">
        <v>259</v>
      </c>
      <c r="B1851" t="s">
        <v>427</v>
      </c>
      <c r="C1851" t="s">
        <v>295</v>
      </c>
      <c r="D1851" s="8">
        <v>4.1842300000000002E-4</v>
      </c>
      <c r="E1851" s="8">
        <v>7.3525174E-4</v>
      </c>
      <c r="F1851" s="8">
        <v>6.9569957999999999E-4</v>
      </c>
      <c r="G1851" s="8">
        <v>7.2147428999999998E-4</v>
      </c>
      <c r="H1851" s="8">
        <v>7.5419651700000005E-4</v>
      </c>
      <c r="I1851" s="8">
        <v>7.66315664E-4</v>
      </c>
      <c r="J1851" s="8">
        <v>7.8248583599999999E-4</v>
      </c>
      <c r="K1851" s="8">
        <v>7.9845528900000004E-4</v>
      </c>
      <c r="L1851" s="8">
        <v>8.0444399399999999E-4</v>
      </c>
      <c r="M1851" s="8">
        <v>8.0252723599999996E-4</v>
      </c>
      <c r="N1851" s="8">
        <v>7.9883657999999999E-4</v>
      </c>
      <c r="O1851">
        <v>0</v>
      </c>
      <c r="P1851">
        <v>0</v>
      </c>
      <c r="Q1851">
        <v>0</v>
      </c>
      <c r="R1851" t="s">
        <v>243</v>
      </c>
    </row>
    <row r="1852" spans="1:18" x14ac:dyDescent="0.3">
      <c r="A1852" t="s">
        <v>259</v>
      </c>
      <c r="B1852" t="s">
        <v>427</v>
      </c>
      <c r="C1852" t="s">
        <v>296</v>
      </c>
      <c r="D1852" s="8">
        <v>3.9918900000000002E-5</v>
      </c>
      <c r="E1852" s="8">
        <v>6.4702506000000002E-5</v>
      </c>
      <c r="F1852" s="8">
        <v>8.4180906999999896E-5</v>
      </c>
      <c r="G1852" s="8">
        <v>7.5363163000000003E-5</v>
      </c>
      <c r="H1852" s="8">
        <v>9.8072846199999996E-5</v>
      </c>
      <c r="I1852" s="8">
        <v>1.06955142E-4</v>
      </c>
      <c r="J1852" s="8">
        <v>1.2772196170000001E-4</v>
      </c>
      <c r="K1852" s="8">
        <v>1.4971396669999999E-4</v>
      </c>
      <c r="L1852" s="8">
        <v>1.695395421E-4</v>
      </c>
      <c r="M1852" s="8">
        <v>1.889048881E-4</v>
      </c>
      <c r="N1852" s="8">
        <v>2.0796634799999901E-4</v>
      </c>
      <c r="O1852">
        <v>0</v>
      </c>
      <c r="P1852">
        <v>0</v>
      </c>
      <c r="Q1852">
        <v>0</v>
      </c>
      <c r="R1852" t="s">
        <v>243</v>
      </c>
    </row>
    <row r="1853" spans="1:18" x14ac:dyDescent="0.3">
      <c r="A1853" t="s">
        <v>259</v>
      </c>
      <c r="B1853" t="s">
        <v>427</v>
      </c>
      <c r="C1853" t="s">
        <v>297</v>
      </c>
      <c r="D1853" s="8">
        <v>5.5279699999999999E-5</v>
      </c>
      <c r="E1853" s="8">
        <v>9.4613824999999994E-5</v>
      </c>
      <c r="F1853" s="8">
        <v>1.20743734E-4</v>
      </c>
      <c r="G1853" s="8">
        <v>1.0790511E-4</v>
      </c>
      <c r="H1853" s="8">
        <v>1.377878312E-4</v>
      </c>
      <c r="I1853" s="8">
        <v>1.4958541070000001E-4</v>
      </c>
      <c r="J1853" s="8">
        <v>1.7738895249999999E-4</v>
      </c>
      <c r="K1853" s="8">
        <v>2.068216625E-4</v>
      </c>
      <c r="L1853" s="8">
        <v>2.3266791489999901E-4</v>
      </c>
      <c r="M1853" s="8">
        <v>2.572439588E-4</v>
      </c>
      <c r="N1853" s="8">
        <v>2.8071795800000001E-4</v>
      </c>
      <c r="O1853">
        <v>0</v>
      </c>
      <c r="P1853">
        <v>0</v>
      </c>
      <c r="Q1853">
        <v>0</v>
      </c>
      <c r="R1853" t="s">
        <v>243</v>
      </c>
    </row>
    <row r="1854" spans="1:18" x14ac:dyDescent="0.3">
      <c r="A1854" t="s">
        <v>259</v>
      </c>
      <c r="B1854" t="s">
        <v>427</v>
      </c>
      <c r="C1854" t="s">
        <v>298</v>
      </c>
      <c r="D1854" s="8">
        <v>7.1582599999999995E-5</v>
      </c>
      <c r="E1854" s="8">
        <v>1.2670000799999901E-4</v>
      </c>
      <c r="F1854" s="8">
        <v>1.5741832499999999E-4</v>
      </c>
      <c r="G1854" s="8">
        <v>1.4136585299999999E-4</v>
      </c>
      <c r="H1854" s="8">
        <v>1.7787587360000001E-4</v>
      </c>
      <c r="I1854" s="8">
        <v>1.9228496429999999E-4</v>
      </c>
      <c r="J1854" s="8">
        <v>2.25009100499999E-4</v>
      </c>
      <c r="K1854" s="8">
        <v>2.6009297789999998E-4</v>
      </c>
      <c r="L1854" s="8">
        <v>2.9068282399999899E-4</v>
      </c>
      <c r="M1854" s="8">
        <v>3.1868122730000002E-4</v>
      </c>
      <c r="N1854" s="8">
        <v>3.4438202549999899E-4</v>
      </c>
      <c r="O1854">
        <v>0</v>
      </c>
      <c r="P1854">
        <v>0</v>
      </c>
      <c r="Q1854">
        <v>0</v>
      </c>
      <c r="R1854" t="s">
        <v>243</v>
      </c>
    </row>
    <row r="1855" spans="1:18" x14ac:dyDescent="0.3">
      <c r="A1855" t="s">
        <v>259</v>
      </c>
      <c r="B1855" t="s">
        <v>427</v>
      </c>
      <c r="C1855" t="s">
        <v>299</v>
      </c>
      <c r="D1855" s="8">
        <v>8.9220299999999997E-5</v>
      </c>
      <c r="E1855" s="8">
        <v>1.63308019999999E-4</v>
      </c>
      <c r="F1855" s="8">
        <v>1.9574737999999999E-4</v>
      </c>
      <c r="G1855" s="8">
        <v>1.7862260099999901E-4</v>
      </c>
      <c r="H1855" s="8">
        <v>2.2069372199999901E-4</v>
      </c>
      <c r="I1855" s="8">
        <v>2.3704447729999901E-4</v>
      </c>
      <c r="J1855" s="8">
        <v>2.7481314099999998E-4</v>
      </c>
      <c r="K1855" s="8">
        <v>3.1445611410000002E-4</v>
      </c>
      <c r="L1855" s="8">
        <v>3.4827481E-4</v>
      </c>
      <c r="M1855" s="8">
        <v>3.782654459E-4</v>
      </c>
      <c r="N1855" s="8">
        <v>4.049166599E-4</v>
      </c>
      <c r="O1855">
        <v>0</v>
      </c>
      <c r="P1855">
        <v>0</v>
      </c>
      <c r="Q1855">
        <v>0</v>
      </c>
      <c r="R1855" t="s">
        <v>243</v>
      </c>
    </row>
    <row r="1856" spans="1:18" x14ac:dyDescent="0.3">
      <c r="A1856" t="s">
        <v>259</v>
      </c>
      <c r="B1856" t="s">
        <v>427</v>
      </c>
      <c r="C1856" t="s">
        <v>300</v>
      </c>
      <c r="D1856" s="8">
        <v>1.10095E-4</v>
      </c>
      <c r="E1856" s="8">
        <v>2.0670809300000001E-4</v>
      </c>
      <c r="F1856" s="8">
        <v>2.37703834E-4</v>
      </c>
      <c r="G1856" s="8">
        <v>2.2185537499999999E-4</v>
      </c>
      <c r="H1856" s="8">
        <v>2.6894242600000002E-4</v>
      </c>
      <c r="I1856" s="8">
        <v>2.8749190519999999E-4</v>
      </c>
      <c r="J1856" s="8">
        <v>3.2937120719999898E-4</v>
      </c>
      <c r="K1856" s="8">
        <v>3.7284919579999999E-4</v>
      </c>
      <c r="L1856" s="8">
        <v>4.08347051E-4</v>
      </c>
      <c r="M1856" s="8">
        <v>4.3848289500000002E-4</v>
      </c>
      <c r="N1856" s="8">
        <v>4.6448294829999902E-4</v>
      </c>
      <c r="O1856">
        <v>0</v>
      </c>
      <c r="P1856">
        <v>0</v>
      </c>
      <c r="Q1856">
        <v>0</v>
      </c>
      <c r="R1856" t="s">
        <v>243</v>
      </c>
    </row>
    <row r="1857" spans="1:18" x14ac:dyDescent="0.3">
      <c r="A1857" t="s">
        <v>259</v>
      </c>
      <c r="B1857" t="s">
        <v>427</v>
      </c>
      <c r="C1857" t="s">
        <v>301</v>
      </c>
      <c r="D1857" s="8">
        <v>1.39529E-4</v>
      </c>
      <c r="E1857" s="8">
        <v>2.57220801E-4</v>
      </c>
      <c r="F1857" s="8">
        <v>2.8737176699999999E-4</v>
      </c>
      <c r="G1857" s="8">
        <v>2.7393046600000001E-4</v>
      </c>
      <c r="H1857" s="8">
        <v>3.26941875E-4</v>
      </c>
      <c r="I1857" s="8">
        <v>3.4763414350000001E-4</v>
      </c>
      <c r="J1857" s="8">
        <v>3.920649265E-4</v>
      </c>
      <c r="K1857" s="8">
        <v>4.3781941469999899E-4</v>
      </c>
      <c r="L1857" s="8">
        <v>4.73906708E-4</v>
      </c>
      <c r="M1857" s="8">
        <v>5.0279914800000001E-4</v>
      </c>
      <c r="N1857" s="8">
        <v>5.2592922779999996E-4</v>
      </c>
      <c r="O1857">
        <v>0</v>
      </c>
      <c r="P1857">
        <v>0</v>
      </c>
      <c r="Q1857">
        <v>0</v>
      </c>
      <c r="R1857" t="s">
        <v>243</v>
      </c>
    </row>
    <row r="1858" spans="1:18" x14ac:dyDescent="0.3">
      <c r="A1858" t="s">
        <v>259</v>
      </c>
      <c r="B1858" t="s">
        <v>427</v>
      </c>
      <c r="C1858" t="s">
        <v>302</v>
      </c>
      <c r="D1858" s="8">
        <v>1.7624200000000001E-4</v>
      </c>
      <c r="E1858" s="8">
        <v>3.2560824999999999E-4</v>
      </c>
      <c r="F1858" s="8">
        <v>3.57662398E-4</v>
      </c>
      <c r="G1858" s="8">
        <v>3.47371982E-4</v>
      </c>
      <c r="H1858" s="8">
        <v>4.0173050700000002E-4</v>
      </c>
      <c r="I1858" s="8">
        <v>4.2289439599999998E-4</v>
      </c>
      <c r="J1858" s="8">
        <v>4.6951113879999899E-4</v>
      </c>
      <c r="K1858" s="8">
        <v>5.1577598929999999E-4</v>
      </c>
      <c r="L1858" s="8">
        <v>5.4966863899999995E-4</v>
      </c>
      <c r="M1858" s="8">
        <v>5.7397172899999996E-4</v>
      </c>
      <c r="N1858" s="8">
        <v>5.9164823699999999E-4</v>
      </c>
      <c r="O1858">
        <v>0</v>
      </c>
      <c r="P1858">
        <v>0</v>
      </c>
      <c r="Q1858">
        <v>0</v>
      </c>
      <c r="R1858" t="s">
        <v>243</v>
      </c>
    </row>
    <row r="1859" spans="1:18" x14ac:dyDescent="0.3">
      <c r="A1859" t="s">
        <v>259</v>
      </c>
      <c r="B1859" t="s">
        <v>427</v>
      </c>
      <c r="C1859" t="s">
        <v>303</v>
      </c>
      <c r="D1859" s="8">
        <v>2.4021000000000001E-4</v>
      </c>
      <c r="E1859" s="8">
        <v>4.2358725099999998E-4</v>
      </c>
      <c r="F1859" s="8">
        <v>4.5141495399999898E-4</v>
      </c>
      <c r="G1859" s="8">
        <v>4.4851261099999998E-4</v>
      </c>
      <c r="H1859" s="8">
        <v>5.0657975999999995E-4</v>
      </c>
      <c r="I1859" s="8">
        <v>5.2824925100000003E-4</v>
      </c>
      <c r="J1859" s="8">
        <v>5.7118182290000002E-4</v>
      </c>
      <c r="K1859" s="8">
        <v>6.1165826299999998E-4</v>
      </c>
      <c r="L1859" s="8">
        <v>6.38158867E-4</v>
      </c>
      <c r="M1859" s="8">
        <v>6.53957199E-4</v>
      </c>
      <c r="N1859" s="8">
        <v>6.6331261600000003E-4</v>
      </c>
      <c r="O1859">
        <v>0</v>
      </c>
      <c r="P1859">
        <v>0</v>
      </c>
      <c r="Q1859">
        <v>0</v>
      </c>
      <c r="R1859" t="s">
        <v>243</v>
      </c>
    </row>
    <row r="1860" spans="1:18" x14ac:dyDescent="0.3">
      <c r="A1860" t="s">
        <v>259</v>
      </c>
      <c r="B1860" t="s">
        <v>427</v>
      </c>
      <c r="C1860" t="s">
        <v>304</v>
      </c>
      <c r="D1860" s="8">
        <v>3.4508799999999997E-5</v>
      </c>
      <c r="E1860" s="8">
        <v>5.1240399999999998E-5</v>
      </c>
      <c r="F1860" s="8">
        <v>6.6573800000000003E-5</v>
      </c>
      <c r="G1860" s="8">
        <v>6.6103000000000001E-5</v>
      </c>
      <c r="H1860" s="8">
        <v>8.2678999999999999E-5</v>
      </c>
      <c r="I1860" s="8">
        <v>9.2665599999999996E-5</v>
      </c>
      <c r="J1860" s="8">
        <v>1.119194E-4</v>
      </c>
      <c r="K1860" s="8">
        <v>1.28019E-4</v>
      </c>
      <c r="L1860" s="8">
        <v>1.4184629999999999E-4</v>
      </c>
      <c r="M1860" s="8">
        <v>1.549082E-4</v>
      </c>
      <c r="N1860" s="8">
        <v>1.6745759999999999E-4</v>
      </c>
      <c r="O1860">
        <v>0</v>
      </c>
      <c r="P1860">
        <v>0</v>
      </c>
      <c r="Q1860">
        <v>0</v>
      </c>
      <c r="R1860" t="s">
        <v>243</v>
      </c>
    </row>
    <row r="1861" spans="1:18" x14ac:dyDescent="0.3">
      <c r="A1861" t="s">
        <v>259</v>
      </c>
      <c r="B1861" t="s">
        <v>427</v>
      </c>
      <c r="C1861" t="s">
        <v>305</v>
      </c>
      <c r="D1861" s="8">
        <v>3.8130100000000001E-4</v>
      </c>
      <c r="E1861" s="8">
        <v>6.6939600000000005E-4</v>
      </c>
      <c r="F1861" s="8">
        <v>6.3834000000000004E-4</v>
      </c>
      <c r="G1861" s="8">
        <v>6.4339200000000001E-4</v>
      </c>
      <c r="H1861" s="8">
        <v>6.4316000000000004E-4</v>
      </c>
      <c r="I1861" s="8">
        <v>6.4592999999999996E-4</v>
      </c>
      <c r="J1861" s="8">
        <v>6.4766239999999896E-4</v>
      </c>
      <c r="K1861" s="8">
        <v>6.5575889999999997E-4</v>
      </c>
      <c r="L1861" s="8">
        <v>6.5858900000000001E-4</v>
      </c>
      <c r="M1861" s="8">
        <v>6.5618399999999998E-4</v>
      </c>
      <c r="N1861" s="8">
        <v>6.5299900000000003E-4</v>
      </c>
      <c r="O1861">
        <v>0</v>
      </c>
      <c r="P1861">
        <v>0</v>
      </c>
      <c r="Q1861">
        <v>0</v>
      </c>
      <c r="R1861" t="s">
        <v>243</v>
      </c>
    </row>
    <row r="1862" spans="1:18" x14ac:dyDescent="0.3">
      <c r="A1862" t="s">
        <v>259</v>
      </c>
      <c r="B1862" t="s">
        <v>427</v>
      </c>
      <c r="C1862" t="s">
        <v>306</v>
      </c>
      <c r="D1862" s="8">
        <v>6.4030799999999997E-5</v>
      </c>
      <c r="E1862" s="8">
        <v>1.0558899999999999E-4</v>
      </c>
      <c r="F1862" s="8">
        <v>1.37069E-4</v>
      </c>
      <c r="G1862" s="8">
        <v>1.2708899999999999E-4</v>
      </c>
      <c r="H1862" s="8">
        <v>1.5778179999999999E-4</v>
      </c>
      <c r="I1862" s="8">
        <v>1.7182640000000001E-4</v>
      </c>
      <c r="J1862" s="8">
        <v>1.995341E-4</v>
      </c>
      <c r="K1862" s="8">
        <v>2.2444270000000001E-4</v>
      </c>
      <c r="L1862" s="8">
        <v>2.4478679999999999E-4</v>
      </c>
      <c r="M1862" s="8">
        <v>2.6246160000000001E-4</v>
      </c>
      <c r="N1862" s="8">
        <v>2.7807919999999999E-4</v>
      </c>
      <c r="O1862">
        <v>0</v>
      </c>
      <c r="P1862">
        <v>0</v>
      </c>
      <c r="Q1862">
        <v>0</v>
      </c>
      <c r="R1862" t="s">
        <v>243</v>
      </c>
    </row>
    <row r="1863" spans="1:18" x14ac:dyDescent="0.3">
      <c r="A1863" t="s">
        <v>259</v>
      </c>
      <c r="B1863" t="s">
        <v>427</v>
      </c>
      <c r="C1863" t="s">
        <v>307</v>
      </c>
      <c r="D1863" s="8">
        <v>8.6128699999999994E-5</v>
      </c>
      <c r="E1863" s="8">
        <v>1.4939599999999999E-4</v>
      </c>
      <c r="F1863" s="8">
        <v>1.8839900000000001E-4</v>
      </c>
      <c r="G1863" s="8">
        <v>1.7443999999999999E-4</v>
      </c>
      <c r="H1863" s="8">
        <v>2.1003100000000001E-4</v>
      </c>
      <c r="I1863" s="8">
        <v>2.261613E-4</v>
      </c>
      <c r="J1863" s="8">
        <v>2.5798420000000002E-4</v>
      </c>
      <c r="K1863" s="8">
        <v>2.8641739999999999E-4</v>
      </c>
      <c r="L1863" s="8">
        <v>3.082521E-4</v>
      </c>
      <c r="M1863" s="8">
        <v>3.2587449999999998E-4</v>
      </c>
      <c r="N1863" s="8">
        <v>3.4033480000000003E-4</v>
      </c>
      <c r="O1863">
        <v>0</v>
      </c>
      <c r="P1863">
        <v>0</v>
      </c>
      <c r="Q1863">
        <v>0</v>
      </c>
      <c r="R1863" t="s">
        <v>243</v>
      </c>
    </row>
    <row r="1864" spans="1:18" x14ac:dyDescent="0.3">
      <c r="A1864" t="s">
        <v>259</v>
      </c>
      <c r="B1864" t="s">
        <v>427</v>
      </c>
      <c r="C1864" t="s">
        <v>308</v>
      </c>
      <c r="D1864" s="8">
        <v>1.0831399999999999E-4</v>
      </c>
      <c r="E1864" s="8">
        <v>1.9350699999999999E-4</v>
      </c>
      <c r="F1864" s="8">
        <v>2.3588799999999999E-4</v>
      </c>
      <c r="G1864" s="8">
        <v>2.1936699999999999E-4</v>
      </c>
      <c r="H1864" s="8">
        <v>2.5782799999999999E-4</v>
      </c>
      <c r="I1864" s="8">
        <v>2.7505690000000001E-4</v>
      </c>
      <c r="J1864" s="8">
        <v>3.0739959999999899E-4</v>
      </c>
      <c r="K1864" s="8">
        <v>3.3647199999999999E-4</v>
      </c>
      <c r="L1864" s="8">
        <v>3.5793430000000001E-4</v>
      </c>
      <c r="M1864" s="8">
        <v>3.737449E-4</v>
      </c>
      <c r="N1864" s="8">
        <v>3.85604E-4</v>
      </c>
      <c r="O1864">
        <v>0</v>
      </c>
      <c r="P1864">
        <v>0</v>
      </c>
      <c r="Q1864">
        <v>0</v>
      </c>
      <c r="R1864" t="s">
        <v>243</v>
      </c>
    </row>
    <row r="1865" spans="1:18" x14ac:dyDescent="0.3">
      <c r="A1865" t="s">
        <v>259</v>
      </c>
      <c r="B1865" t="s">
        <v>427</v>
      </c>
      <c r="C1865" t="s">
        <v>309</v>
      </c>
      <c r="D1865" s="8">
        <v>1.3096200000000001E-4</v>
      </c>
      <c r="E1865" s="8">
        <v>2.40521E-4</v>
      </c>
      <c r="F1865" s="8">
        <v>2.8165200000000002E-4</v>
      </c>
      <c r="G1865" s="8">
        <v>2.6535600000000001E-4</v>
      </c>
      <c r="H1865" s="8">
        <v>3.0405100000000001E-4</v>
      </c>
      <c r="I1865" s="8">
        <v>3.2111560000000001E-4</v>
      </c>
      <c r="J1865" s="8">
        <v>3.5306979999999899E-4</v>
      </c>
      <c r="K1865" s="8">
        <v>3.809865E-4</v>
      </c>
      <c r="L1865" s="8">
        <v>4.0044810000000001E-4</v>
      </c>
      <c r="M1865" s="8">
        <v>4.1349460000000002E-4</v>
      </c>
      <c r="N1865" s="8">
        <v>4.2245759999999999E-4</v>
      </c>
      <c r="O1865">
        <v>0</v>
      </c>
      <c r="P1865">
        <v>0</v>
      </c>
      <c r="Q1865">
        <v>0</v>
      </c>
      <c r="R1865" t="s">
        <v>243</v>
      </c>
    </row>
    <row r="1866" spans="1:18" x14ac:dyDescent="0.3">
      <c r="A1866" t="s">
        <v>259</v>
      </c>
      <c r="B1866" t="s">
        <v>427</v>
      </c>
      <c r="C1866" t="s">
        <v>310</v>
      </c>
      <c r="D1866" s="8">
        <v>1.5609E-4</v>
      </c>
      <c r="E1866" s="8">
        <v>2.9207099999999998E-4</v>
      </c>
      <c r="F1866" s="8">
        <v>3.2761900000000002E-4</v>
      </c>
      <c r="G1866" s="8">
        <v>3.1391299999999997E-4</v>
      </c>
      <c r="H1866" s="8">
        <v>3.5079700000000002E-4</v>
      </c>
      <c r="I1866" s="8">
        <v>3.6737199999999998E-4</v>
      </c>
      <c r="J1866" s="8">
        <v>3.9699059999999999E-4</v>
      </c>
      <c r="K1866" s="8">
        <v>4.2255990000000001E-4</v>
      </c>
      <c r="L1866" s="8">
        <v>4.388765E-4</v>
      </c>
      <c r="M1866" s="8">
        <v>4.48450299999999E-4</v>
      </c>
      <c r="N1866" s="8">
        <v>4.5443199999999903E-4</v>
      </c>
      <c r="O1866">
        <v>0</v>
      </c>
      <c r="P1866">
        <v>0</v>
      </c>
      <c r="Q1866">
        <v>0</v>
      </c>
      <c r="R1866" t="s">
        <v>243</v>
      </c>
    </row>
    <row r="1867" spans="1:18" x14ac:dyDescent="0.3">
      <c r="A1867" t="s">
        <v>259</v>
      </c>
      <c r="B1867" t="s">
        <v>427</v>
      </c>
      <c r="C1867" t="s">
        <v>311</v>
      </c>
      <c r="D1867" s="8">
        <v>1.88684E-4</v>
      </c>
      <c r="E1867" s="8">
        <v>3.4684899999999999E-4</v>
      </c>
      <c r="F1867" s="8">
        <v>3.7696600000000001E-4</v>
      </c>
      <c r="G1867" s="8">
        <v>3.6625900000000002E-4</v>
      </c>
      <c r="H1867" s="8">
        <v>4.0035899999999998E-4</v>
      </c>
      <c r="I1867" s="8">
        <v>4.1568699999999998E-4</v>
      </c>
      <c r="J1867" s="8">
        <v>4.4078200000000002E-4</v>
      </c>
      <c r="K1867" s="8">
        <v>4.626249E-4</v>
      </c>
      <c r="L1867" s="8">
        <v>4.7550199999999999E-4</v>
      </c>
      <c r="M1867" s="8">
        <v>4.8171290000000001E-4</v>
      </c>
      <c r="N1867" s="8">
        <v>4.8476329999999997E-4</v>
      </c>
      <c r="O1867">
        <v>0</v>
      </c>
      <c r="P1867">
        <v>0</v>
      </c>
      <c r="Q1867">
        <v>0</v>
      </c>
      <c r="R1867" t="s">
        <v>243</v>
      </c>
    </row>
    <row r="1868" spans="1:18" x14ac:dyDescent="0.3">
      <c r="A1868" t="s">
        <v>259</v>
      </c>
      <c r="B1868" t="s">
        <v>427</v>
      </c>
      <c r="C1868" t="s">
        <v>312</v>
      </c>
      <c r="D1868" s="8">
        <v>2.2512000000000001E-4</v>
      </c>
      <c r="E1868" s="8">
        <v>4.1293999999999999E-4</v>
      </c>
      <c r="F1868" s="8">
        <v>4.3843899999999999E-4</v>
      </c>
      <c r="G1868" s="8">
        <v>4.3011600000000003E-4</v>
      </c>
      <c r="H1868" s="8">
        <v>4.5532400000000001E-4</v>
      </c>
      <c r="I1868" s="8">
        <v>4.6746800000000002E-4</v>
      </c>
      <c r="J1868" s="8">
        <v>4.8698920000000002E-4</v>
      </c>
      <c r="K1868" s="8">
        <v>5.0434799999999995E-4</v>
      </c>
      <c r="L1868" s="8">
        <v>5.1335900000000002E-4</v>
      </c>
      <c r="M1868" s="8">
        <v>5.1612719999999997E-4</v>
      </c>
      <c r="N1868" s="8">
        <v>5.1675690000000003E-4</v>
      </c>
      <c r="O1868">
        <v>0</v>
      </c>
      <c r="P1868">
        <v>0</v>
      </c>
      <c r="Q1868">
        <v>0</v>
      </c>
      <c r="R1868" t="s">
        <v>243</v>
      </c>
    </row>
    <row r="1869" spans="1:18" x14ac:dyDescent="0.3">
      <c r="A1869" t="s">
        <v>259</v>
      </c>
      <c r="B1869" t="s">
        <v>427</v>
      </c>
      <c r="C1869" t="s">
        <v>313</v>
      </c>
      <c r="D1869" s="8">
        <v>2.78876E-4</v>
      </c>
      <c r="E1869" s="8">
        <v>4.9346399999999999E-4</v>
      </c>
      <c r="F1869" s="8">
        <v>5.0737199999999997E-4</v>
      </c>
      <c r="G1869" s="8">
        <v>5.0228899999999995E-4</v>
      </c>
      <c r="H1869" s="8">
        <v>5.1890200000000001E-4</v>
      </c>
      <c r="I1869" s="8">
        <v>5.2752500000000004E-4</v>
      </c>
      <c r="J1869" s="8">
        <v>5.3873560000000003E-4</v>
      </c>
      <c r="K1869" s="8">
        <v>5.5065349999999997E-4</v>
      </c>
      <c r="L1869" s="8">
        <v>5.5604500000000002E-4</v>
      </c>
      <c r="M1869" s="8">
        <v>5.5626959999999996E-4</v>
      </c>
      <c r="N1869" s="8">
        <v>5.553105E-4</v>
      </c>
      <c r="O1869">
        <v>0</v>
      </c>
      <c r="P1869">
        <v>0</v>
      </c>
      <c r="Q1869">
        <v>0</v>
      </c>
      <c r="R1869" t="s">
        <v>243</v>
      </c>
    </row>
    <row r="1870" spans="1:18" x14ac:dyDescent="0.3">
      <c r="A1870" t="s">
        <v>259</v>
      </c>
      <c r="B1870" t="s">
        <v>427</v>
      </c>
      <c r="C1870" t="s">
        <v>314</v>
      </c>
      <c r="D1870" s="8">
        <v>9.5357099999999999E-6</v>
      </c>
      <c r="E1870" s="8">
        <v>1.4826300000000001E-5</v>
      </c>
      <c r="F1870" s="8">
        <v>1.9263399999999999E-5</v>
      </c>
      <c r="G1870" s="8">
        <v>1.92346E-5</v>
      </c>
      <c r="H1870" s="8">
        <v>2.1574599999999998E-5</v>
      </c>
      <c r="I1870" s="8">
        <v>2.27344E-5</v>
      </c>
      <c r="J1870" s="8">
        <v>2.5680599999999999E-5</v>
      </c>
      <c r="K1870" s="8">
        <v>2.8045799999999998E-5</v>
      </c>
      <c r="L1870" s="8">
        <v>2.9666500000000001E-5</v>
      </c>
      <c r="M1870" s="8">
        <v>3.0890899999999999E-5</v>
      </c>
      <c r="N1870" s="8">
        <v>3.1747700000000001E-5</v>
      </c>
      <c r="O1870">
        <v>0</v>
      </c>
      <c r="P1870">
        <v>0</v>
      </c>
      <c r="Q1870">
        <v>0</v>
      </c>
      <c r="R1870" t="s">
        <v>243</v>
      </c>
    </row>
    <row r="1871" spans="1:18" x14ac:dyDescent="0.3">
      <c r="A1871" t="s">
        <v>259</v>
      </c>
      <c r="B1871" t="s">
        <v>427</v>
      </c>
      <c r="C1871" t="s">
        <v>315</v>
      </c>
      <c r="D1871" s="8">
        <v>4.6246299999999998E-5</v>
      </c>
      <c r="E1871" s="8">
        <v>8.0959399999999996E-5</v>
      </c>
      <c r="F1871" s="8">
        <v>8.14341E-5</v>
      </c>
      <c r="G1871" s="8">
        <v>8.3073100000000003E-5</v>
      </c>
      <c r="H1871" s="8">
        <v>8.1600400000000006E-5</v>
      </c>
      <c r="I1871" s="8">
        <v>8.1170799999999999E-5</v>
      </c>
      <c r="J1871" s="8">
        <v>8.1951299999999996E-5</v>
      </c>
      <c r="K1871" s="8">
        <v>8.1976899999999998E-5</v>
      </c>
      <c r="L1871" s="8">
        <v>8.1406100000000007E-5</v>
      </c>
      <c r="M1871" s="8">
        <v>8.0445700000000001E-5</v>
      </c>
      <c r="N1871" s="8">
        <v>7.9224100000000006E-5</v>
      </c>
      <c r="O1871">
        <v>0</v>
      </c>
      <c r="P1871">
        <v>0</v>
      </c>
      <c r="Q1871">
        <v>0</v>
      </c>
      <c r="R1871" t="s">
        <v>243</v>
      </c>
    </row>
    <row r="1872" spans="1:18" x14ac:dyDescent="0.3">
      <c r="A1872" t="s">
        <v>259</v>
      </c>
      <c r="B1872" t="s">
        <v>427</v>
      </c>
      <c r="C1872" t="s">
        <v>316</v>
      </c>
      <c r="D1872" s="8">
        <v>1.5852400000000001E-5</v>
      </c>
      <c r="E1872" s="8">
        <v>2.70219E-5</v>
      </c>
      <c r="F1872" s="8">
        <v>3.3689200000000003E-5</v>
      </c>
      <c r="G1872" s="8">
        <v>3.1754999999999997E-5</v>
      </c>
      <c r="H1872" s="8">
        <v>3.4850800000000002E-5</v>
      </c>
      <c r="I1872" s="8">
        <v>3.6012E-5</v>
      </c>
      <c r="J1872" s="8">
        <v>3.8798399999999998E-5</v>
      </c>
      <c r="K1872" s="8">
        <v>4.0653900000000001E-5</v>
      </c>
      <c r="L1872" s="8">
        <v>4.1601299999999998E-5</v>
      </c>
      <c r="M1872" s="8">
        <v>4.2042999999999997E-5</v>
      </c>
      <c r="N1872" s="8">
        <v>4.2113200000000002E-5</v>
      </c>
      <c r="O1872">
        <v>0</v>
      </c>
      <c r="P1872">
        <v>0</v>
      </c>
      <c r="Q1872">
        <v>0</v>
      </c>
      <c r="R1872" t="s">
        <v>243</v>
      </c>
    </row>
    <row r="1873" spans="1:18" x14ac:dyDescent="0.3">
      <c r="A1873" t="s">
        <v>259</v>
      </c>
      <c r="B1873" t="s">
        <v>427</v>
      </c>
      <c r="C1873" t="s">
        <v>317</v>
      </c>
      <c r="D1873" s="8">
        <v>1.9793499999999999E-5</v>
      </c>
      <c r="E1873" s="8">
        <v>3.5000399999999998E-5</v>
      </c>
      <c r="F1873" s="8">
        <v>4.1706499999999998E-5</v>
      </c>
      <c r="G1873" s="8">
        <v>3.9279700000000003E-5</v>
      </c>
      <c r="H1873" s="8">
        <v>4.1663799999999999E-5</v>
      </c>
      <c r="I1873" s="8">
        <v>4.2660600000000003E-5</v>
      </c>
      <c r="J1873" s="8">
        <v>4.5068299999999997E-5</v>
      </c>
      <c r="K1873" s="8">
        <v>4.6424300000000002E-5</v>
      </c>
      <c r="L1873" s="8">
        <v>4.6928999999999997E-5</v>
      </c>
      <c r="M1873" s="8">
        <v>4.6995600000000001E-5</v>
      </c>
      <c r="N1873" s="8">
        <v>4.6768899999999999E-5</v>
      </c>
      <c r="O1873">
        <v>0</v>
      </c>
      <c r="P1873">
        <v>0</v>
      </c>
      <c r="Q1873">
        <v>0</v>
      </c>
      <c r="R1873" t="s">
        <v>243</v>
      </c>
    </row>
    <row r="1874" spans="1:18" x14ac:dyDescent="0.3">
      <c r="A1874" t="s">
        <v>259</v>
      </c>
      <c r="B1874" t="s">
        <v>427</v>
      </c>
      <c r="C1874" t="s">
        <v>318</v>
      </c>
      <c r="D1874" s="8">
        <v>2.32009E-5</v>
      </c>
      <c r="E1874" s="8">
        <v>4.1728399999999998E-5</v>
      </c>
      <c r="F1874" s="8">
        <v>4.7764099999999999E-5</v>
      </c>
      <c r="G1874" s="8">
        <v>4.5127699999999998E-5</v>
      </c>
      <c r="H1874" s="8">
        <v>4.6736800000000003E-5</v>
      </c>
      <c r="I1874" s="8">
        <v>4.7522699999999998E-5</v>
      </c>
      <c r="J1874" s="8">
        <v>4.9447299999999997E-5</v>
      </c>
      <c r="K1874" s="8">
        <v>5.0423100000000002E-5</v>
      </c>
      <c r="L1874" s="8">
        <v>5.0690399999999998E-5</v>
      </c>
      <c r="M1874" s="8">
        <v>5.0568000000000001E-5</v>
      </c>
      <c r="N1874" s="8">
        <v>5.0190900000000001E-5</v>
      </c>
      <c r="O1874">
        <v>0</v>
      </c>
      <c r="P1874">
        <v>0</v>
      </c>
      <c r="Q1874">
        <v>0</v>
      </c>
      <c r="R1874" t="s">
        <v>243</v>
      </c>
    </row>
    <row r="1875" spans="1:18" x14ac:dyDescent="0.3">
      <c r="A1875" t="s">
        <v>259</v>
      </c>
      <c r="B1875" t="s">
        <v>427</v>
      </c>
      <c r="C1875" t="s">
        <v>319</v>
      </c>
      <c r="D1875" s="8">
        <v>2.62064E-5</v>
      </c>
      <c r="E1875" s="8">
        <v>4.7734200000000001E-5</v>
      </c>
      <c r="F1875" s="8">
        <v>5.2659299999999999E-5</v>
      </c>
      <c r="G1875" s="8">
        <v>5.0133699999999997E-5</v>
      </c>
      <c r="H1875" s="8">
        <v>5.0914700000000002E-5</v>
      </c>
      <c r="I1875" s="8">
        <v>5.1459100000000003E-5</v>
      </c>
      <c r="J1875" s="8">
        <v>5.3075100000000003E-5</v>
      </c>
      <c r="K1875" s="8">
        <v>5.3791900000000002E-5</v>
      </c>
      <c r="L1875" s="8">
        <v>5.3903599999999997E-5</v>
      </c>
      <c r="M1875" s="8">
        <v>5.3673800000000001E-5</v>
      </c>
      <c r="N1875" s="8">
        <v>5.3214799999999997E-5</v>
      </c>
      <c r="O1875">
        <v>0</v>
      </c>
      <c r="P1875">
        <v>0</v>
      </c>
      <c r="Q1875">
        <v>0</v>
      </c>
      <c r="R1875" t="s">
        <v>243</v>
      </c>
    </row>
    <row r="1876" spans="1:18" x14ac:dyDescent="0.3">
      <c r="A1876" t="s">
        <v>259</v>
      </c>
      <c r="B1876" t="s">
        <v>427</v>
      </c>
      <c r="C1876" t="s">
        <v>320</v>
      </c>
      <c r="D1876" s="8">
        <v>2.9077500000000001E-5</v>
      </c>
      <c r="E1876" s="8">
        <v>5.3222800000000001E-5</v>
      </c>
      <c r="F1876" s="8">
        <v>5.68781E-5</v>
      </c>
      <c r="G1876" s="8">
        <v>5.4636999999999999E-5</v>
      </c>
      <c r="H1876" s="8">
        <v>5.4681E-5</v>
      </c>
      <c r="I1876" s="8">
        <v>5.5048800000000001E-5</v>
      </c>
      <c r="J1876" s="8">
        <v>5.6422699999999998E-5</v>
      </c>
      <c r="K1876" s="8">
        <v>5.69893E-5</v>
      </c>
      <c r="L1876" s="8">
        <v>5.6985199999999998E-5</v>
      </c>
      <c r="M1876" s="8">
        <v>5.6661399999999999E-5</v>
      </c>
      <c r="N1876" s="8">
        <v>5.6134400000000002E-5</v>
      </c>
      <c r="O1876">
        <v>0</v>
      </c>
      <c r="P1876">
        <v>0</v>
      </c>
      <c r="Q1876">
        <v>0</v>
      </c>
      <c r="R1876" t="s">
        <v>243</v>
      </c>
    </row>
    <row r="1877" spans="1:18" x14ac:dyDescent="0.3">
      <c r="A1877" t="s">
        <v>259</v>
      </c>
      <c r="B1877" t="s">
        <v>427</v>
      </c>
      <c r="C1877" t="s">
        <v>321</v>
      </c>
      <c r="D1877" s="8">
        <v>3.2221400000000003E-5</v>
      </c>
      <c r="E1877" s="8">
        <v>5.8091699999999998E-5</v>
      </c>
      <c r="F1877" s="8">
        <v>6.0856200000000002E-5</v>
      </c>
      <c r="G1877" s="8">
        <v>5.8898699999999999E-5</v>
      </c>
      <c r="H1877" s="8">
        <v>5.8439700000000002E-5</v>
      </c>
      <c r="I1877" s="8">
        <v>5.8662300000000002E-5</v>
      </c>
      <c r="J1877" s="8">
        <v>5.9835800000000001E-5</v>
      </c>
      <c r="K1877" s="8">
        <v>6.0296800000000002E-5</v>
      </c>
      <c r="L1877" s="8">
        <v>6.0227499999999999E-5</v>
      </c>
      <c r="M1877" s="8">
        <v>5.9839100000000001E-5</v>
      </c>
      <c r="N1877" s="8">
        <v>5.9224800000000003E-5</v>
      </c>
      <c r="O1877">
        <v>0</v>
      </c>
      <c r="P1877">
        <v>0</v>
      </c>
      <c r="Q1877">
        <v>0</v>
      </c>
      <c r="R1877" t="s">
        <v>243</v>
      </c>
    </row>
    <row r="1878" spans="1:18" x14ac:dyDescent="0.3">
      <c r="A1878" t="s">
        <v>259</v>
      </c>
      <c r="B1878" t="s">
        <v>427</v>
      </c>
      <c r="C1878" t="s">
        <v>322</v>
      </c>
      <c r="D1878" s="8">
        <v>3.5166300000000002E-5</v>
      </c>
      <c r="E1878" s="8">
        <v>6.3045699999999998E-5</v>
      </c>
      <c r="F1878" s="8">
        <v>6.5350299999999997E-5</v>
      </c>
      <c r="G1878" s="8">
        <v>6.3688699999999999E-5</v>
      </c>
      <c r="H1878" s="8">
        <v>6.2619000000000005E-5</v>
      </c>
      <c r="I1878" s="8">
        <v>6.2651399999999994E-5</v>
      </c>
      <c r="J1878" s="8">
        <v>6.3761499999999996E-5</v>
      </c>
      <c r="K1878" s="8">
        <v>6.4163899999999997E-5</v>
      </c>
      <c r="L1878" s="8">
        <v>6.4017199999999994E-5</v>
      </c>
      <c r="M1878" s="8">
        <v>6.3525899999999994E-5</v>
      </c>
      <c r="N1878" s="8">
        <v>6.2806300000000002E-5</v>
      </c>
      <c r="O1878">
        <v>0</v>
      </c>
      <c r="P1878">
        <v>0</v>
      </c>
      <c r="Q1878">
        <v>0</v>
      </c>
      <c r="R1878" t="s">
        <v>243</v>
      </c>
    </row>
    <row r="1879" spans="1:18" x14ac:dyDescent="0.3">
      <c r="A1879" t="s">
        <v>259</v>
      </c>
      <c r="B1879" t="s">
        <v>427</v>
      </c>
      <c r="C1879" t="s">
        <v>323</v>
      </c>
      <c r="D1879" s="8">
        <v>3.8874100000000001E-5</v>
      </c>
      <c r="E1879" s="8">
        <v>6.83404E-5</v>
      </c>
      <c r="F1879" s="8">
        <v>7.0259900000000001E-5</v>
      </c>
      <c r="G1879" s="8">
        <v>6.9177900000000001E-5</v>
      </c>
      <c r="H1879" s="8">
        <v>6.7971699999999998E-5</v>
      </c>
      <c r="I1879" s="8">
        <v>6.7877400000000002E-5</v>
      </c>
      <c r="J1879" s="8">
        <v>6.8853100000000007E-5</v>
      </c>
      <c r="K1879" s="8">
        <v>6.9121099999999998E-5</v>
      </c>
      <c r="L1879" s="8">
        <v>6.8843999999999993E-5</v>
      </c>
      <c r="M1879" s="8">
        <v>6.8230899999999998E-5</v>
      </c>
      <c r="N1879" s="8">
        <v>6.7385500000000001E-5</v>
      </c>
      <c r="O1879">
        <v>0</v>
      </c>
      <c r="P1879">
        <v>0</v>
      </c>
      <c r="Q1879">
        <v>0</v>
      </c>
      <c r="R1879" t="s">
        <v>243</v>
      </c>
    </row>
    <row r="1880" spans="1:18" x14ac:dyDescent="0.3">
      <c r="A1880" t="s">
        <v>259</v>
      </c>
      <c r="B1880" t="s">
        <v>44</v>
      </c>
      <c r="C1880" t="s">
        <v>261</v>
      </c>
      <c r="D1880" s="8">
        <v>4.7605400000000001E-4</v>
      </c>
      <c r="E1880" s="8">
        <v>7.36895E-4</v>
      </c>
      <c r="F1880" s="8">
        <v>8.3175199999999995E-4</v>
      </c>
      <c r="G1880">
        <v>1.0509299799999999E-3</v>
      </c>
      <c r="H1880">
        <v>1.1788759580000001E-3</v>
      </c>
      <c r="I1880">
        <v>1.3197614119999999E-3</v>
      </c>
      <c r="J1880">
        <v>1.38785231499999E-3</v>
      </c>
      <c r="K1880">
        <v>1.4422900680000001E-3</v>
      </c>
      <c r="L1880">
        <v>1.461822261E-3</v>
      </c>
      <c r="M1880">
        <v>1.4549742769999999E-3</v>
      </c>
      <c r="N1880">
        <v>1.438531559E-3</v>
      </c>
      <c r="O1880">
        <v>0</v>
      </c>
      <c r="P1880">
        <v>0</v>
      </c>
      <c r="Q1880">
        <v>0</v>
      </c>
      <c r="R1880" t="s">
        <v>243</v>
      </c>
    </row>
    <row r="1881" spans="1:18" x14ac:dyDescent="0.3">
      <c r="A1881" t="s">
        <v>259</v>
      </c>
      <c r="B1881" t="s">
        <v>44</v>
      </c>
      <c r="C1881" t="s">
        <v>262</v>
      </c>
      <c r="D1881" s="8">
        <v>1.1010604400000001E-4</v>
      </c>
      <c r="E1881" s="8">
        <v>3.1231680699999898E-4</v>
      </c>
      <c r="F1881" s="8">
        <v>3.4780656999999998E-4</v>
      </c>
      <c r="G1881" s="8">
        <v>4.7587454E-4</v>
      </c>
      <c r="H1881" s="8">
        <v>5.0539458299999999E-4</v>
      </c>
      <c r="I1881" s="8">
        <v>5.9977693940999901E-4</v>
      </c>
      <c r="J1881" s="8">
        <v>6.5217637294999996E-4</v>
      </c>
      <c r="K1881" s="8">
        <v>6.7887535207999895E-4</v>
      </c>
      <c r="L1881" s="8">
        <v>6.3265992471999897E-4</v>
      </c>
      <c r="M1881" s="8">
        <v>6.3139928305999996E-4</v>
      </c>
      <c r="N1881" s="8">
        <v>6.2212840909999997E-4</v>
      </c>
      <c r="O1881">
        <v>0</v>
      </c>
      <c r="P1881">
        <v>0</v>
      </c>
      <c r="Q1881">
        <v>0</v>
      </c>
      <c r="R1881" t="s">
        <v>243</v>
      </c>
    </row>
    <row r="1882" spans="1:18" x14ac:dyDescent="0.3">
      <c r="A1882" t="s">
        <v>259</v>
      </c>
      <c r="B1882" t="s">
        <v>44</v>
      </c>
      <c r="C1882" t="s">
        <v>263</v>
      </c>
      <c r="D1882">
        <v>1.01808E-3</v>
      </c>
      <c r="E1882">
        <v>2.0995969999999999E-3</v>
      </c>
      <c r="F1882">
        <v>2.5995139999999998E-3</v>
      </c>
      <c r="G1882">
        <v>3.4478625000000001E-3</v>
      </c>
      <c r="H1882">
        <v>3.9676049999999999E-3</v>
      </c>
      <c r="I1882">
        <v>4.8326058874999999E-3</v>
      </c>
      <c r="J1882">
        <v>5.4661420200000001E-3</v>
      </c>
      <c r="K1882">
        <v>5.9751458600000003E-3</v>
      </c>
      <c r="L1882">
        <v>6.3239152700000001E-3</v>
      </c>
      <c r="M1882">
        <v>6.5725881199999898E-3</v>
      </c>
      <c r="N1882">
        <v>6.7596655000000004E-3</v>
      </c>
      <c r="O1882">
        <v>0</v>
      </c>
      <c r="P1882">
        <v>0</v>
      </c>
      <c r="Q1882">
        <v>0</v>
      </c>
      <c r="R1882" t="s">
        <v>243</v>
      </c>
    </row>
    <row r="1883" spans="1:18" x14ac:dyDescent="0.3">
      <c r="A1883" t="s">
        <v>259</v>
      </c>
      <c r="B1883" t="s">
        <v>44</v>
      </c>
      <c r="C1883" t="s">
        <v>264</v>
      </c>
      <c r="D1883" s="8">
        <v>4.0529113E-5</v>
      </c>
      <c r="E1883" s="8">
        <v>2.2138100000000001E-5</v>
      </c>
      <c r="F1883" s="8">
        <v>1.8138999000000001E-5</v>
      </c>
      <c r="G1883" s="8">
        <v>2.4147412000000001E-5</v>
      </c>
      <c r="H1883" s="8">
        <v>2.7243073999999999E-5</v>
      </c>
      <c r="I1883" s="8">
        <v>3.5555551000000002E-5</v>
      </c>
      <c r="J1883" s="8">
        <v>4.1873038999999997E-5</v>
      </c>
      <c r="K1883" s="8">
        <v>4.666653E-5</v>
      </c>
      <c r="L1883" s="8">
        <v>4.9960967000000001E-5</v>
      </c>
      <c r="M1883" s="8">
        <v>5.21186129999999E-5</v>
      </c>
      <c r="N1883" s="8">
        <v>5.3920132E-5</v>
      </c>
      <c r="O1883">
        <v>0</v>
      </c>
      <c r="P1883">
        <v>0</v>
      </c>
      <c r="Q1883">
        <v>0</v>
      </c>
      <c r="R1883" t="s">
        <v>243</v>
      </c>
    </row>
    <row r="1884" spans="1:18" x14ac:dyDescent="0.3">
      <c r="A1884" t="s">
        <v>259</v>
      </c>
      <c r="B1884" t="s">
        <v>44</v>
      </c>
      <c r="C1884" t="s">
        <v>265</v>
      </c>
      <c r="D1884" s="8">
        <v>2.8027876999999997E-4</v>
      </c>
      <c r="E1884" s="8">
        <v>1.5953549999999999E-4</v>
      </c>
      <c r="F1884" s="8">
        <v>1.3007059000000001E-4</v>
      </c>
      <c r="G1884" s="8">
        <v>1.4720111000000001E-4</v>
      </c>
      <c r="H1884" s="8">
        <v>1.6280685999999999E-4</v>
      </c>
      <c r="I1884" s="8">
        <v>1.8609757999999999E-4</v>
      </c>
      <c r="J1884" s="8">
        <v>2.0654916999999999E-4</v>
      </c>
      <c r="K1884" s="8">
        <v>2.2390165599999999E-4</v>
      </c>
      <c r="L1884" s="8">
        <v>2.3739588599999901E-4</v>
      </c>
      <c r="M1884" s="8">
        <v>2.4753785E-4</v>
      </c>
      <c r="N1884" s="8">
        <v>2.5607629999999999E-4</v>
      </c>
      <c r="O1884">
        <v>0</v>
      </c>
      <c r="P1884">
        <v>0</v>
      </c>
      <c r="Q1884">
        <v>0</v>
      </c>
      <c r="R1884" t="s">
        <v>243</v>
      </c>
    </row>
    <row r="1885" spans="1:18" x14ac:dyDescent="0.3">
      <c r="A1885" t="s">
        <v>259</v>
      </c>
      <c r="B1885" t="s">
        <v>44</v>
      </c>
      <c r="C1885" t="s">
        <v>266</v>
      </c>
      <c r="D1885" s="8">
        <v>6.5957999999999994E-5</v>
      </c>
      <c r="E1885" s="8">
        <v>3.7926609999999998E-5</v>
      </c>
      <c r="F1885" s="8">
        <v>3.1687694000000002E-5</v>
      </c>
      <c r="G1885" s="8">
        <v>4.1387049999999999E-5</v>
      </c>
      <c r="H1885" s="8">
        <v>4.4211388000000002E-5</v>
      </c>
      <c r="I1885" s="8">
        <v>5.6151437E-5</v>
      </c>
      <c r="J1885" s="8">
        <v>6.5711886000000005E-5</v>
      </c>
      <c r="K1885" s="8">
        <v>7.3550386000000001E-5</v>
      </c>
      <c r="L1885" s="8">
        <v>7.9252242000000001E-5</v>
      </c>
      <c r="M1885" s="8">
        <v>8.3341586000000004E-5</v>
      </c>
      <c r="N1885" s="8">
        <v>8.6961046999999998E-5</v>
      </c>
      <c r="O1885">
        <v>0</v>
      </c>
      <c r="P1885">
        <v>0</v>
      </c>
      <c r="Q1885">
        <v>0</v>
      </c>
      <c r="R1885" t="s">
        <v>243</v>
      </c>
    </row>
    <row r="1886" spans="1:18" x14ac:dyDescent="0.3">
      <c r="A1886" t="s">
        <v>259</v>
      </c>
      <c r="B1886" t="s">
        <v>44</v>
      </c>
      <c r="C1886" t="s">
        <v>267</v>
      </c>
      <c r="D1886" s="8">
        <v>8.7143379999999893E-5</v>
      </c>
      <c r="E1886" s="8">
        <v>5.0319319999999999E-5</v>
      </c>
      <c r="F1886" s="8">
        <v>4.1236572999999997E-5</v>
      </c>
      <c r="G1886" s="8">
        <v>5.3491220000000002E-5</v>
      </c>
      <c r="H1886" s="8">
        <v>5.5976185E-5</v>
      </c>
      <c r="I1886" s="8">
        <v>7.0513083000000001E-5</v>
      </c>
      <c r="J1886" s="8">
        <v>8.1821622999999897E-5</v>
      </c>
      <c r="K1886" s="8">
        <v>9.1352556999999999E-5</v>
      </c>
      <c r="L1886" s="8">
        <v>9.8366599000000005E-5</v>
      </c>
      <c r="M1886" s="8">
        <v>1.03292308E-4</v>
      </c>
      <c r="N1886" s="8">
        <v>1.07598125E-4</v>
      </c>
      <c r="O1886">
        <v>0</v>
      </c>
      <c r="P1886">
        <v>0</v>
      </c>
      <c r="Q1886">
        <v>0</v>
      </c>
      <c r="R1886" t="s">
        <v>243</v>
      </c>
    </row>
    <row r="1887" spans="1:18" x14ac:dyDescent="0.3">
      <c r="A1887" t="s">
        <v>259</v>
      </c>
      <c r="B1887" t="s">
        <v>44</v>
      </c>
      <c r="C1887" t="s">
        <v>268</v>
      </c>
      <c r="D1887" s="8">
        <v>1.0245916E-4</v>
      </c>
      <c r="E1887" s="8">
        <v>6.1067279999999996E-5</v>
      </c>
      <c r="F1887" s="8">
        <v>4.97570499999999E-5</v>
      </c>
      <c r="G1887" s="8">
        <v>6.3547989999999995E-5</v>
      </c>
      <c r="H1887" s="8">
        <v>6.5775820000000003E-5</v>
      </c>
      <c r="I1887" s="8">
        <v>8.1702946999999995E-5</v>
      </c>
      <c r="J1887" s="8">
        <v>9.4535216000000006E-5</v>
      </c>
      <c r="K1887" s="8">
        <v>1.0546723200000001E-4</v>
      </c>
      <c r="L1887" s="8">
        <v>1.13603417E-4</v>
      </c>
      <c r="M1887" s="8">
        <v>1.196741E-4</v>
      </c>
      <c r="N1887" s="8">
        <v>1.2508023599999999E-4</v>
      </c>
      <c r="O1887">
        <v>0</v>
      </c>
      <c r="P1887">
        <v>0</v>
      </c>
      <c r="Q1887">
        <v>0</v>
      </c>
      <c r="R1887" t="s">
        <v>243</v>
      </c>
    </row>
    <row r="1888" spans="1:18" x14ac:dyDescent="0.3">
      <c r="A1888" t="s">
        <v>259</v>
      </c>
      <c r="B1888" t="s">
        <v>44</v>
      </c>
      <c r="C1888" t="s">
        <v>269</v>
      </c>
      <c r="D1888" s="8">
        <v>1.1794034E-4</v>
      </c>
      <c r="E1888" s="8">
        <v>7.194747E-5</v>
      </c>
      <c r="F1888" s="8">
        <v>5.768296E-5</v>
      </c>
      <c r="G1888" s="8">
        <v>7.3098070000000002E-5</v>
      </c>
      <c r="H1888" s="8">
        <v>7.4875829999999994E-5</v>
      </c>
      <c r="I1888" s="8">
        <v>9.2523435000000005E-5</v>
      </c>
      <c r="J1888" s="8">
        <v>1.0679348500000001E-4</v>
      </c>
      <c r="K1888" s="8">
        <v>1.18987157E-4</v>
      </c>
      <c r="L1888" s="8">
        <v>1.28105995E-4</v>
      </c>
      <c r="M1888" s="8">
        <v>1.34679430999999E-4</v>
      </c>
      <c r="N1888" s="8">
        <v>1.4067872600000001E-4</v>
      </c>
      <c r="O1888">
        <v>0</v>
      </c>
      <c r="P1888">
        <v>0</v>
      </c>
      <c r="Q1888">
        <v>0</v>
      </c>
      <c r="R1888" t="s">
        <v>243</v>
      </c>
    </row>
    <row r="1889" spans="1:18" x14ac:dyDescent="0.3">
      <c r="A1889" t="s">
        <v>259</v>
      </c>
      <c r="B1889" t="s">
        <v>44</v>
      </c>
      <c r="C1889" t="s">
        <v>270</v>
      </c>
      <c r="D1889" s="8">
        <v>1.3548126999999999E-4</v>
      </c>
      <c r="E1889" s="8">
        <v>8.2733219999999997E-5</v>
      </c>
      <c r="F1889" s="8">
        <v>6.53856E-5</v>
      </c>
      <c r="G1889" s="8">
        <v>8.207051E-5</v>
      </c>
      <c r="H1889" s="8">
        <v>8.434646E-5</v>
      </c>
      <c r="I1889" s="8">
        <v>1.03541239E-4</v>
      </c>
      <c r="J1889" s="8">
        <v>1.19058248E-4</v>
      </c>
      <c r="K1889" s="8">
        <v>1.3212048600000001E-4</v>
      </c>
      <c r="L1889" s="8">
        <v>1.4187466400000001E-4</v>
      </c>
      <c r="M1889" s="8">
        <v>1.4917274699999901E-4</v>
      </c>
      <c r="N1889" s="8">
        <v>1.5571302000000001E-4</v>
      </c>
      <c r="O1889">
        <v>0</v>
      </c>
      <c r="P1889">
        <v>0</v>
      </c>
      <c r="Q1889">
        <v>0</v>
      </c>
      <c r="R1889" t="s">
        <v>243</v>
      </c>
    </row>
    <row r="1890" spans="1:18" x14ac:dyDescent="0.3">
      <c r="A1890" t="s">
        <v>259</v>
      </c>
      <c r="B1890" t="s">
        <v>44</v>
      </c>
      <c r="C1890" t="s">
        <v>271</v>
      </c>
      <c r="D1890" s="8">
        <v>1.5557725000000001E-4</v>
      </c>
      <c r="E1890" s="8">
        <v>9.369766E-5</v>
      </c>
      <c r="F1890" s="8">
        <v>7.3601560000000001E-5</v>
      </c>
      <c r="G1890" s="8">
        <v>9.0517260000000006E-5</v>
      </c>
      <c r="H1890" s="8">
        <v>9.4705730000000006E-5</v>
      </c>
      <c r="I1890" s="8">
        <v>1.1490231E-4</v>
      </c>
      <c r="J1890" s="8">
        <v>1.31437733999999E-4</v>
      </c>
      <c r="K1890" s="8">
        <v>1.4594348999999999E-4</v>
      </c>
      <c r="L1890" s="8">
        <v>1.5693749899999999E-4</v>
      </c>
      <c r="M1890" s="8">
        <v>1.6505937599999999E-4</v>
      </c>
      <c r="N1890" s="8">
        <v>1.7226029599999999E-4</v>
      </c>
      <c r="O1890">
        <v>0</v>
      </c>
      <c r="P1890">
        <v>0</v>
      </c>
      <c r="Q1890">
        <v>0</v>
      </c>
      <c r="R1890" t="s">
        <v>243</v>
      </c>
    </row>
    <row r="1891" spans="1:18" x14ac:dyDescent="0.3">
      <c r="A1891" t="s">
        <v>259</v>
      </c>
      <c r="B1891" t="s">
        <v>44</v>
      </c>
      <c r="C1891" t="s">
        <v>272</v>
      </c>
      <c r="D1891" s="8">
        <v>1.780846E-4</v>
      </c>
      <c r="E1891" s="8">
        <v>1.0629677E-4</v>
      </c>
      <c r="F1891" s="8">
        <v>8.3173589999999999E-5</v>
      </c>
      <c r="G1891" s="8">
        <v>1.01593439999999E-4</v>
      </c>
      <c r="H1891" s="8">
        <v>1.0651059E-4</v>
      </c>
      <c r="I1891" s="8">
        <v>1.2843908E-4</v>
      </c>
      <c r="J1891" s="8">
        <v>1.46384969E-4</v>
      </c>
      <c r="K1891" s="8">
        <v>1.61813322E-4</v>
      </c>
      <c r="L1891" s="8">
        <v>1.7359899699999999E-4</v>
      </c>
      <c r="M1891" s="8">
        <v>1.82292589E-4</v>
      </c>
      <c r="N1891" s="8">
        <v>1.89981844E-4</v>
      </c>
      <c r="O1891">
        <v>0</v>
      </c>
      <c r="P1891">
        <v>0</v>
      </c>
      <c r="Q1891">
        <v>0</v>
      </c>
      <c r="R1891" t="s">
        <v>243</v>
      </c>
    </row>
    <row r="1892" spans="1:18" x14ac:dyDescent="0.3">
      <c r="A1892" t="s">
        <v>259</v>
      </c>
      <c r="B1892" t="s">
        <v>44</v>
      </c>
      <c r="C1892" t="s">
        <v>273</v>
      </c>
      <c r="D1892" s="8">
        <v>2.1660308999999999E-4</v>
      </c>
      <c r="E1892" s="8">
        <v>1.2178172E-4</v>
      </c>
      <c r="F1892" s="8">
        <v>9.7408279999999897E-5</v>
      </c>
      <c r="G1892" s="8">
        <v>1.1550307E-4</v>
      </c>
      <c r="H1892" s="8">
        <v>1.2360703000000001E-4</v>
      </c>
      <c r="I1892" s="8">
        <v>1.465111E-4</v>
      </c>
      <c r="J1892" s="8">
        <v>1.65666406E-4</v>
      </c>
      <c r="K1892" s="8">
        <v>1.82364486E-4</v>
      </c>
      <c r="L1892" s="8">
        <v>1.9498986199999901E-4</v>
      </c>
      <c r="M1892" s="8">
        <v>2.0424255000000001E-4</v>
      </c>
      <c r="N1892" s="8">
        <v>2.12267958E-4</v>
      </c>
      <c r="O1892">
        <v>0</v>
      </c>
      <c r="P1892">
        <v>0</v>
      </c>
      <c r="Q1892">
        <v>0</v>
      </c>
      <c r="R1892" t="s">
        <v>243</v>
      </c>
    </row>
    <row r="1893" spans="1:18" x14ac:dyDescent="0.3">
      <c r="A1893" t="s">
        <v>259</v>
      </c>
      <c r="B1893" t="s">
        <v>44</v>
      </c>
      <c r="C1893" t="s">
        <v>274</v>
      </c>
      <c r="D1893" s="8">
        <v>8.4695094199999998E-6</v>
      </c>
      <c r="E1893" s="8">
        <v>2.2489145729999998E-5</v>
      </c>
      <c r="F1893" s="8">
        <v>2.2781505579999999E-5</v>
      </c>
      <c r="G1893" s="8">
        <v>2.639458416E-5</v>
      </c>
      <c r="H1893" s="8">
        <v>3.7902125589999999E-5</v>
      </c>
      <c r="I1893" s="8">
        <v>4.3460373079999898E-5</v>
      </c>
      <c r="J1893" s="8">
        <v>4.6495682260000002E-5</v>
      </c>
      <c r="K1893" s="8">
        <v>4.8724032279999999E-5</v>
      </c>
      <c r="L1893" s="8">
        <v>4.9835826979999901E-5</v>
      </c>
      <c r="M1893" s="8">
        <v>4.9991164679999898E-5</v>
      </c>
      <c r="N1893" s="8">
        <v>4.9701394639999997E-5</v>
      </c>
      <c r="O1893">
        <v>0</v>
      </c>
      <c r="P1893">
        <v>0</v>
      </c>
      <c r="Q1893">
        <v>0</v>
      </c>
      <c r="R1893" t="s">
        <v>243</v>
      </c>
    </row>
    <row r="1894" spans="1:18" x14ac:dyDescent="0.3">
      <c r="A1894" t="s">
        <v>259</v>
      </c>
      <c r="B1894" t="s">
        <v>44</v>
      </c>
      <c r="C1894" t="s">
        <v>275</v>
      </c>
      <c r="D1894" s="8">
        <v>1.9107015700000001E-5</v>
      </c>
      <c r="E1894" s="8">
        <v>4.4144552499999998E-5</v>
      </c>
      <c r="F1894" s="8">
        <v>4.0669427800000001E-5</v>
      </c>
      <c r="G1894" s="8">
        <v>4.4716370999999998E-5</v>
      </c>
      <c r="H1894" s="8">
        <v>5.6509330369999997E-5</v>
      </c>
      <c r="I1894" s="8">
        <v>6.1749552379999903E-5</v>
      </c>
      <c r="J1894" s="8">
        <v>6.4542115780000001E-5</v>
      </c>
      <c r="K1894" s="8">
        <v>6.6695645429999903E-5</v>
      </c>
      <c r="L1894" s="8">
        <v>6.7483037070000001E-5</v>
      </c>
      <c r="M1894" s="8">
        <v>6.7020122339999898E-5</v>
      </c>
      <c r="N1894" s="8">
        <v>6.607535412E-5</v>
      </c>
      <c r="O1894">
        <v>0</v>
      </c>
      <c r="P1894">
        <v>0</v>
      </c>
      <c r="Q1894">
        <v>0</v>
      </c>
      <c r="R1894" t="s">
        <v>243</v>
      </c>
    </row>
    <row r="1895" spans="1:18" x14ac:dyDescent="0.3">
      <c r="A1895" t="s">
        <v>259</v>
      </c>
      <c r="B1895" t="s">
        <v>44</v>
      </c>
      <c r="C1895" t="s">
        <v>276</v>
      </c>
      <c r="D1895" s="8">
        <v>1.134402752E-5</v>
      </c>
      <c r="E1895" s="8">
        <v>2.8779248579999998E-5</v>
      </c>
      <c r="F1895" s="8">
        <v>2.8256565190000001E-5</v>
      </c>
      <c r="G1895" s="8">
        <v>3.1837565629999998E-5</v>
      </c>
      <c r="H1895" s="8">
        <v>4.3032666609999999E-5</v>
      </c>
      <c r="I1895" s="8">
        <v>4.8103259920000003E-5</v>
      </c>
      <c r="J1895" s="8">
        <v>5.0926656300000003E-5</v>
      </c>
      <c r="K1895" s="8">
        <v>5.307477367E-5</v>
      </c>
      <c r="L1895" s="8">
        <v>5.41133195499999E-5</v>
      </c>
      <c r="M1895" s="8">
        <v>5.414694062E-5</v>
      </c>
      <c r="N1895" s="8">
        <v>5.3756534830000001E-5</v>
      </c>
      <c r="O1895">
        <v>0</v>
      </c>
      <c r="P1895">
        <v>0</v>
      </c>
      <c r="Q1895">
        <v>0</v>
      </c>
      <c r="R1895" t="s">
        <v>243</v>
      </c>
    </row>
    <row r="1896" spans="1:18" x14ac:dyDescent="0.3">
      <c r="A1896" t="s">
        <v>259</v>
      </c>
      <c r="B1896" t="s">
        <v>44</v>
      </c>
      <c r="C1896" t="s">
        <v>277</v>
      </c>
      <c r="D1896" s="8">
        <v>1.3013965070000001E-5</v>
      </c>
      <c r="E1896" s="8">
        <v>3.1727493569999998E-5</v>
      </c>
      <c r="F1896" s="8">
        <v>3.0478738770000001E-5</v>
      </c>
      <c r="G1896" s="8">
        <v>3.4105382900000002E-5</v>
      </c>
      <c r="H1896" s="8">
        <v>4.5163053899999997E-5</v>
      </c>
      <c r="I1896" s="8">
        <v>5.018670939E-5</v>
      </c>
      <c r="J1896" s="8">
        <v>5.2938983199999999E-5</v>
      </c>
      <c r="K1896" s="8">
        <v>5.5068728579999997E-5</v>
      </c>
      <c r="L1896" s="8">
        <v>5.6063440209999998E-5</v>
      </c>
      <c r="M1896" s="8">
        <v>5.6008752090000002E-5</v>
      </c>
      <c r="N1896" s="8">
        <v>5.55245537899999E-5</v>
      </c>
      <c r="O1896">
        <v>0</v>
      </c>
      <c r="P1896">
        <v>0</v>
      </c>
      <c r="Q1896">
        <v>0</v>
      </c>
      <c r="R1896" t="s">
        <v>243</v>
      </c>
    </row>
    <row r="1897" spans="1:18" x14ac:dyDescent="0.3">
      <c r="A1897" t="s">
        <v>259</v>
      </c>
      <c r="B1897" t="s">
        <v>44</v>
      </c>
      <c r="C1897" t="s">
        <v>278</v>
      </c>
      <c r="D1897" s="8">
        <v>1.394840164E-5</v>
      </c>
      <c r="E1897" s="8">
        <v>3.3584525830000001E-5</v>
      </c>
      <c r="F1897" s="8">
        <v>3.1956886839999999E-5</v>
      </c>
      <c r="G1897" s="8">
        <v>3.5584785569999998E-5</v>
      </c>
      <c r="H1897" s="8">
        <v>4.6573446460000002E-5</v>
      </c>
      <c r="I1897" s="8">
        <v>5.15382264099999E-5</v>
      </c>
      <c r="J1897" s="8">
        <v>5.4285455960000001E-5</v>
      </c>
      <c r="K1897" s="8">
        <v>5.6421237749999999E-5</v>
      </c>
      <c r="L1897" s="8">
        <v>5.739730156E-5</v>
      </c>
      <c r="M1897" s="8">
        <v>5.732379392E-5</v>
      </c>
      <c r="N1897" s="8">
        <v>5.6819363369999901E-5</v>
      </c>
      <c r="O1897">
        <v>0</v>
      </c>
      <c r="P1897">
        <v>0</v>
      </c>
      <c r="Q1897">
        <v>0</v>
      </c>
      <c r="R1897" t="s">
        <v>243</v>
      </c>
    </row>
    <row r="1898" spans="1:18" x14ac:dyDescent="0.3">
      <c r="A1898" t="s">
        <v>259</v>
      </c>
      <c r="B1898" t="s">
        <v>44</v>
      </c>
      <c r="C1898" t="s">
        <v>279</v>
      </c>
      <c r="D1898" s="8">
        <v>1.4725531E-5</v>
      </c>
      <c r="E1898" s="8">
        <v>3.5096559199999902E-5</v>
      </c>
      <c r="F1898" s="8">
        <v>3.3097632599999997E-5</v>
      </c>
      <c r="G1898" s="8">
        <v>3.6805417799999998E-5</v>
      </c>
      <c r="H1898" s="8">
        <v>4.7722825759999998E-5</v>
      </c>
      <c r="I1898" s="8">
        <v>5.2730776239999997E-5</v>
      </c>
      <c r="J1898" s="8">
        <v>5.5493206449999998E-5</v>
      </c>
      <c r="K1898" s="8">
        <v>5.7644979319999998E-5</v>
      </c>
      <c r="L1898" s="8">
        <v>5.86076100099999E-5</v>
      </c>
      <c r="M1898" s="8">
        <v>5.8477124820000001E-5</v>
      </c>
      <c r="N1898" s="8">
        <v>5.7927217330000001E-5</v>
      </c>
      <c r="O1898">
        <v>0</v>
      </c>
      <c r="P1898">
        <v>0</v>
      </c>
      <c r="Q1898">
        <v>0</v>
      </c>
      <c r="R1898" t="s">
        <v>243</v>
      </c>
    </row>
    <row r="1899" spans="1:18" x14ac:dyDescent="0.3">
      <c r="A1899" t="s">
        <v>259</v>
      </c>
      <c r="B1899" t="s">
        <v>44</v>
      </c>
      <c r="C1899" t="s">
        <v>280</v>
      </c>
      <c r="D1899" s="8">
        <v>1.5456228799999999E-5</v>
      </c>
      <c r="E1899" s="8">
        <v>3.63826278E-5</v>
      </c>
      <c r="F1899" s="8">
        <v>3.4074328699999998E-5</v>
      </c>
      <c r="G1899" s="8">
        <v>3.7852202700000003E-5</v>
      </c>
      <c r="H1899" s="8">
        <v>4.8811706190000002E-5</v>
      </c>
      <c r="I1899" s="8">
        <v>5.385461144E-5</v>
      </c>
      <c r="J1899" s="8">
        <v>5.6620240220000003E-5</v>
      </c>
      <c r="K1899" s="8">
        <v>5.8753618449999997E-5</v>
      </c>
      <c r="L1899" s="8">
        <v>5.9676659649999902E-5</v>
      </c>
      <c r="M1899" s="8">
        <v>5.9512250309999902E-5</v>
      </c>
      <c r="N1899" s="8">
        <v>5.8916939129999999E-5</v>
      </c>
      <c r="O1899">
        <v>0</v>
      </c>
      <c r="P1899">
        <v>0</v>
      </c>
      <c r="Q1899">
        <v>0</v>
      </c>
      <c r="R1899" t="s">
        <v>243</v>
      </c>
    </row>
    <row r="1900" spans="1:18" x14ac:dyDescent="0.3">
      <c r="A1900" t="s">
        <v>259</v>
      </c>
      <c r="B1900" t="s">
        <v>44</v>
      </c>
      <c r="C1900" t="s">
        <v>281</v>
      </c>
      <c r="D1900" s="8">
        <v>1.6153003399999899E-5</v>
      </c>
      <c r="E1900" s="8">
        <v>3.7563366199999997E-5</v>
      </c>
      <c r="F1900" s="8">
        <v>3.5023216299999999E-5</v>
      </c>
      <c r="G1900" s="8">
        <v>3.8780255299999997E-5</v>
      </c>
      <c r="H1900" s="8">
        <v>4.9922629809999997E-5</v>
      </c>
      <c r="I1900" s="8">
        <v>5.4956255200000001E-5</v>
      </c>
      <c r="J1900" s="8">
        <v>5.7714513269999999E-5</v>
      </c>
      <c r="K1900" s="8">
        <v>5.9886644909999998E-5</v>
      </c>
      <c r="L1900" s="8">
        <v>6.0828241879999998E-5</v>
      </c>
      <c r="M1900" s="8">
        <v>6.06413822499999E-5</v>
      </c>
      <c r="N1900" s="8">
        <v>6.0011097779999997E-5</v>
      </c>
      <c r="O1900">
        <v>0</v>
      </c>
      <c r="P1900">
        <v>0</v>
      </c>
      <c r="Q1900">
        <v>0</v>
      </c>
      <c r="R1900" t="s">
        <v>243</v>
      </c>
    </row>
    <row r="1901" spans="1:18" x14ac:dyDescent="0.3">
      <c r="A1901" t="s">
        <v>259</v>
      </c>
      <c r="B1901" t="s">
        <v>44</v>
      </c>
      <c r="C1901" t="s">
        <v>282</v>
      </c>
      <c r="D1901" s="8">
        <v>1.6810951600000001E-5</v>
      </c>
      <c r="E1901" s="8">
        <v>3.8830429399999999E-5</v>
      </c>
      <c r="F1901" s="8">
        <v>3.60498275E-5</v>
      </c>
      <c r="G1901" s="8">
        <v>3.99433719E-5</v>
      </c>
      <c r="H1901" s="8">
        <v>5.1104244529999999E-5</v>
      </c>
      <c r="I1901" s="8">
        <v>5.6207748879999997E-5</v>
      </c>
      <c r="J1901" s="8">
        <v>5.8982358499999901E-5</v>
      </c>
      <c r="K1901" s="8">
        <v>6.1142492019999902E-5</v>
      </c>
      <c r="L1901" s="8">
        <v>6.2050755669999994E-5</v>
      </c>
      <c r="M1901" s="8">
        <v>6.1807027949999994E-5</v>
      </c>
      <c r="N1901" s="8">
        <v>6.111859175E-5</v>
      </c>
      <c r="O1901">
        <v>0</v>
      </c>
      <c r="P1901">
        <v>0</v>
      </c>
      <c r="Q1901">
        <v>0</v>
      </c>
      <c r="R1901" t="s">
        <v>243</v>
      </c>
    </row>
    <row r="1902" spans="1:18" x14ac:dyDescent="0.3">
      <c r="A1902" t="s">
        <v>259</v>
      </c>
      <c r="B1902" t="s">
        <v>44</v>
      </c>
      <c r="C1902" t="s">
        <v>283</v>
      </c>
      <c r="D1902" s="8">
        <v>1.77577966E-5</v>
      </c>
      <c r="E1902" s="8">
        <v>4.0328958900000003E-5</v>
      </c>
      <c r="F1902" s="8">
        <v>3.7480761199999999E-5</v>
      </c>
      <c r="G1902" s="8">
        <v>4.1361757999999999E-5</v>
      </c>
      <c r="H1902" s="8">
        <v>5.2743105119999998E-5</v>
      </c>
      <c r="I1902" s="8">
        <v>5.7855455540000003E-5</v>
      </c>
      <c r="J1902" s="8">
        <v>6.0626797070000001E-5</v>
      </c>
      <c r="K1902" s="8">
        <v>6.2802901059999996E-5</v>
      </c>
      <c r="L1902" s="8">
        <v>6.3676138289999994E-5</v>
      </c>
      <c r="M1902" s="8">
        <v>6.3358922029999997E-5</v>
      </c>
      <c r="N1902" s="8">
        <v>6.2585013149999994E-5</v>
      </c>
      <c r="O1902">
        <v>0</v>
      </c>
      <c r="P1902">
        <v>0</v>
      </c>
      <c r="Q1902">
        <v>0</v>
      </c>
      <c r="R1902" t="s">
        <v>243</v>
      </c>
    </row>
    <row r="1903" spans="1:18" x14ac:dyDescent="0.3">
      <c r="A1903" t="s">
        <v>259</v>
      </c>
      <c r="B1903" t="s">
        <v>44</v>
      </c>
      <c r="C1903" t="s">
        <v>284</v>
      </c>
      <c r="D1903" s="8">
        <v>3.17835829E-6</v>
      </c>
      <c r="E1903" s="8">
        <v>4.0377688E-6</v>
      </c>
      <c r="F1903" s="8">
        <v>4.4327692000000002E-6</v>
      </c>
      <c r="G1903" s="8">
        <v>5.3131213999999997E-6</v>
      </c>
      <c r="H1903" s="8">
        <v>5.6903896000000002E-6</v>
      </c>
      <c r="I1903" s="8">
        <v>7.0452944000000001E-6</v>
      </c>
      <c r="J1903" s="8">
        <v>7.6659926000000002E-6</v>
      </c>
      <c r="K1903" s="8">
        <v>8.2252450800000005E-6</v>
      </c>
      <c r="L1903" s="8">
        <v>8.6201003999999903E-6</v>
      </c>
      <c r="M1903" s="8">
        <v>8.7464737799999994E-6</v>
      </c>
      <c r="N1903" s="8">
        <v>8.6890782599999999E-6</v>
      </c>
      <c r="O1903">
        <v>0</v>
      </c>
      <c r="P1903">
        <v>0</v>
      </c>
      <c r="Q1903">
        <v>0</v>
      </c>
      <c r="R1903" t="s">
        <v>243</v>
      </c>
    </row>
    <row r="1904" spans="1:18" x14ac:dyDescent="0.3">
      <c r="A1904" t="s">
        <v>259</v>
      </c>
      <c r="B1904" t="s">
        <v>44</v>
      </c>
      <c r="C1904" t="s">
        <v>285</v>
      </c>
      <c r="D1904" s="8">
        <v>3.5606429600000001E-5</v>
      </c>
      <c r="E1904" s="8">
        <v>6.2095205000000002E-5</v>
      </c>
      <c r="F1904" s="8">
        <v>5.7435998999999899E-5</v>
      </c>
      <c r="G1904" s="8">
        <v>6.3915016000000004E-5</v>
      </c>
      <c r="H1904" s="8">
        <v>6.8741674999999998E-5</v>
      </c>
      <c r="I1904" s="8">
        <v>8.5684811E-5</v>
      </c>
      <c r="J1904" s="8">
        <v>9.5737858999999896E-5</v>
      </c>
      <c r="K1904" s="8">
        <v>1.0206592E-4</v>
      </c>
      <c r="L1904" s="8">
        <v>1.069211546E-4</v>
      </c>
      <c r="M1904" s="8">
        <v>1.0880117259999899E-4</v>
      </c>
      <c r="N1904" s="8">
        <v>1.08981165999999E-4</v>
      </c>
      <c r="O1904">
        <v>0</v>
      </c>
      <c r="P1904">
        <v>0</v>
      </c>
      <c r="Q1904">
        <v>0</v>
      </c>
      <c r="R1904" t="s">
        <v>243</v>
      </c>
    </row>
    <row r="1905" spans="1:18" x14ac:dyDescent="0.3">
      <c r="A1905" t="s">
        <v>259</v>
      </c>
      <c r="B1905" t="s">
        <v>44</v>
      </c>
      <c r="C1905" t="s">
        <v>286</v>
      </c>
      <c r="D1905" s="8">
        <v>5.4069230399999903E-6</v>
      </c>
      <c r="E1905" s="8">
        <v>7.3585144999999996E-6</v>
      </c>
      <c r="F1905" s="8">
        <v>8.1838261000000006E-6</v>
      </c>
      <c r="G1905" s="8">
        <v>9.753083E-6</v>
      </c>
      <c r="H1905" s="8">
        <v>1.00990356E-5</v>
      </c>
      <c r="I1905" s="8">
        <v>1.25049023E-5</v>
      </c>
      <c r="J1905" s="8">
        <v>1.37991998E-5</v>
      </c>
      <c r="K1905" s="8">
        <v>1.48372409999999E-5</v>
      </c>
      <c r="L1905" s="8">
        <v>1.5632114000000001E-5</v>
      </c>
      <c r="M1905" s="8">
        <v>1.5969665299999901E-5</v>
      </c>
      <c r="N1905" s="8">
        <v>1.59992074E-5</v>
      </c>
      <c r="O1905">
        <v>0</v>
      </c>
      <c r="P1905">
        <v>0</v>
      </c>
      <c r="Q1905">
        <v>0</v>
      </c>
      <c r="R1905" t="s">
        <v>243</v>
      </c>
    </row>
    <row r="1906" spans="1:18" x14ac:dyDescent="0.3">
      <c r="A1906" t="s">
        <v>259</v>
      </c>
      <c r="B1906" t="s">
        <v>44</v>
      </c>
      <c r="C1906" t="s">
        <v>287</v>
      </c>
      <c r="D1906" s="8">
        <v>7.4098141999999996E-6</v>
      </c>
      <c r="E1906" s="8">
        <v>1.02569369999999E-5</v>
      </c>
      <c r="F1906" s="8">
        <v>1.1077027E-5</v>
      </c>
      <c r="G1906" s="8">
        <v>1.3247162E-5</v>
      </c>
      <c r="H1906" s="8">
        <v>1.3482005099999999E-5</v>
      </c>
      <c r="I1906" s="8">
        <v>1.67926511E-5</v>
      </c>
      <c r="J1906" s="8">
        <v>1.8523818599999999E-5</v>
      </c>
      <c r="K1906" s="8">
        <v>1.9860055999999999E-5</v>
      </c>
      <c r="L1906" s="8">
        <v>2.08965285E-5</v>
      </c>
      <c r="M1906" s="8">
        <v>2.12864639999999E-5</v>
      </c>
      <c r="N1906" s="8">
        <v>2.1264261100000001E-5</v>
      </c>
      <c r="O1906">
        <v>0</v>
      </c>
      <c r="P1906">
        <v>0</v>
      </c>
      <c r="Q1906">
        <v>0</v>
      </c>
      <c r="R1906" t="s">
        <v>243</v>
      </c>
    </row>
    <row r="1907" spans="1:18" x14ac:dyDescent="0.3">
      <c r="A1907" t="s">
        <v>259</v>
      </c>
      <c r="B1907" t="s">
        <v>44</v>
      </c>
      <c r="C1907" t="s">
        <v>288</v>
      </c>
      <c r="D1907" s="8">
        <v>8.9479230499999999E-6</v>
      </c>
      <c r="E1907" s="8">
        <v>1.30121317E-5</v>
      </c>
      <c r="F1907" s="8">
        <v>1.3856062E-5</v>
      </c>
      <c r="G1907" s="8">
        <v>1.6430479000000001E-5</v>
      </c>
      <c r="H1907" s="8">
        <v>1.6527954499999899E-5</v>
      </c>
      <c r="I1907" s="8">
        <v>2.0469135399999999E-5</v>
      </c>
      <c r="J1907" s="8">
        <v>2.26338357E-5</v>
      </c>
      <c r="K1907" s="8">
        <v>2.4257709599999899E-5</v>
      </c>
      <c r="L1907" s="8">
        <v>2.5547480199999899E-5</v>
      </c>
      <c r="M1907" s="8">
        <v>2.6132011599999901E-5</v>
      </c>
      <c r="N1907" s="8">
        <v>2.6229732099999901E-5</v>
      </c>
      <c r="O1907">
        <v>0</v>
      </c>
      <c r="P1907">
        <v>0</v>
      </c>
      <c r="Q1907">
        <v>0</v>
      </c>
      <c r="R1907" t="s">
        <v>243</v>
      </c>
    </row>
    <row r="1908" spans="1:18" x14ac:dyDescent="0.3">
      <c r="A1908" t="s">
        <v>259</v>
      </c>
      <c r="B1908" t="s">
        <v>44</v>
      </c>
      <c r="C1908" t="s">
        <v>289</v>
      </c>
      <c r="D1908" s="8">
        <v>1.0584820850000001E-5</v>
      </c>
      <c r="E1908" s="8">
        <v>1.6065668099999998E-5</v>
      </c>
      <c r="F1908" s="8">
        <v>1.6629433999999898E-5</v>
      </c>
      <c r="G1908" s="8">
        <v>1.9727822000000001E-5</v>
      </c>
      <c r="H1908" s="8">
        <v>1.9573717800000001E-5</v>
      </c>
      <c r="I1908" s="8">
        <v>2.4330324099999899E-5</v>
      </c>
      <c r="J1908" s="8">
        <v>2.69794669999999E-5</v>
      </c>
      <c r="K1908" s="8">
        <v>2.8921947099999999E-5</v>
      </c>
      <c r="L1908" s="8">
        <v>3.0471678000000001E-5</v>
      </c>
      <c r="M1908" s="8">
        <v>3.1088438800000002E-5</v>
      </c>
      <c r="N1908" s="8">
        <v>3.1192366199999898E-5</v>
      </c>
      <c r="O1908">
        <v>0</v>
      </c>
      <c r="P1908">
        <v>0</v>
      </c>
      <c r="Q1908">
        <v>0</v>
      </c>
      <c r="R1908" t="s">
        <v>243</v>
      </c>
    </row>
    <row r="1909" spans="1:18" x14ac:dyDescent="0.3">
      <c r="A1909" t="s">
        <v>259</v>
      </c>
      <c r="B1909" t="s">
        <v>44</v>
      </c>
      <c r="C1909" t="s">
        <v>290</v>
      </c>
      <c r="D1909" s="8">
        <v>1.255066533E-5</v>
      </c>
      <c r="E1909" s="8">
        <v>1.94011606E-5</v>
      </c>
      <c r="F1909" s="8">
        <v>1.9520150999999999E-5</v>
      </c>
      <c r="G1909" s="8">
        <v>2.3110007999999999E-5</v>
      </c>
      <c r="H1909" s="8">
        <v>2.29667144E-5</v>
      </c>
      <c r="I1909" s="8">
        <v>2.8606509500000001E-5</v>
      </c>
      <c r="J1909" s="8">
        <v>3.1765763499999997E-5</v>
      </c>
      <c r="K1909" s="8">
        <v>3.3943467599999997E-5</v>
      </c>
      <c r="L1909" s="8">
        <v>3.5658678699999999E-5</v>
      </c>
      <c r="M1909" s="8">
        <v>3.63934996999999E-5</v>
      </c>
      <c r="N1909" s="8">
        <v>3.6504451400000002E-5</v>
      </c>
      <c r="O1909">
        <v>0</v>
      </c>
      <c r="P1909">
        <v>0</v>
      </c>
      <c r="Q1909">
        <v>0</v>
      </c>
      <c r="R1909" t="s">
        <v>243</v>
      </c>
    </row>
    <row r="1910" spans="1:18" x14ac:dyDescent="0.3">
      <c r="A1910" t="s">
        <v>259</v>
      </c>
      <c r="B1910" t="s">
        <v>44</v>
      </c>
      <c r="C1910" t="s">
        <v>291</v>
      </c>
      <c r="D1910" s="8">
        <v>1.4961103399999999E-5</v>
      </c>
      <c r="E1910" s="8">
        <v>2.3168970999999999E-5</v>
      </c>
      <c r="F1910" s="8">
        <v>2.284472E-5</v>
      </c>
      <c r="G1910" s="8">
        <v>2.6589794000000001E-5</v>
      </c>
      <c r="H1910" s="8">
        <v>2.6971300999999902E-5</v>
      </c>
      <c r="I1910" s="8">
        <v>3.3458263100000002E-5</v>
      </c>
      <c r="J1910" s="8">
        <v>3.7151004299999901E-5</v>
      </c>
      <c r="K1910" s="8">
        <v>3.9867258699999902E-5</v>
      </c>
      <c r="L1910" s="8">
        <v>4.2042533599999901E-5</v>
      </c>
      <c r="M1910" s="8">
        <v>4.29847420999999E-5</v>
      </c>
      <c r="N1910" s="8">
        <v>4.3172726099999997E-5</v>
      </c>
      <c r="O1910">
        <v>0</v>
      </c>
      <c r="P1910">
        <v>0</v>
      </c>
      <c r="Q1910">
        <v>0</v>
      </c>
      <c r="R1910" t="s">
        <v>243</v>
      </c>
    </row>
    <row r="1911" spans="1:18" x14ac:dyDescent="0.3">
      <c r="A1911" t="s">
        <v>259</v>
      </c>
      <c r="B1911" t="s">
        <v>44</v>
      </c>
      <c r="C1911" t="s">
        <v>292</v>
      </c>
      <c r="D1911" s="8">
        <v>1.78891043E-5</v>
      </c>
      <c r="E1911" s="8">
        <v>2.8076189000000001E-5</v>
      </c>
      <c r="F1911" s="8">
        <v>2.7085088999999999E-5</v>
      </c>
      <c r="G1911" s="8">
        <v>3.1675626999999999E-5</v>
      </c>
      <c r="H1911" s="8">
        <v>3.2052596000000001E-5</v>
      </c>
      <c r="I1911" s="8">
        <v>3.9982497699999998E-5</v>
      </c>
      <c r="J1911" s="8">
        <v>4.4531842800000001E-5</v>
      </c>
      <c r="K1911" s="8">
        <v>4.7690633200000001E-5</v>
      </c>
      <c r="L1911" s="8">
        <v>5.0230299699999998E-5</v>
      </c>
      <c r="M1911" s="8">
        <v>5.1282709199999902E-5</v>
      </c>
      <c r="N1911" s="8">
        <v>5.1476141499999997E-5</v>
      </c>
      <c r="O1911">
        <v>0</v>
      </c>
      <c r="P1911">
        <v>0</v>
      </c>
      <c r="Q1911">
        <v>0</v>
      </c>
      <c r="R1911" t="s">
        <v>243</v>
      </c>
    </row>
    <row r="1912" spans="1:18" x14ac:dyDescent="0.3">
      <c r="A1912" t="s">
        <v>259</v>
      </c>
      <c r="B1912" t="s">
        <v>44</v>
      </c>
      <c r="C1912" t="s">
        <v>293</v>
      </c>
      <c r="D1912" s="8">
        <v>2.35755339999999E-5</v>
      </c>
      <c r="E1912" s="8">
        <v>3.5216200999999999E-5</v>
      </c>
      <c r="F1912" s="8">
        <v>3.4294456000000001E-5</v>
      </c>
      <c r="G1912" s="8">
        <v>3.91434509999999E-5</v>
      </c>
      <c r="H1912" s="8">
        <v>4.0517806999999999E-5</v>
      </c>
      <c r="I1912" s="8">
        <v>5.0352290000000002E-5</v>
      </c>
      <c r="J1912" s="8">
        <v>5.6103945899999997E-5</v>
      </c>
      <c r="K1912" s="8">
        <v>6.0148344700000003E-5</v>
      </c>
      <c r="L1912" s="8">
        <v>6.3252818799999994E-5</v>
      </c>
      <c r="M1912" s="8">
        <v>6.4448934599999907E-5</v>
      </c>
      <c r="N1912" s="8">
        <v>6.4556974700000002E-5</v>
      </c>
      <c r="O1912">
        <v>0</v>
      </c>
      <c r="P1912">
        <v>0</v>
      </c>
      <c r="Q1912">
        <v>0</v>
      </c>
      <c r="R1912" t="s">
        <v>243</v>
      </c>
    </row>
    <row r="1913" spans="1:18" x14ac:dyDescent="0.3">
      <c r="A1913" t="s">
        <v>259</v>
      </c>
      <c r="B1913" t="s">
        <v>44</v>
      </c>
      <c r="C1913" t="s">
        <v>294</v>
      </c>
      <c r="D1913" s="8">
        <v>7.3993399999999999E-6</v>
      </c>
      <c r="E1913" s="8">
        <v>1.5823599999999999E-5</v>
      </c>
      <c r="F1913" s="8">
        <v>2.757917E-5</v>
      </c>
      <c r="G1913" s="8">
        <v>3.5351900000000003E-5</v>
      </c>
      <c r="H1913" s="8">
        <v>3.2804010999999901E-5</v>
      </c>
      <c r="I1913" s="8">
        <v>4.1466325999999997E-5</v>
      </c>
      <c r="J1913" s="8">
        <v>4.8108271999999998E-5</v>
      </c>
      <c r="K1913" s="8">
        <v>5.2711582999999897E-5</v>
      </c>
      <c r="L1913" s="8">
        <v>5.6566549000000002E-5</v>
      </c>
      <c r="M1913" s="8">
        <v>5.9400144000000001E-5</v>
      </c>
      <c r="N1913" s="8">
        <v>6.1310490000000001E-5</v>
      </c>
      <c r="O1913">
        <v>0</v>
      </c>
      <c r="P1913">
        <v>0</v>
      </c>
      <c r="Q1913">
        <v>0</v>
      </c>
      <c r="R1913" t="s">
        <v>243</v>
      </c>
    </row>
    <row r="1914" spans="1:18" x14ac:dyDescent="0.3">
      <c r="A1914" t="s">
        <v>259</v>
      </c>
      <c r="B1914" t="s">
        <v>44</v>
      </c>
      <c r="C1914" t="s">
        <v>295</v>
      </c>
      <c r="D1914" s="8">
        <v>6.6796200000000003E-5</v>
      </c>
      <c r="E1914" s="8">
        <v>1.5646900000000001E-4</v>
      </c>
      <c r="F1914" s="8">
        <v>1.8183690000000001E-4</v>
      </c>
      <c r="G1914" s="8">
        <v>2.012304E-4</v>
      </c>
      <c r="H1914" s="8">
        <v>2.020639E-4</v>
      </c>
      <c r="I1914" s="8">
        <v>2.2755955999999999E-4</v>
      </c>
      <c r="J1914" s="8">
        <v>2.4476309999999998E-4</v>
      </c>
      <c r="K1914" s="8">
        <v>2.5591500599999998E-4</v>
      </c>
      <c r="L1914" s="8">
        <v>2.6958245099999899E-4</v>
      </c>
      <c r="M1914" s="8">
        <v>2.7930673000000001E-4</v>
      </c>
      <c r="N1914" s="8">
        <v>2.8741581999999999E-4</v>
      </c>
      <c r="O1914">
        <v>0</v>
      </c>
      <c r="P1914">
        <v>0</v>
      </c>
      <c r="Q1914">
        <v>0</v>
      </c>
      <c r="R1914" t="s">
        <v>243</v>
      </c>
    </row>
    <row r="1915" spans="1:18" x14ac:dyDescent="0.3">
      <c r="A1915" t="s">
        <v>259</v>
      </c>
      <c r="B1915" t="s">
        <v>44</v>
      </c>
      <c r="C1915" t="s">
        <v>296</v>
      </c>
      <c r="D1915" s="8">
        <v>1.23531E-5</v>
      </c>
      <c r="E1915" s="8">
        <v>2.78983E-5</v>
      </c>
      <c r="F1915" s="8">
        <v>4.7731700000000002E-5</v>
      </c>
      <c r="G1915" s="8">
        <v>6.00795E-5</v>
      </c>
      <c r="H1915" s="8">
        <v>5.3594690999999897E-5</v>
      </c>
      <c r="I1915" s="8">
        <v>6.5889493000000001E-5</v>
      </c>
      <c r="J1915" s="8">
        <v>7.5521874999999903E-5</v>
      </c>
      <c r="K1915" s="8">
        <v>8.2829564999999995E-5</v>
      </c>
      <c r="L1915" s="8">
        <v>8.9396959999999995E-5</v>
      </c>
      <c r="M1915" s="8">
        <v>9.4521393999999996E-5</v>
      </c>
      <c r="N1915" s="8">
        <v>9.8369596999999898E-5</v>
      </c>
      <c r="O1915">
        <v>0</v>
      </c>
      <c r="P1915">
        <v>0</v>
      </c>
      <c r="Q1915">
        <v>0</v>
      </c>
      <c r="R1915" t="s">
        <v>243</v>
      </c>
    </row>
    <row r="1916" spans="1:18" x14ac:dyDescent="0.3">
      <c r="A1916" t="s">
        <v>259</v>
      </c>
      <c r="B1916" t="s">
        <v>44</v>
      </c>
      <c r="C1916" t="s">
        <v>297</v>
      </c>
      <c r="D1916" s="8">
        <v>1.66663E-5</v>
      </c>
      <c r="E1916" s="8">
        <v>3.78599E-5</v>
      </c>
      <c r="F1916" s="8">
        <v>6.1716800000000005E-5</v>
      </c>
      <c r="G1916" s="8">
        <v>7.7189300000000003E-5</v>
      </c>
      <c r="H1916" s="8">
        <v>6.8106533999999995E-5</v>
      </c>
      <c r="I1916" s="8">
        <v>8.3070784999999996E-5</v>
      </c>
      <c r="J1916" s="8">
        <v>9.4207477000000006E-5</v>
      </c>
      <c r="K1916" s="8">
        <v>1.02879105E-4</v>
      </c>
      <c r="L1916" s="8">
        <v>1.10877654999999E-4</v>
      </c>
      <c r="M1916" s="8">
        <v>1.16957909E-4</v>
      </c>
      <c r="N1916" s="8">
        <v>1.2149222399999999E-4</v>
      </c>
      <c r="O1916">
        <v>0</v>
      </c>
      <c r="P1916">
        <v>0</v>
      </c>
      <c r="Q1916">
        <v>0</v>
      </c>
      <c r="R1916" t="s">
        <v>243</v>
      </c>
    </row>
    <row r="1917" spans="1:18" x14ac:dyDescent="0.3">
      <c r="A1917" t="s">
        <v>259</v>
      </c>
      <c r="B1917" t="s">
        <v>44</v>
      </c>
      <c r="C1917" t="s">
        <v>298</v>
      </c>
      <c r="D1917" s="8">
        <v>1.98955E-5</v>
      </c>
      <c r="E1917" s="8">
        <v>4.6879899999999998E-5</v>
      </c>
      <c r="F1917" s="8">
        <v>7.40359E-5</v>
      </c>
      <c r="G1917" s="8">
        <v>9.1239700000000007E-5</v>
      </c>
      <c r="H1917" s="8">
        <v>8.0240130999999996E-5</v>
      </c>
      <c r="I1917" s="8">
        <v>9.6625032999999994E-5</v>
      </c>
      <c r="J1917" s="8">
        <v>1.09068994999999E-4</v>
      </c>
      <c r="K1917" s="8">
        <v>1.18829175999999E-4</v>
      </c>
      <c r="L1917" s="8">
        <v>1.2804432899999899E-4</v>
      </c>
      <c r="M1917" s="8">
        <v>1.35372394E-4</v>
      </c>
      <c r="N1917" s="8">
        <v>1.41061453E-4</v>
      </c>
      <c r="O1917">
        <v>0</v>
      </c>
      <c r="P1917">
        <v>0</v>
      </c>
      <c r="Q1917">
        <v>0</v>
      </c>
      <c r="R1917" t="s">
        <v>243</v>
      </c>
    </row>
    <row r="1918" spans="1:18" x14ac:dyDescent="0.3">
      <c r="A1918" t="s">
        <v>259</v>
      </c>
      <c r="B1918" t="s">
        <v>44</v>
      </c>
      <c r="C1918" t="s">
        <v>299</v>
      </c>
      <c r="D1918" s="8">
        <v>2.32595E-5</v>
      </c>
      <c r="E1918" s="8">
        <v>5.6402700000000001E-5</v>
      </c>
      <c r="F1918" s="8">
        <v>8.5360300000000003E-5</v>
      </c>
      <c r="G1918" s="8">
        <v>1.044398E-4</v>
      </c>
      <c r="H1918" s="8">
        <v>9.1583520000000003E-5</v>
      </c>
      <c r="I1918" s="8">
        <v>1.09791732E-4</v>
      </c>
      <c r="J1918" s="8">
        <v>1.2346478300000001E-4</v>
      </c>
      <c r="K1918" s="8">
        <v>1.34172849E-4</v>
      </c>
      <c r="L1918" s="8">
        <v>1.44420022E-4</v>
      </c>
      <c r="M1918" s="8">
        <v>1.5224675900000001E-4</v>
      </c>
      <c r="N1918" s="8">
        <v>1.5851843499999901E-4</v>
      </c>
      <c r="O1918">
        <v>0</v>
      </c>
      <c r="P1918">
        <v>0</v>
      </c>
      <c r="Q1918">
        <v>0</v>
      </c>
      <c r="R1918" t="s">
        <v>243</v>
      </c>
    </row>
    <row r="1919" spans="1:18" x14ac:dyDescent="0.3">
      <c r="A1919" t="s">
        <v>259</v>
      </c>
      <c r="B1919" t="s">
        <v>44</v>
      </c>
      <c r="C1919" t="s">
        <v>300</v>
      </c>
      <c r="D1919" s="8">
        <v>2.7200300000000001E-5</v>
      </c>
      <c r="E1919" s="8">
        <v>6.6278400000000006E-5</v>
      </c>
      <c r="F1919" s="8">
        <v>9.6237599999999995E-5</v>
      </c>
      <c r="G1919" s="8">
        <v>1.167067E-4</v>
      </c>
      <c r="H1919" s="8">
        <v>1.0329806E-4</v>
      </c>
      <c r="I1919" s="8">
        <v>1.2319864199999999E-4</v>
      </c>
      <c r="J1919" s="8">
        <v>1.37929891E-4</v>
      </c>
      <c r="K1919" s="8">
        <v>1.4913914099999901E-4</v>
      </c>
      <c r="L1919" s="8">
        <v>1.6001179499999999E-4</v>
      </c>
      <c r="M1919" s="8">
        <v>1.68543795E-4</v>
      </c>
      <c r="N1919" s="8">
        <v>1.7533356099999999E-4</v>
      </c>
      <c r="O1919">
        <v>0</v>
      </c>
      <c r="P1919">
        <v>0</v>
      </c>
      <c r="Q1919">
        <v>0</v>
      </c>
      <c r="R1919" t="s">
        <v>243</v>
      </c>
    </row>
    <row r="1920" spans="1:18" x14ac:dyDescent="0.3">
      <c r="A1920" t="s">
        <v>259</v>
      </c>
      <c r="B1920" t="s">
        <v>44</v>
      </c>
      <c r="C1920" t="s">
        <v>301</v>
      </c>
      <c r="D1920" s="8">
        <v>3.1896400000000002E-5</v>
      </c>
      <c r="E1920" s="8">
        <v>7.6817000000000007E-5</v>
      </c>
      <c r="F1920" s="8">
        <v>1.076951E-4</v>
      </c>
      <c r="G1920" s="8">
        <v>1.2813249999999999E-4</v>
      </c>
      <c r="H1920" s="8">
        <v>1.1598862E-4</v>
      </c>
      <c r="I1920" s="8">
        <v>1.3703722999999901E-4</v>
      </c>
      <c r="J1920" s="8">
        <v>1.52607865999999E-4</v>
      </c>
      <c r="K1920" s="8">
        <v>1.6493835399999899E-4</v>
      </c>
      <c r="L1920" s="8">
        <v>1.7710215299999901E-4</v>
      </c>
      <c r="M1920" s="8">
        <v>1.86415264E-4</v>
      </c>
      <c r="N1920" s="8">
        <v>1.9383199899999999E-4</v>
      </c>
      <c r="O1920">
        <v>0</v>
      </c>
      <c r="P1920">
        <v>0</v>
      </c>
      <c r="Q1920">
        <v>0</v>
      </c>
      <c r="R1920" t="s">
        <v>243</v>
      </c>
    </row>
    <row r="1921" spans="1:18" x14ac:dyDescent="0.3">
      <c r="A1921" t="s">
        <v>259</v>
      </c>
      <c r="B1921" t="s">
        <v>44</v>
      </c>
      <c r="C1921" t="s">
        <v>302</v>
      </c>
      <c r="D1921" s="8">
        <v>3.7408099999999998E-5</v>
      </c>
      <c r="E1921" s="8">
        <v>8.9638199999999998E-5</v>
      </c>
      <c r="F1921" s="8">
        <v>1.208472E-4</v>
      </c>
      <c r="G1921" s="8">
        <v>1.4292370000000001E-4</v>
      </c>
      <c r="H1921" s="8">
        <v>1.30748039999999E-4</v>
      </c>
      <c r="I1921" s="8">
        <v>1.5380046999999999E-4</v>
      </c>
      <c r="J1921" s="8">
        <v>1.7050453899999999E-4</v>
      </c>
      <c r="K1921" s="8">
        <v>1.8320556300000001E-4</v>
      </c>
      <c r="L1921" s="8">
        <v>1.9608472100000001E-4</v>
      </c>
      <c r="M1921" s="8">
        <v>2.0580353999999999E-4</v>
      </c>
      <c r="N1921" s="8">
        <v>2.1363648599999899E-4</v>
      </c>
      <c r="O1921">
        <v>0</v>
      </c>
      <c r="P1921">
        <v>0</v>
      </c>
      <c r="Q1921">
        <v>0</v>
      </c>
      <c r="R1921" t="s">
        <v>243</v>
      </c>
    </row>
    <row r="1922" spans="1:18" x14ac:dyDescent="0.3">
      <c r="A1922" t="s">
        <v>259</v>
      </c>
      <c r="B1922" t="s">
        <v>44</v>
      </c>
      <c r="C1922" t="s">
        <v>303</v>
      </c>
      <c r="D1922" s="8">
        <v>4.7543699999999997E-5</v>
      </c>
      <c r="E1922" s="8">
        <v>1.06641E-4</v>
      </c>
      <c r="F1922" s="8">
        <v>1.3999069999999999E-4</v>
      </c>
      <c r="G1922" s="8">
        <v>1.6117200000000001E-4</v>
      </c>
      <c r="H1922" s="8">
        <v>1.5204346000000001E-4</v>
      </c>
      <c r="I1922" s="8">
        <v>1.7638781999999999E-4</v>
      </c>
      <c r="J1922" s="8">
        <v>1.9386465999999999E-4</v>
      </c>
      <c r="K1922" s="8">
        <v>2.0701756299999999E-4</v>
      </c>
      <c r="L1922" s="8">
        <v>2.2057204099999999E-4</v>
      </c>
      <c r="M1922" s="8">
        <v>2.30516759999999E-4</v>
      </c>
      <c r="N1922" s="8">
        <v>2.3852360999999901E-4</v>
      </c>
      <c r="O1922">
        <v>0</v>
      </c>
      <c r="P1922">
        <v>0</v>
      </c>
      <c r="Q1922">
        <v>0</v>
      </c>
      <c r="R1922" t="s">
        <v>243</v>
      </c>
    </row>
    <row r="1923" spans="1:18" x14ac:dyDescent="0.3">
      <c r="A1923" t="s">
        <v>259</v>
      </c>
      <c r="B1923" t="s">
        <v>44</v>
      </c>
      <c r="C1923" t="s">
        <v>304</v>
      </c>
      <c r="D1923" s="8">
        <v>1.2599899999999999E-5</v>
      </c>
      <c r="E1923" s="8">
        <v>3.1721699999999998E-5</v>
      </c>
      <c r="F1923" s="8">
        <v>3.3010699999999999E-5</v>
      </c>
      <c r="G1923" s="8">
        <v>3.8343200000000002E-5</v>
      </c>
      <c r="H1923" s="8">
        <v>5.2899499999999997E-5</v>
      </c>
      <c r="I1923" s="8">
        <v>6.80496E-5</v>
      </c>
      <c r="J1923" s="8">
        <v>8.0558100000000004E-5</v>
      </c>
      <c r="K1923" s="8">
        <v>9.0850699999999994E-5</v>
      </c>
      <c r="L1923" s="8">
        <v>9.7752100000000002E-5</v>
      </c>
      <c r="M1923" s="8">
        <v>1.032494E-4</v>
      </c>
      <c r="N1923" s="8">
        <v>1.07193E-4</v>
      </c>
      <c r="O1923">
        <v>0</v>
      </c>
      <c r="P1923">
        <v>0</v>
      </c>
      <c r="Q1923">
        <v>0</v>
      </c>
      <c r="R1923" t="s">
        <v>243</v>
      </c>
    </row>
    <row r="1924" spans="1:18" x14ac:dyDescent="0.3">
      <c r="A1924" t="s">
        <v>259</v>
      </c>
      <c r="B1924" t="s">
        <v>44</v>
      </c>
      <c r="C1924" t="s">
        <v>305</v>
      </c>
      <c r="D1924" s="8">
        <v>7.1251300000000007E-5</v>
      </c>
      <c r="E1924" s="8">
        <v>1.4962100000000001E-4</v>
      </c>
      <c r="F1924" s="8">
        <v>1.3466899999999999E-4</v>
      </c>
      <c r="G1924" s="8">
        <v>1.4548499999999999E-4</v>
      </c>
      <c r="H1924" s="8">
        <v>1.670907E-4</v>
      </c>
      <c r="I1924" s="8">
        <v>1.870861E-4</v>
      </c>
      <c r="J1924" s="8">
        <v>2.050849E-4</v>
      </c>
      <c r="K1924" s="8">
        <v>2.2143670000000001E-4</v>
      </c>
      <c r="L1924" s="8">
        <v>2.3408309999999901E-4</v>
      </c>
      <c r="M1924" s="8">
        <v>2.4404980000000001E-4</v>
      </c>
      <c r="N1924" s="8">
        <v>2.5230480000000002E-4</v>
      </c>
      <c r="O1924">
        <v>0</v>
      </c>
      <c r="P1924">
        <v>0</v>
      </c>
      <c r="Q1924">
        <v>0</v>
      </c>
      <c r="R1924" t="s">
        <v>243</v>
      </c>
    </row>
    <row r="1925" spans="1:18" x14ac:dyDescent="0.3">
      <c r="A1925" t="s">
        <v>259</v>
      </c>
      <c r="B1925" t="s">
        <v>44</v>
      </c>
      <c r="C1925" t="s">
        <v>306</v>
      </c>
      <c r="D1925" s="8">
        <v>2.0064500000000001E-5</v>
      </c>
      <c r="E1925" s="8">
        <v>5.1674200000000001E-5</v>
      </c>
      <c r="F1925" s="8">
        <v>5.3468599999999998E-5</v>
      </c>
      <c r="G1925" s="8">
        <v>6.1295400000000003E-5</v>
      </c>
      <c r="H1925" s="8">
        <v>7.8480799999999996E-5</v>
      </c>
      <c r="I1925" s="8">
        <v>9.7379000000000004E-5</v>
      </c>
      <c r="J1925" s="8">
        <v>1.13372499999999E-4</v>
      </c>
      <c r="K1925" s="8">
        <v>1.270187E-4</v>
      </c>
      <c r="L1925" s="8">
        <v>1.3658069999999999E-4</v>
      </c>
      <c r="M1925" s="8">
        <v>1.4436040000000001E-4</v>
      </c>
      <c r="N1925" s="8">
        <v>1.5035419999999999E-4</v>
      </c>
      <c r="O1925">
        <v>0</v>
      </c>
      <c r="P1925">
        <v>0</v>
      </c>
      <c r="Q1925">
        <v>0</v>
      </c>
      <c r="R1925" t="s">
        <v>243</v>
      </c>
    </row>
    <row r="1926" spans="1:18" x14ac:dyDescent="0.3">
      <c r="A1926" t="s">
        <v>259</v>
      </c>
      <c r="B1926" t="s">
        <v>44</v>
      </c>
      <c r="C1926" t="s">
        <v>307</v>
      </c>
      <c r="D1926" s="8">
        <v>2.6047500000000001E-5</v>
      </c>
      <c r="E1926" s="8">
        <v>6.5975400000000005E-5</v>
      </c>
      <c r="F1926" s="8">
        <v>6.6119599999999996E-5</v>
      </c>
      <c r="G1926" s="8">
        <v>7.5538300000000001E-5</v>
      </c>
      <c r="H1926" s="8">
        <v>9.3527899999999996E-5</v>
      </c>
      <c r="I1926" s="8">
        <v>1.142583E-4</v>
      </c>
      <c r="J1926" s="8">
        <v>1.3123599999999999E-4</v>
      </c>
      <c r="K1926" s="8">
        <v>1.4589860000000001E-4</v>
      </c>
      <c r="L1926" s="8">
        <v>1.5627999999999999E-4</v>
      </c>
      <c r="M1926" s="8">
        <v>1.6451549999999999E-4</v>
      </c>
      <c r="N1926" s="8">
        <v>1.708639E-4</v>
      </c>
      <c r="O1926">
        <v>0</v>
      </c>
      <c r="P1926">
        <v>0</v>
      </c>
      <c r="Q1926">
        <v>0</v>
      </c>
      <c r="R1926" t="s">
        <v>243</v>
      </c>
    </row>
    <row r="1927" spans="1:18" x14ac:dyDescent="0.3">
      <c r="A1927" t="s">
        <v>259</v>
      </c>
      <c r="B1927" t="s">
        <v>44</v>
      </c>
      <c r="C1927" t="s">
        <v>308</v>
      </c>
      <c r="D1927" s="8">
        <v>3.0244500000000002E-5</v>
      </c>
      <c r="E1927" s="8">
        <v>7.7467399999999996E-5</v>
      </c>
      <c r="F1927" s="8">
        <v>7.6296200000000003E-5</v>
      </c>
      <c r="G1927" s="8">
        <v>8.6287900000000004E-5</v>
      </c>
      <c r="H1927" s="8">
        <v>1.04588299999999E-4</v>
      </c>
      <c r="I1927" s="8">
        <v>1.2566359999999999E-4</v>
      </c>
      <c r="J1927" s="8">
        <v>1.4325930000000001E-4</v>
      </c>
      <c r="K1927" s="8">
        <v>1.584864E-4</v>
      </c>
      <c r="L1927" s="8">
        <v>1.693868E-4</v>
      </c>
      <c r="M1927" s="8">
        <v>1.782024E-4</v>
      </c>
      <c r="N1927" s="8">
        <v>1.851538E-4</v>
      </c>
      <c r="O1927">
        <v>0</v>
      </c>
      <c r="P1927">
        <v>0</v>
      </c>
      <c r="Q1927">
        <v>0</v>
      </c>
      <c r="R1927" t="s">
        <v>243</v>
      </c>
    </row>
    <row r="1928" spans="1:18" x14ac:dyDescent="0.3">
      <c r="A1928" t="s">
        <v>259</v>
      </c>
      <c r="B1928" t="s">
        <v>44</v>
      </c>
      <c r="C1928" t="s">
        <v>309</v>
      </c>
      <c r="D1928" s="8">
        <v>3.4377600000000001E-5</v>
      </c>
      <c r="E1928" s="8">
        <v>8.8273E-5</v>
      </c>
      <c r="F1928" s="8">
        <v>8.4894699999999999E-5</v>
      </c>
      <c r="G1928" s="8">
        <v>9.5637900000000001E-5</v>
      </c>
      <c r="H1928" s="8">
        <v>1.137771E-4</v>
      </c>
      <c r="I1928" s="8">
        <v>1.3539180000000001E-4</v>
      </c>
      <c r="J1928" s="8">
        <v>1.53344E-4</v>
      </c>
      <c r="K1928" s="8">
        <v>1.688707E-4</v>
      </c>
      <c r="L1928" s="8">
        <v>1.8006369999999899E-4</v>
      </c>
      <c r="M1928" s="8">
        <v>1.8887280000000001E-4</v>
      </c>
      <c r="N1928" s="8">
        <v>1.959582E-4</v>
      </c>
      <c r="O1928">
        <v>0</v>
      </c>
      <c r="P1928">
        <v>0</v>
      </c>
      <c r="Q1928">
        <v>0</v>
      </c>
      <c r="R1928" t="s">
        <v>243</v>
      </c>
    </row>
    <row r="1929" spans="1:18" x14ac:dyDescent="0.3">
      <c r="A1929" t="s">
        <v>259</v>
      </c>
      <c r="B1929" t="s">
        <v>44</v>
      </c>
      <c r="C1929" t="s">
        <v>310</v>
      </c>
      <c r="D1929" s="8">
        <v>3.8930700000000003E-5</v>
      </c>
      <c r="E1929" s="8">
        <v>9.8196500000000001E-5</v>
      </c>
      <c r="F1929" s="8">
        <v>9.2509400000000006E-5</v>
      </c>
      <c r="G1929" s="8">
        <v>1.03701E-4</v>
      </c>
      <c r="H1929" s="8">
        <v>1.2233980000000001E-4</v>
      </c>
      <c r="I1929" s="8">
        <v>1.4412269999999999E-4</v>
      </c>
      <c r="J1929" s="8">
        <v>1.621552E-4</v>
      </c>
      <c r="K1929" s="8">
        <v>1.776228E-4</v>
      </c>
      <c r="L1929" s="8">
        <v>1.8884309999999999E-4</v>
      </c>
      <c r="M1929" s="8">
        <v>1.977743E-4</v>
      </c>
      <c r="N1929" s="8">
        <v>2.049482E-4</v>
      </c>
      <c r="O1929">
        <v>0</v>
      </c>
      <c r="P1929">
        <v>0</v>
      </c>
      <c r="Q1929">
        <v>0</v>
      </c>
      <c r="R1929" t="s">
        <v>243</v>
      </c>
    </row>
    <row r="1930" spans="1:18" x14ac:dyDescent="0.3">
      <c r="A1930" t="s">
        <v>259</v>
      </c>
      <c r="B1930" t="s">
        <v>44</v>
      </c>
      <c r="C1930" t="s">
        <v>311</v>
      </c>
      <c r="D1930" s="8">
        <v>4.3976500000000002E-5</v>
      </c>
      <c r="E1930" s="8">
        <v>1.0751099999999999E-4</v>
      </c>
      <c r="F1930" s="8">
        <v>9.9882699999999998E-5</v>
      </c>
      <c r="G1930" s="8">
        <v>1.10689E-4</v>
      </c>
      <c r="H1930" s="8">
        <v>1.306557E-4</v>
      </c>
      <c r="I1930" s="8">
        <v>1.520386E-4</v>
      </c>
      <c r="J1930" s="8">
        <v>1.6994239999999999E-4</v>
      </c>
      <c r="K1930" s="8">
        <v>1.8564690000000001E-4</v>
      </c>
      <c r="L1930" s="8">
        <v>1.9720649999999999E-4</v>
      </c>
      <c r="M1930" s="8">
        <v>2.062717E-4</v>
      </c>
      <c r="N1930" s="8">
        <v>2.13580099999999E-4</v>
      </c>
      <c r="O1930">
        <v>0</v>
      </c>
      <c r="P1930">
        <v>0</v>
      </c>
      <c r="Q1930">
        <v>0</v>
      </c>
      <c r="R1930" t="s">
        <v>243</v>
      </c>
    </row>
    <row r="1931" spans="1:18" x14ac:dyDescent="0.3">
      <c r="A1931" t="s">
        <v>259</v>
      </c>
      <c r="B1931" t="s">
        <v>44</v>
      </c>
      <c r="C1931" t="s">
        <v>312</v>
      </c>
      <c r="D1931" s="8">
        <v>4.9413100000000003E-5</v>
      </c>
      <c r="E1931" s="8">
        <v>1.17293E-4</v>
      </c>
      <c r="F1931" s="8">
        <v>1.07576E-4</v>
      </c>
      <c r="G1931" s="8">
        <v>1.19022E-4</v>
      </c>
      <c r="H1931" s="8">
        <v>1.389475E-4</v>
      </c>
      <c r="I1931" s="8">
        <v>1.602645E-4</v>
      </c>
      <c r="J1931" s="8">
        <v>1.7811509999999999E-4</v>
      </c>
      <c r="K1931" s="8">
        <v>1.93701699999999E-4</v>
      </c>
      <c r="L1931" s="8">
        <v>2.053255E-4</v>
      </c>
      <c r="M1931" s="8">
        <v>2.143987E-4</v>
      </c>
      <c r="N1931" s="8">
        <v>2.2178120000000001E-4</v>
      </c>
      <c r="O1931">
        <v>0</v>
      </c>
      <c r="P1931">
        <v>0</v>
      </c>
      <c r="Q1931">
        <v>0</v>
      </c>
      <c r="R1931" t="s">
        <v>243</v>
      </c>
    </row>
    <row r="1932" spans="1:18" x14ac:dyDescent="0.3">
      <c r="A1932" t="s">
        <v>259</v>
      </c>
      <c r="B1932" t="s">
        <v>44</v>
      </c>
      <c r="C1932" t="s">
        <v>313</v>
      </c>
      <c r="D1932" s="8">
        <v>5.8191199999999999E-5</v>
      </c>
      <c r="E1932" s="8">
        <v>1.28059E-4</v>
      </c>
      <c r="F1932" s="8">
        <v>1.1743600000000001E-4</v>
      </c>
      <c r="G1932" s="8">
        <v>1.2827199999999999E-4</v>
      </c>
      <c r="H1932" s="8">
        <v>1.4909759999999999E-4</v>
      </c>
      <c r="I1932" s="8">
        <v>1.6962290000000001E-4</v>
      </c>
      <c r="J1932" s="8">
        <v>1.872345E-4</v>
      </c>
      <c r="K1932" s="8">
        <v>2.0289989999999999E-4</v>
      </c>
      <c r="L1932" s="8">
        <v>2.146801E-4</v>
      </c>
      <c r="M1932" s="8">
        <v>2.2383179999999999E-4</v>
      </c>
      <c r="N1932" s="8">
        <v>2.3131040000000001E-4</v>
      </c>
      <c r="O1932">
        <v>0</v>
      </c>
      <c r="P1932">
        <v>0</v>
      </c>
      <c r="Q1932">
        <v>0</v>
      </c>
      <c r="R1932" t="s">
        <v>243</v>
      </c>
    </row>
    <row r="1933" spans="1:18" x14ac:dyDescent="0.3">
      <c r="A1933" t="s">
        <v>259</v>
      </c>
      <c r="B1933" t="s">
        <v>44</v>
      </c>
      <c r="C1933" t="s">
        <v>314</v>
      </c>
      <c r="D1933" s="8">
        <v>7.9737299999999998E-7</v>
      </c>
      <c r="E1933" s="8">
        <v>1.7119000000000001E-6</v>
      </c>
      <c r="F1933" s="8">
        <v>1.7972699999999999E-6</v>
      </c>
      <c r="G1933" s="8">
        <v>2.0770499999999999E-6</v>
      </c>
      <c r="H1933" s="8">
        <v>2.8660300000000002E-6</v>
      </c>
      <c r="I1933" s="8">
        <v>3.7044399999999999E-6</v>
      </c>
      <c r="J1933" s="8">
        <v>4.3893200000000002E-6</v>
      </c>
      <c r="K1933" s="8">
        <v>4.9859099999999998E-6</v>
      </c>
      <c r="L1933" s="8">
        <v>5.3726799999999997E-6</v>
      </c>
      <c r="M1933" s="8">
        <v>5.6790899999999997E-6</v>
      </c>
      <c r="N1933" s="8">
        <v>5.8848E-6</v>
      </c>
      <c r="O1933">
        <v>0</v>
      </c>
      <c r="P1933">
        <v>0</v>
      </c>
      <c r="Q1933">
        <v>0</v>
      </c>
      <c r="R1933" t="s">
        <v>243</v>
      </c>
    </row>
    <row r="1934" spans="1:18" x14ac:dyDescent="0.3">
      <c r="A1934" t="s">
        <v>259</v>
      </c>
      <c r="B1934" t="s">
        <v>44</v>
      </c>
      <c r="C1934" t="s">
        <v>315</v>
      </c>
      <c r="D1934" s="8">
        <v>6.2030599999999997E-6</v>
      </c>
      <c r="E1934" s="8">
        <v>1.28186E-5</v>
      </c>
      <c r="F1934" s="8">
        <v>1.1454799999999999E-5</v>
      </c>
      <c r="G1934" s="8">
        <v>1.2194999999999999E-5</v>
      </c>
      <c r="H1934" s="8">
        <v>1.40403E-5</v>
      </c>
      <c r="I1934" s="8">
        <v>1.5624599999999999E-5</v>
      </c>
      <c r="J1934" s="8">
        <v>1.6895899999999999E-5</v>
      </c>
      <c r="K1934" s="8">
        <v>1.8149399999999999E-5</v>
      </c>
      <c r="L1934" s="8">
        <v>1.9034699999999999E-5</v>
      </c>
      <c r="M1934" s="8">
        <v>1.9688099999999999E-5</v>
      </c>
      <c r="N1934" s="8">
        <v>2.0166900000000002E-5</v>
      </c>
      <c r="O1934">
        <v>0</v>
      </c>
      <c r="P1934">
        <v>0</v>
      </c>
      <c r="Q1934">
        <v>0</v>
      </c>
      <c r="R1934" t="s">
        <v>243</v>
      </c>
    </row>
    <row r="1935" spans="1:18" x14ac:dyDescent="0.3">
      <c r="A1935" t="s">
        <v>259</v>
      </c>
      <c r="B1935" t="s">
        <v>44</v>
      </c>
      <c r="C1935" t="s">
        <v>316</v>
      </c>
      <c r="D1935" s="8">
        <v>1.31258E-6</v>
      </c>
      <c r="E1935" s="8">
        <v>2.9435599999999998E-6</v>
      </c>
      <c r="F1935" s="8">
        <v>3.0989199999999998E-6</v>
      </c>
      <c r="G1935" s="8">
        <v>3.54382E-6</v>
      </c>
      <c r="H1935" s="8">
        <v>4.5549199999999999E-6</v>
      </c>
      <c r="I1935" s="8">
        <v>5.7163800000000003E-6</v>
      </c>
      <c r="J1935" s="8">
        <v>6.69766E-6</v>
      </c>
      <c r="K1935" s="8">
        <v>7.5975100000000004E-6</v>
      </c>
      <c r="L1935" s="8">
        <v>8.2063800000000002E-6</v>
      </c>
      <c r="M1935" s="8">
        <v>8.7053699999999993E-6</v>
      </c>
      <c r="N1935" s="8">
        <v>9.0684900000000007E-6</v>
      </c>
      <c r="O1935">
        <v>0</v>
      </c>
      <c r="P1935">
        <v>0</v>
      </c>
      <c r="Q1935">
        <v>0</v>
      </c>
      <c r="R1935" t="s">
        <v>243</v>
      </c>
    </row>
    <row r="1936" spans="1:18" x14ac:dyDescent="0.3">
      <c r="A1936" t="s">
        <v>259</v>
      </c>
      <c r="B1936" t="s">
        <v>44</v>
      </c>
      <c r="C1936" t="s">
        <v>317</v>
      </c>
      <c r="D1936" s="8">
        <v>1.75011E-6</v>
      </c>
      <c r="E1936" s="8">
        <v>3.9171199999999999E-6</v>
      </c>
      <c r="F1936" s="8">
        <v>3.9959500000000003E-6</v>
      </c>
      <c r="G1936" s="8">
        <v>4.5644599999999998E-6</v>
      </c>
      <c r="H1936" s="8">
        <v>5.67861E-6</v>
      </c>
      <c r="I1936" s="8">
        <v>7.0504299999999999E-6</v>
      </c>
      <c r="J1936" s="8">
        <v>8.1635000000000007E-6</v>
      </c>
      <c r="K1936" s="8">
        <v>9.2045400000000008E-6</v>
      </c>
      <c r="L1936" s="8">
        <v>9.9108500000000002E-6</v>
      </c>
      <c r="M1936" s="8">
        <v>1.04724E-5</v>
      </c>
      <c r="N1936" s="8">
        <v>1.08751E-5</v>
      </c>
      <c r="O1936">
        <v>0</v>
      </c>
      <c r="P1936">
        <v>0</v>
      </c>
      <c r="Q1936">
        <v>0</v>
      </c>
      <c r="R1936" t="s">
        <v>243</v>
      </c>
    </row>
    <row r="1937" spans="1:18" x14ac:dyDescent="0.3">
      <c r="A1937" t="s">
        <v>259</v>
      </c>
      <c r="B1937" t="s">
        <v>44</v>
      </c>
      <c r="C1937" t="s">
        <v>318</v>
      </c>
      <c r="D1937" s="8">
        <v>2.0722599999999998E-6</v>
      </c>
      <c r="E1937" s="8">
        <v>4.7654500000000003E-6</v>
      </c>
      <c r="F1937" s="8">
        <v>4.7827199999999997E-6</v>
      </c>
      <c r="G1937" s="8">
        <v>5.4083200000000001E-6</v>
      </c>
      <c r="H1937" s="8">
        <v>6.5862200000000003E-6</v>
      </c>
      <c r="I1937" s="8">
        <v>8.0515200000000005E-6</v>
      </c>
      <c r="J1937" s="8">
        <v>9.2661799999999998E-6</v>
      </c>
      <c r="K1937" s="8">
        <v>1.04082E-5</v>
      </c>
      <c r="L1937" s="8">
        <v>1.1187400000000001E-5</v>
      </c>
      <c r="M1937" s="8">
        <v>1.18259E-5</v>
      </c>
      <c r="N1937" s="8">
        <v>1.22959E-5</v>
      </c>
      <c r="O1937">
        <v>0</v>
      </c>
      <c r="P1937">
        <v>0</v>
      </c>
      <c r="Q1937">
        <v>0</v>
      </c>
      <c r="R1937" t="s">
        <v>243</v>
      </c>
    </row>
    <row r="1938" spans="1:18" x14ac:dyDescent="0.3">
      <c r="A1938" t="s">
        <v>259</v>
      </c>
      <c r="B1938" t="s">
        <v>44</v>
      </c>
      <c r="C1938" t="s">
        <v>319</v>
      </c>
      <c r="D1938" s="8">
        <v>2.4024000000000001E-6</v>
      </c>
      <c r="E1938" s="8">
        <v>5.6301200000000002E-6</v>
      </c>
      <c r="F1938" s="8">
        <v>5.5009899999999997E-6</v>
      </c>
      <c r="G1938" s="8">
        <v>6.2048399999999997E-6</v>
      </c>
      <c r="H1938" s="8">
        <v>7.4050899999999998E-6</v>
      </c>
      <c r="I1938" s="8">
        <v>8.9858600000000004E-6</v>
      </c>
      <c r="J1938" s="8">
        <v>1.02832E-5</v>
      </c>
      <c r="K1938" s="8">
        <v>1.1502799999999999E-5</v>
      </c>
      <c r="L1938" s="8">
        <v>1.23346E-5</v>
      </c>
      <c r="M1938" s="8">
        <v>1.29896E-5</v>
      </c>
      <c r="N1938" s="8">
        <v>1.3480599999999999E-5</v>
      </c>
      <c r="O1938">
        <v>0</v>
      </c>
      <c r="P1938">
        <v>0</v>
      </c>
      <c r="Q1938">
        <v>0</v>
      </c>
      <c r="R1938" t="s">
        <v>243</v>
      </c>
    </row>
    <row r="1939" spans="1:18" x14ac:dyDescent="0.3">
      <c r="A1939" t="s">
        <v>259</v>
      </c>
      <c r="B1939" t="s">
        <v>44</v>
      </c>
      <c r="C1939" t="s">
        <v>320</v>
      </c>
      <c r="D1939" s="8">
        <v>2.78167E-6</v>
      </c>
      <c r="E1939" s="8">
        <v>6.4915100000000003E-6</v>
      </c>
      <c r="F1939" s="8">
        <v>6.1882100000000002E-6</v>
      </c>
      <c r="G1939" s="8">
        <v>6.9487500000000002E-6</v>
      </c>
      <c r="H1939" s="8">
        <v>8.2315099999999997E-6</v>
      </c>
      <c r="I1939" s="8">
        <v>9.9015100000000007E-6</v>
      </c>
      <c r="J1939" s="8">
        <v>1.1255499999999999E-5</v>
      </c>
      <c r="K1939" s="8">
        <v>1.2510999999999999E-5</v>
      </c>
      <c r="L1939" s="8">
        <v>1.33627E-5</v>
      </c>
      <c r="M1939" s="8">
        <v>1.4044400000000001E-5</v>
      </c>
      <c r="N1939" s="8">
        <v>1.4548399999999999E-5</v>
      </c>
      <c r="O1939">
        <v>0</v>
      </c>
      <c r="P1939">
        <v>0</v>
      </c>
      <c r="Q1939">
        <v>0</v>
      </c>
      <c r="R1939" t="s">
        <v>243</v>
      </c>
    </row>
    <row r="1940" spans="1:18" x14ac:dyDescent="0.3">
      <c r="A1940" t="s">
        <v>259</v>
      </c>
      <c r="B1940" t="s">
        <v>44</v>
      </c>
      <c r="C1940" t="s">
        <v>321</v>
      </c>
      <c r="D1940" s="8">
        <v>3.2249100000000001E-6</v>
      </c>
      <c r="E1940" s="8">
        <v>7.3736E-6</v>
      </c>
      <c r="F1940" s="8">
        <v>6.9086199999999999E-6</v>
      </c>
      <c r="G1940" s="8">
        <v>7.6442599999999996E-6</v>
      </c>
      <c r="H1940" s="8">
        <v>9.1039100000000001E-6</v>
      </c>
      <c r="I1940" s="8">
        <v>1.08069E-5</v>
      </c>
      <c r="J1940" s="8">
        <v>1.21907E-5</v>
      </c>
      <c r="K1940" s="8">
        <v>1.35127E-5</v>
      </c>
      <c r="L1940" s="8">
        <v>1.44187E-5</v>
      </c>
      <c r="M1940" s="8">
        <v>1.51235E-5</v>
      </c>
      <c r="N1940" s="8">
        <v>1.5641399999999999E-5</v>
      </c>
      <c r="O1940">
        <v>0</v>
      </c>
      <c r="P1940">
        <v>0</v>
      </c>
      <c r="Q1940">
        <v>0</v>
      </c>
      <c r="R1940" t="s">
        <v>243</v>
      </c>
    </row>
    <row r="1941" spans="1:18" x14ac:dyDescent="0.3">
      <c r="A1941" t="s">
        <v>259</v>
      </c>
      <c r="B1941" t="s">
        <v>44</v>
      </c>
      <c r="C1941" t="s">
        <v>322</v>
      </c>
      <c r="D1941" s="8">
        <v>3.7309799999999998E-6</v>
      </c>
      <c r="E1941" s="8">
        <v>8.3939900000000006E-6</v>
      </c>
      <c r="F1941" s="8">
        <v>7.7296400000000008E-6</v>
      </c>
      <c r="G1941" s="8">
        <v>8.5512599999999995E-6</v>
      </c>
      <c r="H1941" s="8">
        <v>1.0062E-5</v>
      </c>
      <c r="I1941" s="8">
        <v>1.18382E-5</v>
      </c>
      <c r="J1941" s="8">
        <v>1.32559E-5</v>
      </c>
      <c r="K1941" s="8">
        <v>1.4589199999999999E-5</v>
      </c>
      <c r="L1941" s="8">
        <v>1.5505499999999999E-5</v>
      </c>
      <c r="M1941" s="8">
        <v>1.62057E-5</v>
      </c>
      <c r="N1941" s="8">
        <v>1.6719799999999999E-5</v>
      </c>
      <c r="O1941">
        <v>0</v>
      </c>
      <c r="P1941">
        <v>0</v>
      </c>
      <c r="Q1941">
        <v>0</v>
      </c>
      <c r="R1941" t="s">
        <v>243</v>
      </c>
    </row>
    <row r="1942" spans="1:18" x14ac:dyDescent="0.3">
      <c r="A1942" t="s">
        <v>259</v>
      </c>
      <c r="B1942" t="s">
        <v>44</v>
      </c>
      <c r="C1942" t="s">
        <v>323</v>
      </c>
      <c r="D1942" s="8">
        <v>4.62659E-6</v>
      </c>
      <c r="E1942" s="8">
        <v>9.6605000000000001E-6</v>
      </c>
      <c r="F1942" s="8">
        <v>8.9146200000000007E-6</v>
      </c>
      <c r="G1942" s="8">
        <v>9.6781600000000005E-6</v>
      </c>
      <c r="H1942" s="8">
        <v>1.13723E-5</v>
      </c>
      <c r="I1942" s="8">
        <v>1.3127E-5</v>
      </c>
      <c r="J1942" s="8">
        <v>1.4528900000000001E-5</v>
      </c>
      <c r="K1942" s="8">
        <v>1.5868200000000002E-5</v>
      </c>
      <c r="L1942" s="8">
        <v>1.67807E-5</v>
      </c>
      <c r="M1942" s="8">
        <v>1.7459999999999999E-5</v>
      </c>
      <c r="N1942" s="8">
        <v>1.7952600000000002E-5</v>
      </c>
      <c r="O1942">
        <v>0</v>
      </c>
      <c r="P1942">
        <v>0</v>
      </c>
      <c r="Q1942">
        <v>0</v>
      </c>
      <c r="R1942" t="s">
        <v>243</v>
      </c>
    </row>
    <row r="1943" spans="1:18" x14ac:dyDescent="0.3">
      <c r="A1943" t="s">
        <v>259</v>
      </c>
      <c r="B1943" t="s">
        <v>428</v>
      </c>
      <c r="C1943" t="s">
        <v>261</v>
      </c>
      <c r="D1943" s="8">
        <v>3.4482859999999999E-5</v>
      </c>
      <c r="E1943" s="8">
        <v>4.92881E-5</v>
      </c>
      <c r="F1943" s="8">
        <v>3.9447699999999998E-5</v>
      </c>
      <c r="G1943" s="8">
        <v>3.82677E-5</v>
      </c>
      <c r="H1943" s="8">
        <v>5.00967599999999E-5</v>
      </c>
      <c r="I1943" s="8">
        <v>5.77979599999999E-5</v>
      </c>
      <c r="J1943" s="8">
        <v>7.2295939999999996E-5</v>
      </c>
      <c r="K1943" s="8">
        <v>9.864633E-5</v>
      </c>
      <c r="L1943" s="8">
        <v>1.19731499999999E-4</v>
      </c>
      <c r="M1943" s="8">
        <v>1.3489053E-4</v>
      </c>
      <c r="N1943" s="8">
        <v>1.4591870999999899E-4</v>
      </c>
      <c r="O1943">
        <v>0</v>
      </c>
      <c r="P1943">
        <v>0</v>
      </c>
      <c r="Q1943">
        <v>0</v>
      </c>
      <c r="R1943" t="s">
        <v>243</v>
      </c>
    </row>
    <row r="1944" spans="1:18" x14ac:dyDescent="0.3">
      <c r="A1944" t="s">
        <v>259</v>
      </c>
      <c r="B1944" t="s">
        <v>428</v>
      </c>
      <c r="C1944" t="s">
        <v>262</v>
      </c>
      <c r="D1944">
        <v>3.866553E-3</v>
      </c>
      <c r="E1944">
        <v>4.2128010600000002E-3</v>
      </c>
      <c r="F1944">
        <v>5.5971065599999996E-3</v>
      </c>
      <c r="G1944">
        <v>4.8385753499999998E-3</v>
      </c>
      <c r="H1944">
        <v>4.3016705179999897E-3</v>
      </c>
      <c r="I1944">
        <v>5.0750131590000004E-3</v>
      </c>
      <c r="J1944">
        <v>6.80733800799999E-3</v>
      </c>
      <c r="K1944">
        <v>7.8875355727999995E-3</v>
      </c>
      <c r="L1944">
        <v>8.2937257803999895E-3</v>
      </c>
      <c r="M1944">
        <v>8.5254631239000001E-3</v>
      </c>
      <c r="N1944">
        <v>8.4306763080000003E-3</v>
      </c>
      <c r="O1944">
        <v>0</v>
      </c>
      <c r="P1944">
        <v>0</v>
      </c>
      <c r="Q1944">
        <v>0</v>
      </c>
      <c r="R1944" t="s">
        <v>243</v>
      </c>
    </row>
    <row r="1945" spans="1:18" x14ac:dyDescent="0.3">
      <c r="A1945" t="s">
        <v>259</v>
      </c>
      <c r="B1945" t="s">
        <v>428</v>
      </c>
      <c r="C1945" t="s">
        <v>263</v>
      </c>
      <c r="D1945">
        <v>0.14051951099999899</v>
      </c>
      <c r="E1945">
        <v>9.6899916999999992E-3</v>
      </c>
      <c r="F1945">
        <v>5.3407404999999998E-3</v>
      </c>
      <c r="G1945">
        <v>5.2936750000000003E-3</v>
      </c>
      <c r="H1945">
        <v>6.8322427999999999E-3</v>
      </c>
      <c r="I1945">
        <v>8.2184598840000008E-3</v>
      </c>
      <c r="J1945">
        <v>1.091813809E-2</v>
      </c>
      <c r="K1945">
        <v>1.4259162509999999E-2</v>
      </c>
      <c r="L1945">
        <v>1.66969919599999E-2</v>
      </c>
      <c r="M1945">
        <v>1.8334979599999999E-2</v>
      </c>
      <c r="N1945">
        <v>1.93255250999999E-2</v>
      </c>
      <c r="O1945">
        <v>0</v>
      </c>
      <c r="P1945">
        <v>0</v>
      </c>
      <c r="Q1945">
        <v>0</v>
      </c>
      <c r="R1945" t="s">
        <v>243</v>
      </c>
    </row>
    <row r="1946" spans="1:18" x14ac:dyDescent="0.3">
      <c r="A1946" t="s">
        <v>259</v>
      </c>
      <c r="B1946" t="s">
        <v>428</v>
      </c>
      <c r="C1946" t="s">
        <v>324</v>
      </c>
      <c r="D1946">
        <v>0</v>
      </c>
      <c r="E1946" s="8">
        <v>8.3275699999999997E-7</v>
      </c>
      <c r="F1946" s="8">
        <v>7.16629E-7</v>
      </c>
      <c r="G1946" s="8">
        <v>5.3335499999999997E-7</v>
      </c>
      <c r="H1946" s="8">
        <v>5.8419100000000002E-7</v>
      </c>
      <c r="I1946" s="8">
        <v>5.6684299999999898E-7</v>
      </c>
      <c r="J1946" s="8">
        <v>6.0088109999999998E-7</v>
      </c>
      <c r="K1946" s="8">
        <v>6.2782449999999998E-7</v>
      </c>
      <c r="L1946" s="8">
        <v>6.39432E-7</v>
      </c>
      <c r="M1946" s="8">
        <v>6.3729300000000004E-7</v>
      </c>
      <c r="N1946" s="8">
        <v>6.2958699999999898E-7</v>
      </c>
      <c r="O1946">
        <v>0</v>
      </c>
      <c r="P1946">
        <v>0</v>
      </c>
      <c r="Q1946">
        <v>0</v>
      </c>
      <c r="R1946" t="s">
        <v>243</v>
      </c>
    </row>
    <row r="1947" spans="1:18" x14ac:dyDescent="0.3">
      <c r="A1947" t="s">
        <v>259</v>
      </c>
      <c r="B1947" t="s">
        <v>428</v>
      </c>
      <c r="C1947" t="s">
        <v>325</v>
      </c>
      <c r="D1947">
        <v>0</v>
      </c>
      <c r="E1947" s="8">
        <v>4.04988E-8</v>
      </c>
      <c r="F1947" s="8">
        <v>4.44804E-8</v>
      </c>
      <c r="G1947" s="8">
        <v>3.3787200000000001E-8</v>
      </c>
      <c r="H1947" s="8">
        <v>3.2279199999999998E-8</v>
      </c>
      <c r="I1947" s="8">
        <v>3.2985460000000002E-8</v>
      </c>
      <c r="J1947" s="8">
        <v>3.2987810000000003E-8</v>
      </c>
      <c r="K1947" s="8">
        <v>3.2936709999999999E-8</v>
      </c>
      <c r="L1947" s="8">
        <v>3.2383099999999998E-8</v>
      </c>
      <c r="M1947" s="8">
        <v>3.1542360000000001E-8</v>
      </c>
      <c r="N1947" s="8">
        <v>3.067402E-8</v>
      </c>
      <c r="O1947">
        <v>0</v>
      </c>
      <c r="P1947">
        <v>0</v>
      </c>
      <c r="Q1947">
        <v>0</v>
      </c>
      <c r="R1947" t="s">
        <v>243</v>
      </c>
    </row>
    <row r="1948" spans="1:18" x14ac:dyDescent="0.3">
      <c r="A1948" t="s">
        <v>259</v>
      </c>
      <c r="B1948" t="s">
        <v>428</v>
      </c>
      <c r="C1948" t="s">
        <v>326</v>
      </c>
      <c r="D1948">
        <v>0</v>
      </c>
      <c r="E1948" s="8">
        <v>4.3283100000000002E-7</v>
      </c>
      <c r="F1948" s="8">
        <v>4.1020800000000002E-7</v>
      </c>
      <c r="G1948" s="8">
        <v>3.0891100000000001E-7</v>
      </c>
      <c r="H1948" s="8">
        <v>3.0474400000000002E-7</v>
      </c>
      <c r="I1948" s="8">
        <v>3.2051839999999998E-7</v>
      </c>
      <c r="J1948" s="8">
        <v>3.3363839999999998E-7</v>
      </c>
      <c r="K1948" s="8">
        <v>3.425258E-7</v>
      </c>
      <c r="L1948" s="8">
        <v>3.4368309999999999E-7</v>
      </c>
      <c r="M1948" s="8">
        <v>3.407639E-7</v>
      </c>
      <c r="N1948" s="8">
        <v>3.3652499999999998E-7</v>
      </c>
      <c r="O1948">
        <v>0</v>
      </c>
      <c r="P1948">
        <v>0</v>
      </c>
      <c r="Q1948">
        <v>0</v>
      </c>
      <c r="R1948" t="s">
        <v>243</v>
      </c>
    </row>
    <row r="1949" spans="1:18" x14ac:dyDescent="0.3">
      <c r="A1949" t="s">
        <v>259</v>
      </c>
      <c r="B1949" t="s">
        <v>428</v>
      </c>
      <c r="C1949" t="s">
        <v>327</v>
      </c>
      <c r="D1949">
        <v>0</v>
      </c>
      <c r="E1949" s="8">
        <v>3.1639700000000002E-7</v>
      </c>
      <c r="F1949" s="8">
        <v>3.13834E-7</v>
      </c>
      <c r="G1949" s="8">
        <v>2.4375E-7</v>
      </c>
      <c r="H1949" s="8">
        <v>2.4093970000000001E-7</v>
      </c>
      <c r="I1949" s="8">
        <v>2.505254E-7</v>
      </c>
      <c r="J1949" s="8">
        <v>2.5935720000000002E-7</v>
      </c>
      <c r="K1949" s="8">
        <v>2.6654559999999999E-7</v>
      </c>
      <c r="L1949" s="8">
        <v>2.6785769999999999E-7</v>
      </c>
      <c r="M1949" s="8">
        <v>2.6532139999999999E-7</v>
      </c>
      <c r="N1949" s="8">
        <v>2.6102770000000002E-7</v>
      </c>
      <c r="O1949">
        <v>0</v>
      </c>
      <c r="P1949">
        <v>0</v>
      </c>
      <c r="Q1949">
        <v>0</v>
      </c>
      <c r="R1949" t="s">
        <v>243</v>
      </c>
    </row>
    <row r="1950" spans="1:18" x14ac:dyDescent="0.3">
      <c r="A1950" t="s">
        <v>259</v>
      </c>
      <c r="B1950" t="s">
        <v>428</v>
      </c>
      <c r="C1950" t="s">
        <v>328</v>
      </c>
      <c r="D1950">
        <v>0</v>
      </c>
      <c r="E1950" s="8">
        <v>2.4046200000000003E-7</v>
      </c>
      <c r="F1950" s="8">
        <v>2.5452700000000001E-7</v>
      </c>
      <c r="G1950" s="8">
        <v>2.0513699999999999E-7</v>
      </c>
      <c r="H1950" s="8">
        <v>2.030444E-7</v>
      </c>
      <c r="I1950" s="8">
        <v>2.11419899999999E-7</v>
      </c>
      <c r="J1950" s="8">
        <v>2.182914E-7</v>
      </c>
      <c r="K1950" s="8">
        <v>2.2349049999999901E-7</v>
      </c>
      <c r="L1950" s="8">
        <v>2.23703299999999E-7</v>
      </c>
      <c r="M1950" s="8">
        <v>2.2041039999999999E-7</v>
      </c>
      <c r="N1950" s="8">
        <v>2.1663E-7</v>
      </c>
      <c r="O1950">
        <v>0</v>
      </c>
      <c r="P1950">
        <v>0</v>
      </c>
      <c r="Q1950">
        <v>0</v>
      </c>
      <c r="R1950" t="s">
        <v>243</v>
      </c>
    </row>
    <row r="1951" spans="1:18" x14ac:dyDescent="0.3">
      <c r="A1951" t="s">
        <v>259</v>
      </c>
      <c r="B1951" t="s">
        <v>428</v>
      </c>
      <c r="C1951" t="s">
        <v>329</v>
      </c>
      <c r="D1951">
        <v>0</v>
      </c>
      <c r="E1951" s="8">
        <v>1.9490100000000001E-7</v>
      </c>
      <c r="F1951" s="8">
        <v>2.10046E-7</v>
      </c>
      <c r="G1951" s="8">
        <v>1.76176E-7</v>
      </c>
      <c r="H1951" s="8">
        <v>1.7525210000000001E-7</v>
      </c>
      <c r="I1951" s="8">
        <v>1.82033599999999E-7</v>
      </c>
      <c r="J1951" s="8">
        <v>1.8748659999999999E-7</v>
      </c>
      <c r="K1951" s="8">
        <v>1.9064369999999999E-7</v>
      </c>
      <c r="L1951" s="8">
        <v>1.9013859999999901E-7</v>
      </c>
      <c r="M1951" s="8">
        <v>1.8777320000000001E-7</v>
      </c>
      <c r="N1951" s="8">
        <v>1.8420560000000001E-7</v>
      </c>
      <c r="O1951">
        <v>0</v>
      </c>
      <c r="P1951">
        <v>0</v>
      </c>
      <c r="Q1951">
        <v>0</v>
      </c>
      <c r="R1951" t="s">
        <v>243</v>
      </c>
    </row>
    <row r="1952" spans="1:18" x14ac:dyDescent="0.3">
      <c r="A1952" t="s">
        <v>259</v>
      </c>
      <c r="B1952" t="s">
        <v>428</v>
      </c>
      <c r="C1952" t="s">
        <v>330</v>
      </c>
      <c r="D1952">
        <v>0</v>
      </c>
      <c r="E1952" s="8">
        <v>1.6199499999999999E-7</v>
      </c>
      <c r="F1952" s="8">
        <v>1.77922E-7</v>
      </c>
      <c r="G1952" s="8">
        <v>1.49629E-7</v>
      </c>
      <c r="H1952" s="8">
        <v>1.487687E-7</v>
      </c>
      <c r="I1952" s="8">
        <v>1.5377340000000001E-7</v>
      </c>
      <c r="J1952" s="8">
        <v>1.5711229999999999E-7</v>
      </c>
      <c r="K1952" s="8">
        <v>1.5998170000000001E-7</v>
      </c>
      <c r="L1952" s="8">
        <v>1.5944940000000001E-7</v>
      </c>
      <c r="M1952" s="8">
        <v>1.56705899999999E-7</v>
      </c>
      <c r="N1952" s="8">
        <v>1.537627E-7</v>
      </c>
      <c r="O1952">
        <v>0</v>
      </c>
      <c r="P1952">
        <v>0</v>
      </c>
      <c r="Q1952">
        <v>0</v>
      </c>
      <c r="R1952" t="s">
        <v>243</v>
      </c>
    </row>
    <row r="1953" spans="1:18" x14ac:dyDescent="0.3">
      <c r="A1953" t="s">
        <v>259</v>
      </c>
      <c r="B1953" t="s">
        <v>428</v>
      </c>
      <c r="C1953" t="s">
        <v>331</v>
      </c>
      <c r="D1953">
        <v>0</v>
      </c>
      <c r="E1953" s="8">
        <v>1.2909E-7</v>
      </c>
      <c r="F1953" s="8">
        <v>1.5073900000000001E-7</v>
      </c>
      <c r="G1953" s="8">
        <v>1.2308199999999999E-7</v>
      </c>
      <c r="H1953" s="8">
        <v>1.2178360000000001E-7</v>
      </c>
      <c r="I1953" s="8">
        <v>1.2597680000000001E-7</v>
      </c>
      <c r="J1953" s="8">
        <v>1.2844330000000001E-7</v>
      </c>
      <c r="K1953" s="8">
        <v>1.3000149999999999E-7</v>
      </c>
      <c r="L1953" s="8">
        <v>1.292256E-7</v>
      </c>
      <c r="M1953" s="8">
        <v>1.2688769999999999E-7</v>
      </c>
      <c r="N1953" s="8">
        <v>1.242026E-7</v>
      </c>
      <c r="O1953">
        <v>0</v>
      </c>
      <c r="P1953">
        <v>0</v>
      </c>
      <c r="Q1953">
        <v>0</v>
      </c>
      <c r="R1953" t="s">
        <v>243</v>
      </c>
    </row>
    <row r="1954" spans="1:18" x14ac:dyDescent="0.3">
      <c r="A1954" t="s">
        <v>259</v>
      </c>
      <c r="B1954" t="s">
        <v>428</v>
      </c>
      <c r="C1954" t="s">
        <v>332</v>
      </c>
      <c r="D1954">
        <v>0</v>
      </c>
      <c r="E1954" s="8">
        <v>1.03778E-7</v>
      </c>
      <c r="F1954" s="8">
        <v>1.16143E-7</v>
      </c>
      <c r="G1954" s="8">
        <v>9.41215E-8</v>
      </c>
      <c r="H1954" s="8">
        <v>9.1967599999999998E-8</v>
      </c>
      <c r="I1954" s="8">
        <v>9.4700299999999997E-8</v>
      </c>
      <c r="J1954" s="8">
        <v>9.6195499999999996E-8</v>
      </c>
      <c r="K1954" s="8">
        <v>9.7167800000000003E-8</v>
      </c>
      <c r="L1954" s="8">
        <v>9.6137899999999899E-8</v>
      </c>
      <c r="M1954" s="8">
        <v>9.4233200000000005E-8</v>
      </c>
      <c r="N1954" s="8">
        <v>9.1962399999999995E-8</v>
      </c>
      <c r="O1954">
        <v>0</v>
      </c>
      <c r="P1954">
        <v>0</v>
      </c>
      <c r="Q1954">
        <v>0</v>
      </c>
      <c r="R1954" t="s">
        <v>243</v>
      </c>
    </row>
    <row r="1955" spans="1:18" x14ac:dyDescent="0.3">
      <c r="A1955" t="s">
        <v>259</v>
      </c>
      <c r="B1955" t="s">
        <v>428</v>
      </c>
      <c r="C1955" t="s">
        <v>333</v>
      </c>
      <c r="D1955">
        <v>0</v>
      </c>
      <c r="E1955" s="8">
        <v>7.5935300000000001E-8</v>
      </c>
      <c r="F1955" s="8">
        <v>7.9076300000000002E-8</v>
      </c>
      <c r="G1955" s="8">
        <v>6.0334300000000006E-8</v>
      </c>
      <c r="H1955" s="8">
        <v>5.7915699999999998E-8</v>
      </c>
      <c r="I1955" s="8">
        <v>5.9169499999999999E-8</v>
      </c>
      <c r="J1955" s="8">
        <v>5.9465100000000002E-8</v>
      </c>
      <c r="K1955" s="8">
        <v>5.9475179999999999E-8</v>
      </c>
      <c r="L1955" s="8">
        <v>5.8582999999999903E-8</v>
      </c>
      <c r="M1955" s="8">
        <v>5.7107140000000001E-8</v>
      </c>
      <c r="N1955" s="8">
        <v>5.5604679999999998E-8</v>
      </c>
      <c r="O1955">
        <v>0</v>
      </c>
      <c r="P1955">
        <v>0</v>
      </c>
      <c r="Q1955">
        <v>0</v>
      </c>
      <c r="R1955" t="s">
        <v>243</v>
      </c>
    </row>
    <row r="1956" spans="1:18" x14ac:dyDescent="0.3">
      <c r="A1956" t="s">
        <v>259</v>
      </c>
      <c r="B1956" t="s">
        <v>428</v>
      </c>
      <c r="C1956" t="s">
        <v>264</v>
      </c>
      <c r="D1956" s="8">
        <v>5.6137349999999995E-4</v>
      </c>
      <c r="E1956" s="8">
        <v>5.9436120000000002E-4</v>
      </c>
      <c r="F1956" s="8">
        <v>9.8985340000000009E-4</v>
      </c>
      <c r="G1956">
        <v>1.0936903999999999E-3</v>
      </c>
      <c r="H1956">
        <v>1.1946279000000001E-3</v>
      </c>
      <c r="I1956">
        <v>1.1845550999999999E-3</v>
      </c>
      <c r="J1956">
        <v>1.2739451999999999E-3</v>
      </c>
      <c r="K1956">
        <v>1.3193578999999901E-3</v>
      </c>
      <c r="L1956">
        <v>1.3038634000000001E-3</v>
      </c>
      <c r="M1956">
        <v>1.2442877E-3</v>
      </c>
      <c r="N1956">
        <v>1.1844812000000001E-3</v>
      </c>
      <c r="O1956">
        <v>0</v>
      </c>
      <c r="P1956">
        <v>0</v>
      </c>
      <c r="Q1956">
        <v>0</v>
      </c>
      <c r="R1956" t="s">
        <v>243</v>
      </c>
    </row>
    <row r="1957" spans="1:18" x14ac:dyDescent="0.3">
      <c r="A1957" t="s">
        <v>259</v>
      </c>
      <c r="B1957" t="s">
        <v>428</v>
      </c>
      <c r="C1957" t="s">
        <v>265</v>
      </c>
      <c r="D1957">
        <v>1.0007053999999899E-3</v>
      </c>
      <c r="E1957">
        <v>1.406942E-3</v>
      </c>
      <c r="F1957">
        <v>2.2291685999999999E-3</v>
      </c>
      <c r="G1957">
        <v>2.6828120000000001E-3</v>
      </c>
      <c r="H1957">
        <v>2.4928060000000002E-3</v>
      </c>
      <c r="I1957">
        <v>2.5691615000000001E-3</v>
      </c>
      <c r="J1957">
        <v>2.5384038000000001E-3</v>
      </c>
      <c r="K1957">
        <v>2.5052455999999899E-3</v>
      </c>
      <c r="L1957">
        <v>2.3849916999999902E-3</v>
      </c>
      <c r="M1957">
        <v>2.2230104999999998E-3</v>
      </c>
      <c r="N1957">
        <v>2.0837098999999999E-3</v>
      </c>
      <c r="O1957">
        <v>0</v>
      </c>
      <c r="P1957">
        <v>0</v>
      </c>
      <c r="Q1957">
        <v>0</v>
      </c>
      <c r="R1957" t="s">
        <v>243</v>
      </c>
    </row>
    <row r="1958" spans="1:18" x14ac:dyDescent="0.3">
      <c r="A1958" t="s">
        <v>259</v>
      </c>
      <c r="B1958" t="s">
        <v>428</v>
      </c>
      <c r="C1958" t="s">
        <v>266</v>
      </c>
      <c r="D1958" s="8">
        <v>6.6553610000000003E-4</v>
      </c>
      <c r="E1958" s="8">
        <v>8.007976E-4</v>
      </c>
      <c r="F1958">
        <v>1.2645535E-3</v>
      </c>
      <c r="G1958">
        <v>1.4349801E-3</v>
      </c>
      <c r="H1958">
        <v>1.3745827000000001E-3</v>
      </c>
      <c r="I1958">
        <v>1.472826E-3</v>
      </c>
      <c r="J1958">
        <v>1.5221162999999999E-3</v>
      </c>
      <c r="K1958">
        <v>1.543871E-3</v>
      </c>
      <c r="L1958">
        <v>1.4998176000000001E-3</v>
      </c>
      <c r="M1958">
        <v>1.4237348999999999E-3</v>
      </c>
      <c r="N1958">
        <v>1.3550257E-3</v>
      </c>
      <c r="O1958">
        <v>0</v>
      </c>
      <c r="P1958">
        <v>0</v>
      </c>
      <c r="Q1958">
        <v>0</v>
      </c>
      <c r="R1958" t="s">
        <v>243</v>
      </c>
    </row>
    <row r="1959" spans="1:18" x14ac:dyDescent="0.3">
      <c r="A1959" t="s">
        <v>259</v>
      </c>
      <c r="B1959" t="s">
        <v>428</v>
      </c>
      <c r="C1959" t="s">
        <v>267</v>
      </c>
      <c r="D1959" s="8">
        <v>7.1588380000000001E-4</v>
      </c>
      <c r="E1959" s="8">
        <v>8.9177180000000003E-4</v>
      </c>
      <c r="F1959">
        <v>1.3867209999999901E-3</v>
      </c>
      <c r="G1959">
        <v>1.5710773E-3</v>
      </c>
      <c r="H1959">
        <v>1.5079378E-3</v>
      </c>
      <c r="I1959">
        <v>1.5878378E-3</v>
      </c>
      <c r="J1959">
        <v>1.6284578000000001E-3</v>
      </c>
      <c r="K1959">
        <v>1.6531753999999999E-3</v>
      </c>
      <c r="L1959">
        <v>1.6086411999999999E-3</v>
      </c>
      <c r="M1959">
        <v>1.5255644999999901E-3</v>
      </c>
      <c r="N1959">
        <v>1.4465115000000001E-3</v>
      </c>
      <c r="O1959">
        <v>0</v>
      </c>
      <c r="P1959">
        <v>0</v>
      </c>
      <c r="Q1959">
        <v>0</v>
      </c>
      <c r="R1959" t="s">
        <v>243</v>
      </c>
    </row>
    <row r="1960" spans="1:18" x14ac:dyDescent="0.3">
      <c r="A1960" t="s">
        <v>259</v>
      </c>
      <c r="B1960" t="s">
        <v>428</v>
      </c>
      <c r="C1960" t="s">
        <v>268</v>
      </c>
      <c r="D1960" s="8">
        <v>7.5377430000000002E-4</v>
      </c>
      <c r="E1960" s="8">
        <v>9.6548300000000005E-4</v>
      </c>
      <c r="F1960">
        <v>1.4797740000000001E-3</v>
      </c>
      <c r="G1960">
        <v>1.6664315999999899E-3</v>
      </c>
      <c r="H1960">
        <v>1.6013048000000001E-3</v>
      </c>
      <c r="I1960">
        <v>1.6850182E-3</v>
      </c>
      <c r="J1960">
        <v>1.7225108000000001E-3</v>
      </c>
      <c r="K1960">
        <v>1.7421323999999899E-3</v>
      </c>
      <c r="L1960">
        <v>1.688595E-3</v>
      </c>
      <c r="M1960">
        <v>1.5929121E-3</v>
      </c>
      <c r="N1960">
        <v>1.5087149999999899E-3</v>
      </c>
      <c r="O1960">
        <v>0</v>
      </c>
      <c r="P1960">
        <v>0</v>
      </c>
      <c r="Q1960">
        <v>0</v>
      </c>
      <c r="R1960" t="s">
        <v>243</v>
      </c>
    </row>
    <row r="1961" spans="1:18" x14ac:dyDescent="0.3">
      <c r="A1961" t="s">
        <v>259</v>
      </c>
      <c r="B1961" t="s">
        <v>428</v>
      </c>
      <c r="C1961" t="s">
        <v>269</v>
      </c>
      <c r="D1961" s="8">
        <v>7.8739709999999896E-4</v>
      </c>
      <c r="E1961">
        <v>1.0173503000000001E-3</v>
      </c>
      <c r="F1961">
        <v>1.5599286999999999E-3</v>
      </c>
      <c r="G1961">
        <v>1.7503886000000001E-3</v>
      </c>
      <c r="H1961">
        <v>1.68979359999999E-3</v>
      </c>
      <c r="I1961">
        <v>1.7721422000000001E-3</v>
      </c>
      <c r="J1961">
        <v>1.8069345E-3</v>
      </c>
      <c r="K1961">
        <v>1.8154241E-3</v>
      </c>
      <c r="L1961">
        <v>1.7533221999999999E-3</v>
      </c>
      <c r="M1961">
        <v>1.6573311E-3</v>
      </c>
      <c r="N1961">
        <v>1.5670414000000001E-3</v>
      </c>
      <c r="O1961">
        <v>0</v>
      </c>
      <c r="P1961">
        <v>0</v>
      </c>
      <c r="Q1961">
        <v>0</v>
      </c>
      <c r="R1961" t="s">
        <v>243</v>
      </c>
    </row>
    <row r="1962" spans="1:18" x14ac:dyDescent="0.3">
      <c r="A1962" t="s">
        <v>259</v>
      </c>
      <c r="B1962" t="s">
        <v>428</v>
      </c>
      <c r="C1962" t="s">
        <v>270</v>
      </c>
      <c r="D1962" s="8">
        <v>8.2064519999999904E-4</v>
      </c>
      <c r="E1962">
        <v>1.0667274999999999E-3</v>
      </c>
      <c r="F1962">
        <v>1.6281132999999999E-3</v>
      </c>
      <c r="G1962">
        <v>1.8467713E-3</v>
      </c>
      <c r="H1962">
        <v>1.7817162999999999E-3</v>
      </c>
      <c r="I1962">
        <v>1.8586856999999999E-3</v>
      </c>
      <c r="J1962">
        <v>1.8795996E-3</v>
      </c>
      <c r="K1962">
        <v>1.8910157999999901E-3</v>
      </c>
      <c r="L1962">
        <v>1.8252033E-3</v>
      </c>
      <c r="M1962">
        <v>1.7173052E-3</v>
      </c>
      <c r="N1962">
        <v>1.6237782999999899E-3</v>
      </c>
      <c r="O1962">
        <v>0</v>
      </c>
      <c r="P1962">
        <v>0</v>
      </c>
      <c r="Q1962">
        <v>0</v>
      </c>
      <c r="R1962" t="s">
        <v>243</v>
      </c>
    </row>
    <row r="1963" spans="1:18" x14ac:dyDescent="0.3">
      <c r="A1963" t="s">
        <v>259</v>
      </c>
      <c r="B1963" t="s">
        <v>428</v>
      </c>
      <c r="C1963" t="s">
        <v>271</v>
      </c>
      <c r="D1963" s="8">
        <v>8.5539619999999998E-4</v>
      </c>
      <c r="E1963">
        <v>1.1192589E-3</v>
      </c>
      <c r="F1963">
        <v>1.7032422000000001E-3</v>
      </c>
      <c r="G1963">
        <v>1.9502476E-3</v>
      </c>
      <c r="H1963">
        <v>1.8728359000000001E-3</v>
      </c>
      <c r="I1963">
        <v>1.9547418000000001E-3</v>
      </c>
      <c r="J1963">
        <v>1.9722108000000001E-3</v>
      </c>
      <c r="K1963">
        <v>1.9725383999999999E-3</v>
      </c>
      <c r="L1963">
        <v>1.8986908E-3</v>
      </c>
      <c r="M1963">
        <v>1.7845887E-3</v>
      </c>
      <c r="N1963">
        <v>1.6835131999999901E-3</v>
      </c>
      <c r="O1963">
        <v>0</v>
      </c>
      <c r="P1963">
        <v>0</v>
      </c>
      <c r="Q1963">
        <v>0</v>
      </c>
      <c r="R1963" t="s">
        <v>243</v>
      </c>
    </row>
    <row r="1964" spans="1:18" x14ac:dyDescent="0.3">
      <c r="A1964" t="s">
        <v>259</v>
      </c>
      <c r="B1964" t="s">
        <v>428</v>
      </c>
      <c r="C1964" t="s">
        <v>272</v>
      </c>
      <c r="D1964" s="8">
        <v>8.9424619999999998E-4</v>
      </c>
      <c r="E1964">
        <v>1.1772597E-3</v>
      </c>
      <c r="F1964">
        <v>1.81176889999999E-3</v>
      </c>
      <c r="G1964">
        <v>2.1013513000000001E-3</v>
      </c>
      <c r="H1964">
        <v>1.9942276000000001E-3</v>
      </c>
      <c r="I1964">
        <v>2.0715605999999998E-3</v>
      </c>
      <c r="J1964">
        <v>2.0811239000000001E-3</v>
      </c>
      <c r="K1964">
        <v>2.0773620999999902E-3</v>
      </c>
      <c r="L1964">
        <v>1.9904405999999898E-3</v>
      </c>
      <c r="M1964">
        <v>1.8672373E-3</v>
      </c>
      <c r="N1964">
        <v>1.7562820000000001E-3</v>
      </c>
      <c r="O1964">
        <v>0</v>
      </c>
      <c r="P1964">
        <v>0</v>
      </c>
      <c r="Q1964">
        <v>0</v>
      </c>
      <c r="R1964" t="s">
        <v>243</v>
      </c>
    </row>
    <row r="1965" spans="1:18" x14ac:dyDescent="0.3">
      <c r="A1965" t="s">
        <v>259</v>
      </c>
      <c r="B1965" t="s">
        <v>428</v>
      </c>
      <c r="C1965" t="s">
        <v>273</v>
      </c>
      <c r="D1965" s="8">
        <v>9.4073870000000001E-4</v>
      </c>
      <c r="E1965">
        <v>1.2521235999999999E-3</v>
      </c>
      <c r="F1965">
        <v>1.9822709999999999E-3</v>
      </c>
      <c r="G1965">
        <v>2.3712664E-3</v>
      </c>
      <c r="H1965">
        <v>2.2131620999999999E-3</v>
      </c>
      <c r="I1965">
        <v>2.2806037999999998E-3</v>
      </c>
      <c r="J1965">
        <v>2.2648486000000001E-3</v>
      </c>
      <c r="K1965">
        <v>2.239034E-3</v>
      </c>
      <c r="L1965">
        <v>2.1355337999999901E-3</v>
      </c>
      <c r="M1965">
        <v>1.9920857E-3</v>
      </c>
      <c r="N1965">
        <v>1.8695618999999999E-3</v>
      </c>
      <c r="O1965">
        <v>0</v>
      </c>
      <c r="P1965">
        <v>0</v>
      </c>
      <c r="Q1965">
        <v>0</v>
      </c>
      <c r="R1965" t="s">
        <v>243</v>
      </c>
    </row>
    <row r="1966" spans="1:18" x14ac:dyDescent="0.3">
      <c r="A1966" t="s">
        <v>259</v>
      </c>
      <c r="B1966" t="s">
        <v>428</v>
      </c>
      <c r="C1966" t="s">
        <v>274</v>
      </c>
      <c r="D1966" s="8">
        <v>6.9300729000000005E-7</v>
      </c>
      <c r="E1966" s="8">
        <v>5.0196364999999998E-7</v>
      </c>
      <c r="F1966" s="8">
        <v>4.2992316E-7</v>
      </c>
      <c r="G1966" s="8">
        <v>4.3121644000000002E-7</v>
      </c>
      <c r="H1966" s="8">
        <v>1.30040472E-6</v>
      </c>
      <c r="I1966" s="8">
        <v>1.176585819E-6</v>
      </c>
      <c r="J1966" s="8">
        <v>1.5213117700000001E-6</v>
      </c>
      <c r="K1966" s="8">
        <v>2.11685326999999E-6</v>
      </c>
      <c r="L1966" s="8">
        <v>2.6465473969999999E-6</v>
      </c>
      <c r="M1966" s="8">
        <v>3.0063870490000001E-6</v>
      </c>
      <c r="N1966" s="8">
        <v>3.24342022899999E-6</v>
      </c>
      <c r="O1966">
        <v>0</v>
      </c>
      <c r="P1966">
        <v>0</v>
      </c>
      <c r="Q1966">
        <v>0</v>
      </c>
      <c r="R1966" t="s">
        <v>243</v>
      </c>
    </row>
    <row r="1967" spans="1:18" x14ac:dyDescent="0.3">
      <c r="A1967" t="s">
        <v>259</v>
      </c>
      <c r="B1967" t="s">
        <v>428</v>
      </c>
      <c r="C1967" t="s">
        <v>275</v>
      </c>
      <c r="D1967" s="8">
        <v>5.5134773000000001E-6</v>
      </c>
      <c r="E1967" s="8">
        <v>8.8241224999999905E-6</v>
      </c>
      <c r="F1967" s="8">
        <v>6.9150784999999996E-6</v>
      </c>
      <c r="G1967" s="8">
        <v>8.0428173E-6</v>
      </c>
      <c r="H1967" s="8">
        <v>1.31844679999999E-5</v>
      </c>
      <c r="I1967" s="8">
        <v>1.49702663899999E-5</v>
      </c>
      <c r="J1967" s="8">
        <v>1.75430200699999E-5</v>
      </c>
      <c r="K1967" s="8">
        <v>2.084419785E-5</v>
      </c>
      <c r="L1967" s="8">
        <v>2.2710531910000001E-5</v>
      </c>
      <c r="M1967" s="8">
        <v>2.3271608889999999E-5</v>
      </c>
      <c r="N1967" s="8">
        <v>2.309156241E-5</v>
      </c>
      <c r="O1967">
        <v>0</v>
      </c>
      <c r="P1967">
        <v>0</v>
      </c>
      <c r="Q1967">
        <v>0</v>
      </c>
      <c r="R1967" t="s">
        <v>243</v>
      </c>
    </row>
    <row r="1968" spans="1:18" x14ac:dyDescent="0.3">
      <c r="A1968" t="s">
        <v>259</v>
      </c>
      <c r="B1968" t="s">
        <v>428</v>
      </c>
      <c r="C1968" t="s">
        <v>276</v>
      </c>
      <c r="D1968" s="8">
        <v>1.22040801E-6</v>
      </c>
      <c r="E1968" s="8">
        <v>9.742894800000001E-7</v>
      </c>
      <c r="F1968" s="8">
        <v>7.9035909999999996E-7</v>
      </c>
      <c r="G1968" s="8">
        <v>8.5005050999999996E-7</v>
      </c>
      <c r="H1968" s="8">
        <v>1.79615088E-6</v>
      </c>
      <c r="I1968" s="8">
        <v>2.1214036700000001E-6</v>
      </c>
      <c r="J1968" s="8">
        <v>2.68814134799999E-6</v>
      </c>
      <c r="K1968" s="8">
        <v>3.5618456340000001E-6</v>
      </c>
      <c r="L1968" s="8">
        <v>4.2563425860000003E-6</v>
      </c>
      <c r="M1968" s="8">
        <v>4.7664086039999899E-6</v>
      </c>
      <c r="N1968" s="8">
        <v>5.1442887599999897E-6</v>
      </c>
      <c r="O1968">
        <v>0</v>
      </c>
      <c r="P1968">
        <v>0</v>
      </c>
      <c r="Q1968">
        <v>0</v>
      </c>
      <c r="R1968" t="s">
        <v>243</v>
      </c>
    </row>
    <row r="1969" spans="1:18" x14ac:dyDescent="0.3">
      <c r="A1969" t="s">
        <v>259</v>
      </c>
      <c r="B1969" t="s">
        <v>428</v>
      </c>
      <c r="C1969" t="s">
        <v>277</v>
      </c>
      <c r="D1969" s="8">
        <v>1.5742984100000001E-6</v>
      </c>
      <c r="E1969" s="8">
        <v>1.3332401299999899E-6</v>
      </c>
      <c r="F1969" s="8">
        <v>1.05172382E-6</v>
      </c>
      <c r="G1969" s="8">
        <v>1.1181778600000001E-6</v>
      </c>
      <c r="H1969" s="8">
        <v>2.3385217700000001E-6</v>
      </c>
      <c r="I1969" s="8">
        <v>2.6914387299999999E-6</v>
      </c>
      <c r="J1969" s="8">
        <v>3.38919023E-6</v>
      </c>
      <c r="K1969" s="8">
        <v>4.5207420150000002E-6</v>
      </c>
      <c r="L1969" s="8">
        <v>5.4434437279999996E-6</v>
      </c>
      <c r="M1969" s="8">
        <v>6.0829397279999898E-6</v>
      </c>
      <c r="N1969" s="8">
        <v>6.4786420549999999E-6</v>
      </c>
      <c r="O1969">
        <v>0</v>
      </c>
      <c r="P1969">
        <v>0</v>
      </c>
      <c r="Q1969">
        <v>0</v>
      </c>
      <c r="R1969" t="s">
        <v>243</v>
      </c>
    </row>
    <row r="1970" spans="1:18" x14ac:dyDescent="0.3">
      <c r="A1970" t="s">
        <v>259</v>
      </c>
      <c r="B1970" t="s">
        <v>428</v>
      </c>
      <c r="C1970" t="s">
        <v>278</v>
      </c>
      <c r="D1970" s="8">
        <v>1.89337796E-6</v>
      </c>
      <c r="E1970" s="8">
        <v>1.7476979899999999E-6</v>
      </c>
      <c r="F1970" s="8">
        <v>1.31487324E-6</v>
      </c>
      <c r="G1970" s="8">
        <v>1.3534168E-6</v>
      </c>
      <c r="H1970" s="8">
        <v>2.8127659600000002E-6</v>
      </c>
      <c r="I1970" s="8">
        <v>3.2765841400000002E-6</v>
      </c>
      <c r="J1970" s="8">
        <v>4.1273504889999898E-6</v>
      </c>
      <c r="K1970" s="8">
        <v>5.4463155799999899E-6</v>
      </c>
      <c r="L1970" s="8">
        <v>6.4735435999999997E-6</v>
      </c>
      <c r="M1970" s="8">
        <v>7.0986005780000003E-6</v>
      </c>
      <c r="N1970" s="8">
        <v>7.5285665500000002E-6</v>
      </c>
      <c r="O1970">
        <v>0</v>
      </c>
      <c r="P1970">
        <v>0</v>
      </c>
      <c r="Q1970">
        <v>0</v>
      </c>
      <c r="R1970" t="s">
        <v>243</v>
      </c>
    </row>
    <row r="1971" spans="1:18" x14ac:dyDescent="0.3">
      <c r="A1971" t="s">
        <v>259</v>
      </c>
      <c r="B1971" t="s">
        <v>428</v>
      </c>
      <c r="C1971" t="s">
        <v>279</v>
      </c>
      <c r="D1971" s="8">
        <v>2.21931328E-6</v>
      </c>
      <c r="E1971" s="8">
        <v>2.1292271600000001E-6</v>
      </c>
      <c r="F1971" s="8">
        <v>1.59461384E-6</v>
      </c>
      <c r="G1971" s="8">
        <v>1.5980624300000001E-6</v>
      </c>
      <c r="H1971" s="8">
        <v>3.3479992599999998E-6</v>
      </c>
      <c r="I1971" s="8">
        <v>3.8922340799999997E-6</v>
      </c>
      <c r="J1971" s="8">
        <v>4.8980326099999897E-6</v>
      </c>
      <c r="K1971" s="8">
        <v>6.3174889820000001E-6</v>
      </c>
      <c r="L1971" s="8">
        <v>7.41465851E-6</v>
      </c>
      <c r="M1971" s="8">
        <v>8.1959922100000003E-6</v>
      </c>
      <c r="N1971" s="8">
        <v>8.6285825819999902E-6</v>
      </c>
      <c r="O1971">
        <v>0</v>
      </c>
      <c r="P1971">
        <v>0</v>
      </c>
      <c r="Q1971">
        <v>0</v>
      </c>
      <c r="R1971" t="s">
        <v>243</v>
      </c>
    </row>
    <row r="1972" spans="1:18" x14ac:dyDescent="0.3">
      <c r="A1972" t="s">
        <v>259</v>
      </c>
      <c r="B1972" t="s">
        <v>428</v>
      </c>
      <c r="C1972" t="s">
        <v>280</v>
      </c>
      <c r="D1972" s="8">
        <v>2.58532928999999E-6</v>
      </c>
      <c r="E1972" s="8">
        <v>2.5766237099999999E-6</v>
      </c>
      <c r="F1972" s="8">
        <v>1.8774979200000001E-6</v>
      </c>
      <c r="G1972" s="8">
        <v>1.9272382700000001E-6</v>
      </c>
      <c r="H1972" s="8">
        <v>3.9921836600000001E-6</v>
      </c>
      <c r="I1972" s="8">
        <v>4.5908842099999996E-6</v>
      </c>
      <c r="J1972" s="8">
        <v>5.6525682899999998E-6</v>
      </c>
      <c r="K1972" s="8">
        <v>7.333269641E-6</v>
      </c>
      <c r="L1972" s="8">
        <v>8.5872506999999892E-6</v>
      </c>
      <c r="M1972" s="8">
        <v>9.3220363199999995E-6</v>
      </c>
      <c r="N1972" s="8">
        <v>9.8083652550000007E-6</v>
      </c>
      <c r="O1972">
        <v>0</v>
      </c>
      <c r="P1972">
        <v>0</v>
      </c>
      <c r="Q1972">
        <v>0</v>
      </c>
      <c r="R1972" t="s">
        <v>243</v>
      </c>
    </row>
    <row r="1973" spans="1:18" x14ac:dyDescent="0.3">
      <c r="A1973" t="s">
        <v>259</v>
      </c>
      <c r="B1973" t="s">
        <v>428</v>
      </c>
      <c r="C1973" t="s">
        <v>281</v>
      </c>
      <c r="D1973" s="8">
        <v>3.0199129999999998E-6</v>
      </c>
      <c r="E1973" s="8">
        <v>3.1548019E-6</v>
      </c>
      <c r="F1973" s="8">
        <v>2.2415202400000002E-6</v>
      </c>
      <c r="G1973" s="8">
        <v>2.3439359999999998E-6</v>
      </c>
      <c r="H1973" s="8">
        <v>4.7262568599999998E-6</v>
      </c>
      <c r="I1973" s="8">
        <v>5.4806469499999999E-6</v>
      </c>
      <c r="J1973" s="8">
        <v>6.7441044799999904E-6</v>
      </c>
      <c r="K1973" s="8">
        <v>8.5646737699999905E-6</v>
      </c>
      <c r="L1973" s="8">
        <v>9.9261821399999999E-6</v>
      </c>
      <c r="M1973" s="8">
        <v>1.0726315849999901E-5</v>
      </c>
      <c r="N1973" s="8">
        <v>1.11682998599999E-5</v>
      </c>
      <c r="O1973">
        <v>0</v>
      </c>
      <c r="P1973">
        <v>0</v>
      </c>
      <c r="Q1973">
        <v>0</v>
      </c>
      <c r="R1973" t="s">
        <v>243</v>
      </c>
    </row>
    <row r="1974" spans="1:18" x14ac:dyDescent="0.3">
      <c r="A1974" t="s">
        <v>259</v>
      </c>
      <c r="B1974" t="s">
        <v>428</v>
      </c>
      <c r="C1974" t="s">
        <v>282</v>
      </c>
      <c r="D1974" s="8">
        <v>3.5736849E-6</v>
      </c>
      <c r="E1974" s="8">
        <v>3.9296189999999999E-6</v>
      </c>
      <c r="F1974" s="8">
        <v>2.8749688999999998E-6</v>
      </c>
      <c r="G1974" s="8">
        <v>3.08724959999999E-6</v>
      </c>
      <c r="H1974" s="8">
        <v>5.86403732E-6</v>
      </c>
      <c r="I1974" s="8">
        <v>6.7358647599999901E-6</v>
      </c>
      <c r="J1974" s="8">
        <v>8.2390130999999906E-6</v>
      </c>
      <c r="K1974" s="8">
        <v>1.0383868809999899E-5</v>
      </c>
      <c r="L1974" s="8">
        <v>1.181200924E-5</v>
      </c>
      <c r="M1974" s="8">
        <v>1.2652991320000001E-5</v>
      </c>
      <c r="N1974" s="8">
        <v>1.2994757629999999E-5</v>
      </c>
      <c r="O1974">
        <v>0</v>
      </c>
      <c r="P1974">
        <v>0</v>
      </c>
      <c r="Q1974">
        <v>0</v>
      </c>
      <c r="R1974" t="s">
        <v>243</v>
      </c>
    </row>
    <row r="1975" spans="1:18" x14ac:dyDescent="0.3">
      <c r="A1975" t="s">
        <v>259</v>
      </c>
      <c r="B1975" t="s">
        <v>428</v>
      </c>
      <c r="C1975" t="s">
        <v>283</v>
      </c>
      <c r="D1975" s="8">
        <v>4.3405278000000002E-6</v>
      </c>
      <c r="E1975" s="8">
        <v>5.1715980000000001E-6</v>
      </c>
      <c r="F1975" s="8">
        <v>4.1759424999999997E-6</v>
      </c>
      <c r="G1975" s="8">
        <v>4.9073191999999998E-6</v>
      </c>
      <c r="H1975" s="8">
        <v>8.4874901799999992E-6</v>
      </c>
      <c r="I1975" s="8">
        <v>9.5640423E-6</v>
      </c>
      <c r="J1975" s="8">
        <v>1.135611602E-5</v>
      </c>
      <c r="K1975" s="8">
        <v>1.374810473E-5</v>
      </c>
      <c r="L1975" s="8">
        <v>1.531211925E-5</v>
      </c>
      <c r="M1975" s="8">
        <v>1.5991016489999998E-5</v>
      </c>
      <c r="N1975" s="8">
        <v>1.6196410089999999E-5</v>
      </c>
      <c r="O1975">
        <v>0</v>
      </c>
      <c r="P1975">
        <v>0</v>
      </c>
      <c r="Q1975">
        <v>0</v>
      </c>
      <c r="R1975" t="s">
        <v>243</v>
      </c>
    </row>
    <row r="1976" spans="1:18" x14ac:dyDescent="0.3">
      <c r="A1976" t="s">
        <v>259</v>
      </c>
      <c r="B1976" t="s">
        <v>428</v>
      </c>
      <c r="C1976" t="s">
        <v>334</v>
      </c>
      <c r="D1976">
        <v>0</v>
      </c>
      <c r="E1976" s="8">
        <v>5.7551399999999995E-4</v>
      </c>
      <c r="F1976" s="8">
        <v>5.0911999999999995E-4</v>
      </c>
      <c r="G1976" s="8">
        <v>3.7399900000000002E-4</v>
      </c>
      <c r="H1976" s="8">
        <v>4.0927599999999998E-4</v>
      </c>
      <c r="I1976" s="8">
        <v>3.98164E-4</v>
      </c>
      <c r="J1976" s="8">
        <v>4.2159439999999999E-4</v>
      </c>
      <c r="K1976" s="8">
        <v>4.400351E-4</v>
      </c>
      <c r="L1976" s="8">
        <v>4.4882500000000003E-4</v>
      </c>
      <c r="M1976" s="8">
        <v>4.4710129999999998E-4</v>
      </c>
      <c r="N1976" s="8">
        <v>4.4153360000000002E-4</v>
      </c>
      <c r="O1976">
        <v>0</v>
      </c>
      <c r="P1976">
        <v>0</v>
      </c>
      <c r="Q1976">
        <v>0</v>
      </c>
      <c r="R1976" t="s">
        <v>243</v>
      </c>
    </row>
    <row r="1977" spans="1:18" x14ac:dyDescent="0.3">
      <c r="A1977" t="s">
        <v>259</v>
      </c>
      <c r="B1977" t="s">
        <v>428</v>
      </c>
      <c r="C1977" t="s">
        <v>335</v>
      </c>
      <c r="D1977">
        <v>0</v>
      </c>
      <c r="E1977" s="8">
        <v>2.917E-5</v>
      </c>
      <c r="F1977" s="8">
        <v>3.2208800000000002E-5</v>
      </c>
      <c r="G1977" s="8">
        <v>2.45125E-5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243</v>
      </c>
    </row>
    <row r="1978" spans="1:18" x14ac:dyDescent="0.3">
      <c r="A1978" t="s">
        <v>259</v>
      </c>
      <c r="B1978" t="s">
        <v>428</v>
      </c>
      <c r="C1978" t="s">
        <v>336</v>
      </c>
      <c r="D1978">
        <v>0</v>
      </c>
      <c r="E1978" s="8">
        <v>3.0013099999999998E-4</v>
      </c>
      <c r="F1978" s="8">
        <v>2.9319099999999999E-4</v>
      </c>
      <c r="G1978" s="8">
        <v>2.16555E-4</v>
      </c>
      <c r="H1978" s="8">
        <v>2.1342010000000001E-4</v>
      </c>
      <c r="I1978" s="8">
        <v>2.251097E-4</v>
      </c>
      <c r="J1978" s="8">
        <v>2.3396429999999999E-4</v>
      </c>
      <c r="K1978" s="8">
        <v>2.4003699999999999E-4</v>
      </c>
      <c r="L1978" s="8">
        <v>2.4119349999999999E-4</v>
      </c>
      <c r="M1978" s="8">
        <v>2.3897360000000001E-4</v>
      </c>
      <c r="N1978">
        <v>0</v>
      </c>
      <c r="O1978">
        <v>0</v>
      </c>
      <c r="P1978">
        <v>0</v>
      </c>
      <c r="Q1978">
        <v>0</v>
      </c>
      <c r="R1978" t="s">
        <v>243</v>
      </c>
    </row>
    <row r="1979" spans="1:18" x14ac:dyDescent="0.3">
      <c r="A1979" t="s">
        <v>259</v>
      </c>
      <c r="B1979" t="s">
        <v>428</v>
      </c>
      <c r="C1979" t="s">
        <v>337</v>
      </c>
      <c r="D1979">
        <v>0</v>
      </c>
      <c r="E1979" s="8">
        <v>2.1943900000000001E-4</v>
      </c>
      <c r="F1979" s="8">
        <v>2.24477E-4</v>
      </c>
      <c r="G1979" s="8">
        <v>1.71435E-4</v>
      </c>
      <c r="H1979" s="8">
        <v>1.6928860000000001E-4</v>
      </c>
      <c r="I1979" s="8">
        <v>1.76530199999999E-4</v>
      </c>
      <c r="J1979" s="8">
        <v>1.8247270000000001E-4</v>
      </c>
      <c r="K1979" s="8">
        <v>1.8739939999999999E-4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243</v>
      </c>
    </row>
    <row r="1980" spans="1:18" x14ac:dyDescent="0.3">
      <c r="A1980" t="s">
        <v>259</v>
      </c>
      <c r="B1980" t="s">
        <v>428</v>
      </c>
      <c r="C1980" t="s">
        <v>338</v>
      </c>
      <c r="D1980">
        <v>0</v>
      </c>
      <c r="E1980" s="8">
        <v>1.6693599999999999E-4</v>
      </c>
      <c r="F1980" s="8">
        <v>1.8150100000000001E-4</v>
      </c>
      <c r="G1980" s="8">
        <v>1.4499000000000001E-4</v>
      </c>
      <c r="H1980" s="8">
        <v>1.43368E-4</v>
      </c>
      <c r="I1980" s="8">
        <v>1.497103E-4</v>
      </c>
      <c r="J1980" s="8">
        <v>1.543406E-4</v>
      </c>
      <c r="K1980" s="8">
        <v>1.579056E-4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243</v>
      </c>
    </row>
    <row r="1981" spans="1:18" x14ac:dyDescent="0.3">
      <c r="A1981" t="s">
        <v>259</v>
      </c>
      <c r="B1981" t="s">
        <v>428</v>
      </c>
      <c r="C1981" t="s">
        <v>339</v>
      </c>
      <c r="D1981">
        <v>0</v>
      </c>
      <c r="E1981" s="8">
        <v>1.36379E-4</v>
      </c>
      <c r="F1981" s="8">
        <v>1.5051299999999999E-4</v>
      </c>
      <c r="G1981" s="8">
        <v>1.2493000000000001E-4</v>
      </c>
      <c r="H1981" s="8">
        <v>1.2415199999999901E-4</v>
      </c>
      <c r="I1981" s="8">
        <v>1.2932429999999999E-4</v>
      </c>
      <c r="J1981" s="8">
        <v>1.3299770000000001E-4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243</v>
      </c>
    </row>
    <row r="1982" spans="1:18" x14ac:dyDescent="0.3">
      <c r="A1982" t="s">
        <v>259</v>
      </c>
      <c r="B1982" t="s">
        <v>428</v>
      </c>
      <c r="C1982" t="s">
        <v>340</v>
      </c>
      <c r="D1982">
        <v>0</v>
      </c>
      <c r="E1982" s="8">
        <v>1.11947E-4</v>
      </c>
      <c r="F1982" s="8">
        <v>1.2818000000000001E-4</v>
      </c>
      <c r="G1982" s="8">
        <v>1.05251E-4</v>
      </c>
      <c r="H1982" s="8">
        <v>1.045423E-4</v>
      </c>
      <c r="I1982" s="8">
        <v>1.0836900000000001E-4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243</v>
      </c>
    </row>
    <row r="1983" spans="1:18" x14ac:dyDescent="0.3">
      <c r="A1983" t="s">
        <v>259</v>
      </c>
      <c r="B1983" t="s">
        <v>428</v>
      </c>
      <c r="C1983" t="s">
        <v>341</v>
      </c>
      <c r="D1983">
        <v>0</v>
      </c>
      <c r="E1983" s="8">
        <v>9.0544000000000006E-5</v>
      </c>
      <c r="F1983" s="8">
        <v>1.07391E-4</v>
      </c>
      <c r="G1983" s="8">
        <v>8.7603700000000003E-5</v>
      </c>
      <c r="H1983" s="8">
        <v>8.6593099999999996E-5</v>
      </c>
      <c r="I1983" s="8">
        <v>8.9832799999999897E-5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243</v>
      </c>
    </row>
    <row r="1984" spans="1:18" x14ac:dyDescent="0.3">
      <c r="A1984" t="s">
        <v>259</v>
      </c>
      <c r="B1984" t="s">
        <v>428</v>
      </c>
      <c r="C1984" t="s">
        <v>342</v>
      </c>
      <c r="D1984">
        <v>0</v>
      </c>
      <c r="E1984" s="8">
        <v>7.1676199999999997E-5</v>
      </c>
      <c r="F1984" s="8">
        <v>8.3321799999999999E-5</v>
      </c>
      <c r="G1984" s="8">
        <v>6.7130200000000003E-5</v>
      </c>
      <c r="H1984" s="8">
        <v>6.55278E-5</v>
      </c>
      <c r="I1984" s="8">
        <v>6.7673299999999995E-5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243</v>
      </c>
    </row>
    <row r="1985" spans="1:18" x14ac:dyDescent="0.3">
      <c r="A1985" t="s">
        <v>259</v>
      </c>
      <c r="B1985" t="s">
        <v>428</v>
      </c>
      <c r="C1985" t="s">
        <v>343</v>
      </c>
      <c r="D1985">
        <v>0</v>
      </c>
      <c r="E1985" s="8">
        <v>5.3214499999999997E-5</v>
      </c>
      <c r="F1985" s="8">
        <v>5.6267999999999997E-5</v>
      </c>
      <c r="G1985" s="8">
        <v>4.1955800000000002E-5</v>
      </c>
      <c r="H1985" s="8">
        <v>4.0232499999999998E-5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243</v>
      </c>
    </row>
    <row r="1986" spans="1:18" x14ac:dyDescent="0.3">
      <c r="A1986" t="s">
        <v>259</v>
      </c>
      <c r="B1986" t="s">
        <v>428</v>
      </c>
      <c r="C1986" t="s">
        <v>284</v>
      </c>
      <c r="D1986">
        <v>1.10228634E-3</v>
      </c>
      <c r="E1986" s="8">
        <v>2.3690285000000001E-4</v>
      </c>
      <c r="F1986" s="8">
        <v>4.7807021000000001E-4</v>
      </c>
      <c r="G1986" s="8">
        <v>4.6625064999999998E-4</v>
      </c>
      <c r="H1986" s="8">
        <v>5.6703128200000002E-4</v>
      </c>
      <c r="I1986" s="8">
        <v>5.5167605907000005E-4</v>
      </c>
      <c r="J1986" s="8">
        <v>7.1383540919999996E-4</v>
      </c>
      <c r="K1986" s="8">
        <v>8.6583336482999899E-4</v>
      </c>
      <c r="L1986" s="8">
        <v>9.6825491126999999E-4</v>
      </c>
      <c r="M1986">
        <v>1.0223468449999901E-3</v>
      </c>
      <c r="N1986">
        <v>1.04353336399999E-3</v>
      </c>
      <c r="O1986">
        <v>0</v>
      </c>
      <c r="P1986">
        <v>0</v>
      </c>
      <c r="Q1986">
        <v>0</v>
      </c>
      <c r="R1986" t="s">
        <v>243</v>
      </c>
    </row>
    <row r="1987" spans="1:18" x14ac:dyDescent="0.3">
      <c r="A1987" t="s">
        <v>259</v>
      </c>
      <c r="B1987" t="s">
        <v>428</v>
      </c>
      <c r="C1987" t="s">
        <v>285</v>
      </c>
      <c r="D1987">
        <v>3.5864499999999902E-3</v>
      </c>
      <c r="E1987">
        <v>2.6827546000000001E-3</v>
      </c>
      <c r="F1987">
        <v>4.89236709999999E-3</v>
      </c>
      <c r="G1987">
        <v>5.0305243000000003E-3</v>
      </c>
      <c r="H1987">
        <v>4.41655379999999E-3</v>
      </c>
      <c r="I1987">
        <v>4.6596741329999903E-3</v>
      </c>
      <c r="J1987">
        <v>4.6452682385999897E-3</v>
      </c>
      <c r="K1987">
        <v>4.4451023234999996E-3</v>
      </c>
      <c r="L1987">
        <v>4.1781254603999998E-3</v>
      </c>
      <c r="M1987">
        <v>3.8386807059999999E-3</v>
      </c>
      <c r="N1987">
        <v>3.5088294529999902E-3</v>
      </c>
      <c r="O1987">
        <v>0</v>
      </c>
      <c r="P1987">
        <v>0</v>
      </c>
      <c r="Q1987">
        <v>0</v>
      </c>
      <c r="R1987" t="s">
        <v>243</v>
      </c>
    </row>
    <row r="1988" spans="1:18" x14ac:dyDescent="0.3">
      <c r="A1988" t="s">
        <v>259</v>
      </c>
      <c r="B1988" t="s">
        <v>428</v>
      </c>
      <c r="C1988" t="s">
        <v>286</v>
      </c>
      <c r="D1988">
        <v>1.6758392E-3</v>
      </c>
      <c r="E1988" s="8">
        <v>4.4298158000000002E-4</v>
      </c>
      <c r="F1988" s="8">
        <v>8.4663706999999996E-4</v>
      </c>
      <c r="G1988" s="8">
        <v>8.7682094999999897E-4</v>
      </c>
      <c r="H1988" s="8">
        <v>8.0317415599999995E-4</v>
      </c>
      <c r="I1988" s="8">
        <v>9.9101235619999993E-4</v>
      </c>
      <c r="J1988">
        <v>1.2140782332999899E-3</v>
      </c>
      <c r="K1988">
        <v>1.3899201635E-3</v>
      </c>
      <c r="L1988">
        <v>1.4759704994599899E-3</v>
      </c>
      <c r="M1988">
        <v>1.5179383479999901E-3</v>
      </c>
      <c r="N1988">
        <v>1.5315105189999999E-3</v>
      </c>
      <c r="O1988">
        <v>0</v>
      </c>
      <c r="P1988">
        <v>0</v>
      </c>
      <c r="Q1988">
        <v>0</v>
      </c>
      <c r="R1988" t="s">
        <v>243</v>
      </c>
    </row>
    <row r="1989" spans="1:18" x14ac:dyDescent="0.3">
      <c r="A1989" t="s">
        <v>259</v>
      </c>
      <c r="B1989" t="s">
        <v>428</v>
      </c>
      <c r="C1989" t="s">
        <v>287</v>
      </c>
      <c r="D1989">
        <v>1.9827842000000001E-3</v>
      </c>
      <c r="E1989" s="8">
        <v>5.9121578999999996E-4</v>
      </c>
      <c r="F1989">
        <v>1.09947047999999E-3</v>
      </c>
      <c r="G1989">
        <v>1.1226425799999999E-3</v>
      </c>
      <c r="H1989">
        <v>1.04229954E-3</v>
      </c>
      <c r="I1989">
        <v>1.2401623724000001E-3</v>
      </c>
      <c r="J1989">
        <v>1.4908235141999999E-3</v>
      </c>
      <c r="K1989">
        <v>1.7020909863000001E-3</v>
      </c>
      <c r="L1989">
        <v>1.8058904180499899E-3</v>
      </c>
      <c r="M1989">
        <v>1.8392305350000001E-3</v>
      </c>
      <c r="N1989">
        <v>1.822140776E-3</v>
      </c>
      <c r="O1989">
        <v>0</v>
      </c>
      <c r="P1989">
        <v>0</v>
      </c>
      <c r="Q1989">
        <v>0</v>
      </c>
      <c r="R1989" t="s">
        <v>243</v>
      </c>
    </row>
    <row r="1990" spans="1:18" x14ac:dyDescent="0.3">
      <c r="A1990" t="s">
        <v>259</v>
      </c>
      <c r="B1990" t="s">
        <v>428</v>
      </c>
      <c r="C1990" t="s">
        <v>288</v>
      </c>
      <c r="D1990">
        <v>2.2189234E-3</v>
      </c>
      <c r="E1990" s="8">
        <v>7.5412980000000003E-4</v>
      </c>
      <c r="F1990">
        <v>1.34282277E-3</v>
      </c>
      <c r="G1990">
        <v>1.32913449E-3</v>
      </c>
      <c r="H1990">
        <v>1.2450520349999901E-3</v>
      </c>
      <c r="I1990">
        <v>1.484176393E-3</v>
      </c>
      <c r="J1990">
        <v>1.7644208235999899E-3</v>
      </c>
      <c r="K1990">
        <v>1.9801049041000001E-3</v>
      </c>
      <c r="L1990">
        <v>2.0657937592599902E-3</v>
      </c>
      <c r="M1990">
        <v>2.061000515E-3</v>
      </c>
      <c r="N1990">
        <v>2.0242449850000001E-3</v>
      </c>
      <c r="O1990">
        <v>0</v>
      </c>
      <c r="P1990">
        <v>0</v>
      </c>
      <c r="Q1990">
        <v>0</v>
      </c>
      <c r="R1990" t="s">
        <v>243</v>
      </c>
    </row>
    <row r="1991" spans="1:18" x14ac:dyDescent="0.3">
      <c r="A1991" t="s">
        <v>259</v>
      </c>
      <c r="B1991" t="s">
        <v>428</v>
      </c>
      <c r="C1991" t="s">
        <v>289</v>
      </c>
      <c r="D1991">
        <v>2.4281735999999998E-3</v>
      </c>
      <c r="E1991" s="8">
        <v>8.9737129999999999E-4</v>
      </c>
      <c r="F1991">
        <v>1.5913832999999999E-3</v>
      </c>
      <c r="G1991">
        <v>1.5352567000000001E-3</v>
      </c>
      <c r="H1991">
        <v>1.4653840509999999E-3</v>
      </c>
      <c r="I1991">
        <v>1.7288883413E-3</v>
      </c>
      <c r="J1991">
        <v>2.0318396876000001E-3</v>
      </c>
      <c r="K1991">
        <v>2.2218555422999901E-3</v>
      </c>
      <c r="L1991">
        <v>2.2832405027099901E-3</v>
      </c>
      <c r="M1991">
        <v>2.277763961E-3</v>
      </c>
      <c r="N1991">
        <v>2.2141514250000002E-3</v>
      </c>
      <c r="O1991">
        <v>0</v>
      </c>
      <c r="P1991">
        <v>0</v>
      </c>
      <c r="Q1991">
        <v>0</v>
      </c>
      <c r="R1991" t="s">
        <v>243</v>
      </c>
    </row>
    <row r="1992" spans="1:18" x14ac:dyDescent="0.3">
      <c r="A1992" t="s">
        <v>259</v>
      </c>
      <c r="B1992" t="s">
        <v>428</v>
      </c>
      <c r="C1992" t="s">
        <v>290</v>
      </c>
      <c r="D1992">
        <v>2.6316693999999998E-3</v>
      </c>
      <c r="E1992">
        <v>1.0575866999999999E-3</v>
      </c>
      <c r="F1992">
        <v>1.8317917E-3</v>
      </c>
      <c r="G1992">
        <v>1.7997816000000001E-3</v>
      </c>
      <c r="H1992">
        <v>1.7220895589999999E-3</v>
      </c>
      <c r="I1992">
        <v>1.9943423506999999E-3</v>
      </c>
      <c r="J1992">
        <v>2.2771652076999998E-3</v>
      </c>
      <c r="K1992">
        <v>2.4806220087999998E-3</v>
      </c>
      <c r="L1992">
        <v>2.529257543E-3</v>
      </c>
      <c r="M1992">
        <v>2.4782017890000001E-3</v>
      </c>
      <c r="N1992">
        <v>2.3955030989999998E-3</v>
      </c>
      <c r="O1992">
        <v>0</v>
      </c>
      <c r="P1992">
        <v>0</v>
      </c>
      <c r="Q1992">
        <v>0</v>
      </c>
      <c r="R1992" t="s">
        <v>243</v>
      </c>
    </row>
    <row r="1993" spans="1:18" x14ac:dyDescent="0.3">
      <c r="A1993" t="s">
        <v>259</v>
      </c>
      <c r="B1993" t="s">
        <v>428</v>
      </c>
      <c r="C1993" t="s">
        <v>291</v>
      </c>
      <c r="D1993">
        <v>2.8377747000000002E-3</v>
      </c>
      <c r="E1993">
        <v>1.2533644E-3</v>
      </c>
      <c r="F1993">
        <v>2.1268565999999901E-3</v>
      </c>
      <c r="G1993">
        <v>2.1158953000000001E-3</v>
      </c>
      <c r="H1993">
        <v>2.0032672699999898E-3</v>
      </c>
      <c r="I1993">
        <v>2.3126626653E-3</v>
      </c>
      <c r="J1993">
        <v>2.6048680218999898E-3</v>
      </c>
      <c r="K1993">
        <v>2.7655730019999999E-3</v>
      </c>
      <c r="L1993">
        <v>2.7812480724000001E-3</v>
      </c>
      <c r="M1993">
        <v>2.69973087199999E-3</v>
      </c>
      <c r="N1993">
        <v>2.5790113770000002E-3</v>
      </c>
      <c r="O1993">
        <v>0</v>
      </c>
      <c r="P1993">
        <v>0</v>
      </c>
      <c r="Q1993">
        <v>0</v>
      </c>
      <c r="R1993" t="s">
        <v>243</v>
      </c>
    </row>
    <row r="1994" spans="1:18" x14ac:dyDescent="0.3">
      <c r="A1994" t="s">
        <v>259</v>
      </c>
      <c r="B1994" t="s">
        <v>428</v>
      </c>
      <c r="C1994" t="s">
        <v>292</v>
      </c>
      <c r="D1994">
        <v>3.0572154E-3</v>
      </c>
      <c r="E1994">
        <v>1.4978538E-3</v>
      </c>
      <c r="F1994">
        <v>2.6060573999999999E-3</v>
      </c>
      <c r="G1994">
        <v>2.6334587999999998E-3</v>
      </c>
      <c r="H1994">
        <v>2.41616210299999E-3</v>
      </c>
      <c r="I1994">
        <v>2.7299678166000001E-3</v>
      </c>
      <c r="J1994">
        <v>3.0076177352999999E-3</v>
      </c>
      <c r="K1994">
        <v>3.1339153912999999E-3</v>
      </c>
      <c r="L1994">
        <v>3.08988785529999E-3</v>
      </c>
      <c r="M1994">
        <v>2.9611203410000002E-3</v>
      </c>
      <c r="N1994">
        <v>2.7896823249999999E-3</v>
      </c>
      <c r="O1994">
        <v>0</v>
      </c>
      <c r="P1994">
        <v>0</v>
      </c>
      <c r="Q1994">
        <v>0</v>
      </c>
      <c r="R1994" t="s">
        <v>243</v>
      </c>
    </row>
    <row r="1995" spans="1:18" x14ac:dyDescent="0.3">
      <c r="A1995" t="s">
        <v>259</v>
      </c>
      <c r="B1995" t="s">
        <v>428</v>
      </c>
      <c r="C1995" t="s">
        <v>293</v>
      </c>
      <c r="D1995">
        <v>3.3016339999999999E-3</v>
      </c>
      <c r="E1995">
        <v>1.8520129E-3</v>
      </c>
      <c r="F1995">
        <v>3.4711332E-3</v>
      </c>
      <c r="G1995">
        <v>3.6945173000000001E-3</v>
      </c>
      <c r="H1995">
        <v>3.2547452699999901E-3</v>
      </c>
      <c r="I1995">
        <v>3.5364196628999999E-3</v>
      </c>
      <c r="J1995">
        <v>3.7017159101000001E-3</v>
      </c>
      <c r="K1995">
        <v>3.6817061759000002E-3</v>
      </c>
      <c r="L1995">
        <v>3.5469042327999998E-3</v>
      </c>
      <c r="M1995">
        <v>3.3207487199999998E-3</v>
      </c>
      <c r="N1995">
        <v>3.0834328289999998E-3</v>
      </c>
      <c r="O1995">
        <v>0</v>
      </c>
      <c r="P1995">
        <v>0</v>
      </c>
      <c r="Q1995">
        <v>0</v>
      </c>
      <c r="R1995" t="s">
        <v>243</v>
      </c>
    </row>
    <row r="1996" spans="1:18" x14ac:dyDescent="0.3">
      <c r="A1996" t="s">
        <v>259</v>
      </c>
      <c r="B1996" t="s">
        <v>428</v>
      </c>
      <c r="C1996" t="s">
        <v>344</v>
      </c>
      <c r="D1996">
        <v>0</v>
      </c>
      <c r="E1996" s="8">
        <v>9.0251600000000002E-5</v>
      </c>
      <c r="F1996" s="8">
        <v>8.0595999999999999E-5</v>
      </c>
      <c r="G1996" s="8">
        <v>5.9004500000000001E-5</v>
      </c>
      <c r="H1996" s="8">
        <v>6.4603099999999998E-5</v>
      </c>
      <c r="I1996" s="8">
        <v>6.2753200000000001E-5</v>
      </c>
      <c r="J1996" s="8">
        <v>6.6495799999999994E-5</v>
      </c>
      <c r="K1996" s="8">
        <v>6.9443269999999998E-5</v>
      </c>
      <c r="L1996" s="8">
        <v>7.0775899999999994E-5</v>
      </c>
      <c r="M1996" s="8">
        <v>7.0520699999999896E-5</v>
      </c>
      <c r="N1996" s="8">
        <v>6.9657499999999995E-5</v>
      </c>
      <c r="O1996">
        <v>0</v>
      </c>
      <c r="P1996">
        <v>0</v>
      </c>
      <c r="Q1996">
        <v>0</v>
      </c>
      <c r="R1996" t="s">
        <v>243</v>
      </c>
    </row>
    <row r="1997" spans="1:18" x14ac:dyDescent="0.3">
      <c r="A1997" t="s">
        <v>259</v>
      </c>
      <c r="B1997" t="s">
        <v>428</v>
      </c>
      <c r="C1997" t="s">
        <v>345</v>
      </c>
      <c r="D1997">
        <v>0</v>
      </c>
      <c r="E1997" s="8">
        <v>8.5604399999999996E-6</v>
      </c>
      <c r="F1997" s="8">
        <v>9.24698E-6</v>
      </c>
      <c r="G1997" s="8">
        <v>7.1146200000000002E-6</v>
      </c>
      <c r="H1997" s="8">
        <v>6.7940399999999999E-6</v>
      </c>
      <c r="I1997" s="8">
        <v>6.95161999999999E-6</v>
      </c>
      <c r="J1997" s="8">
        <v>6.9474379999999902E-6</v>
      </c>
      <c r="K1997" s="8">
        <v>6.9346669999999996E-6</v>
      </c>
      <c r="L1997" s="8">
        <v>6.8231400000000002E-6</v>
      </c>
      <c r="M1997" s="8">
        <v>6.6431199999999997E-6</v>
      </c>
      <c r="N1997" s="8">
        <v>6.4598200000000001E-6</v>
      </c>
      <c r="O1997">
        <v>0</v>
      </c>
      <c r="P1997">
        <v>0</v>
      </c>
      <c r="Q1997">
        <v>0</v>
      </c>
      <c r="R1997" t="s">
        <v>243</v>
      </c>
    </row>
    <row r="1998" spans="1:18" x14ac:dyDescent="0.3">
      <c r="A1998" t="s">
        <v>259</v>
      </c>
      <c r="B1998" t="s">
        <v>428</v>
      </c>
      <c r="C1998" t="s">
        <v>346</v>
      </c>
      <c r="D1998">
        <v>0</v>
      </c>
      <c r="E1998" s="8">
        <v>5.4124099999999999E-5</v>
      </c>
      <c r="F1998" s="8">
        <v>5.2519000000000003E-5</v>
      </c>
      <c r="G1998" s="8">
        <v>3.89325E-5</v>
      </c>
      <c r="H1998" s="8">
        <v>3.8390699999999998E-5</v>
      </c>
      <c r="I1998" s="8">
        <v>4.0426580000000002E-5</v>
      </c>
      <c r="J1998" s="8">
        <v>4.2055989999999998E-5</v>
      </c>
      <c r="K1998" s="8">
        <v>4.3164819999999998E-5</v>
      </c>
      <c r="L1998" s="8">
        <v>4.3339020000000001E-5</v>
      </c>
      <c r="M1998" s="8">
        <v>4.295503E-5</v>
      </c>
      <c r="N1998" s="8">
        <v>4.241791E-5</v>
      </c>
      <c r="O1998">
        <v>0</v>
      </c>
      <c r="P1998">
        <v>0</v>
      </c>
      <c r="Q1998">
        <v>0</v>
      </c>
      <c r="R1998" t="s">
        <v>243</v>
      </c>
    </row>
    <row r="1999" spans="1:18" x14ac:dyDescent="0.3">
      <c r="A1999" t="s">
        <v>259</v>
      </c>
      <c r="B1999" t="s">
        <v>428</v>
      </c>
      <c r="C1999" t="s">
        <v>347</v>
      </c>
      <c r="D1999">
        <v>0</v>
      </c>
      <c r="E1999" s="8">
        <v>4.2303499999999999E-5</v>
      </c>
      <c r="F1999" s="8">
        <v>4.2651799999999997E-5</v>
      </c>
      <c r="G1999" s="8">
        <v>3.2539500000000002E-5</v>
      </c>
      <c r="H1999" s="8">
        <v>3.2150399999999901E-5</v>
      </c>
      <c r="I1999" s="8">
        <v>3.346995E-5</v>
      </c>
      <c r="J1999" s="8">
        <v>3.4629099999999997E-5</v>
      </c>
      <c r="K1999" s="8">
        <v>3.557891E-5</v>
      </c>
      <c r="L1999" s="8">
        <v>3.577758E-5</v>
      </c>
      <c r="M1999" s="8">
        <v>3.5425919999999997E-5</v>
      </c>
      <c r="N1999" s="8">
        <v>3.4850110000000001E-5</v>
      </c>
      <c r="O1999">
        <v>0</v>
      </c>
      <c r="P1999">
        <v>0</v>
      </c>
      <c r="Q1999">
        <v>0</v>
      </c>
      <c r="R1999" t="s">
        <v>243</v>
      </c>
    </row>
    <row r="2000" spans="1:18" x14ac:dyDescent="0.3">
      <c r="A2000" t="s">
        <v>259</v>
      </c>
      <c r="B2000" t="s">
        <v>428</v>
      </c>
      <c r="C2000" t="s">
        <v>348</v>
      </c>
      <c r="D2000">
        <v>0</v>
      </c>
      <c r="E2000" s="8">
        <v>3.41051E-5</v>
      </c>
      <c r="F2000" s="8">
        <v>3.6127999999999997E-5</v>
      </c>
      <c r="G2000" s="8">
        <v>2.8595999999999999E-5</v>
      </c>
      <c r="H2000" s="8">
        <v>2.82921E-5</v>
      </c>
      <c r="I2000" s="8">
        <v>2.9494760000000002E-5</v>
      </c>
      <c r="J2000" s="8">
        <v>3.0435379999999999E-5</v>
      </c>
      <c r="K2000" s="8">
        <v>3.11513099999999E-5</v>
      </c>
      <c r="L2000" s="8">
        <v>3.1201770000000001E-5</v>
      </c>
      <c r="M2000" s="8">
        <v>3.0731259999999999E-5</v>
      </c>
      <c r="N2000" s="8">
        <v>3.0202079999999999E-5</v>
      </c>
      <c r="O2000">
        <v>0</v>
      </c>
      <c r="P2000">
        <v>0</v>
      </c>
      <c r="Q2000">
        <v>0</v>
      </c>
      <c r="R2000" t="s">
        <v>243</v>
      </c>
    </row>
    <row r="2001" spans="1:18" x14ac:dyDescent="0.3">
      <c r="A2001" t="s">
        <v>259</v>
      </c>
      <c r="B2001" t="s">
        <v>428</v>
      </c>
      <c r="C2001" t="s">
        <v>349</v>
      </c>
      <c r="D2001">
        <v>0</v>
      </c>
      <c r="E2001" s="8">
        <v>2.9078099999999999E-5</v>
      </c>
      <c r="F2001" s="8">
        <v>3.1205499999999998E-5</v>
      </c>
      <c r="G2001" s="8">
        <v>2.5485200000000001E-5</v>
      </c>
      <c r="H2001" s="8">
        <v>2.5340699999999999E-5</v>
      </c>
      <c r="I2001" s="8">
        <v>2.6352839999999999E-5</v>
      </c>
      <c r="J2001" s="8">
        <v>2.7126389999999899E-5</v>
      </c>
      <c r="K2001" s="8">
        <v>2.7575189999999999E-5</v>
      </c>
      <c r="L2001" s="8">
        <v>2.7520590000000001E-5</v>
      </c>
      <c r="M2001" s="8">
        <v>2.7168059999999999E-5</v>
      </c>
      <c r="N2001" s="8">
        <v>2.6649879999999999E-5</v>
      </c>
      <c r="O2001">
        <v>0</v>
      </c>
      <c r="P2001">
        <v>0</v>
      </c>
      <c r="Q2001">
        <v>0</v>
      </c>
      <c r="R2001" t="s">
        <v>243</v>
      </c>
    </row>
    <row r="2002" spans="1:18" x14ac:dyDescent="0.3">
      <c r="A2002" t="s">
        <v>259</v>
      </c>
      <c r="B2002" t="s">
        <v>428</v>
      </c>
      <c r="C2002" t="s">
        <v>350</v>
      </c>
      <c r="D2002">
        <v>0</v>
      </c>
      <c r="E2002" s="8">
        <v>2.4881499999999999E-5</v>
      </c>
      <c r="F2002" s="8">
        <v>2.75136E-5</v>
      </c>
      <c r="G2002" s="8">
        <v>2.2314E-5</v>
      </c>
      <c r="H2002" s="8">
        <v>2.2176149999999999E-5</v>
      </c>
      <c r="I2002" s="8">
        <v>2.294987E-5</v>
      </c>
      <c r="J2002" s="8">
        <v>2.3434510000000001E-5</v>
      </c>
      <c r="K2002" s="8">
        <v>2.3855359999999999E-5</v>
      </c>
      <c r="L2002" s="8">
        <v>2.3791949999999998E-5</v>
      </c>
      <c r="M2002" s="8">
        <v>2.33740199999999E-5</v>
      </c>
      <c r="N2002" s="8">
        <v>2.2933289999999999E-5</v>
      </c>
      <c r="O2002">
        <v>0</v>
      </c>
      <c r="P2002">
        <v>0</v>
      </c>
      <c r="Q2002">
        <v>0</v>
      </c>
      <c r="R2002" t="s">
        <v>243</v>
      </c>
    </row>
    <row r="2003" spans="1:18" x14ac:dyDescent="0.3">
      <c r="A2003" t="s">
        <v>259</v>
      </c>
      <c r="B2003" t="s">
        <v>428</v>
      </c>
      <c r="C2003" t="s">
        <v>351</v>
      </c>
      <c r="D2003">
        <v>0</v>
      </c>
      <c r="E2003" s="8">
        <v>2.10391E-5</v>
      </c>
      <c r="F2003" s="8">
        <v>2.3945299999999999E-5</v>
      </c>
      <c r="G2003" s="8">
        <v>1.93456E-5</v>
      </c>
      <c r="H2003" s="8">
        <v>1.9133240000000001E-5</v>
      </c>
      <c r="I2003" s="8">
        <v>1.9816050000000001E-5</v>
      </c>
      <c r="J2003" s="8">
        <v>2.019211E-5</v>
      </c>
      <c r="K2003" s="8">
        <v>2.043098E-5</v>
      </c>
      <c r="L2003" s="8">
        <v>2.0322869999999999E-5</v>
      </c>
      <c r="M2003" s="8">
        <v>1.9947609999999999E-5</v>
      </c>
      <c r="N2003" s="8">
        <v>1.9524089999999899E-5</v>
      </c>
      <c r="O2003">
        <v>0</v>
      </c>
      <c r="P2003">
        <v>0</v>
      </c>
      <c r="Q2003">
        <v>0</v>
      </c>
      <c r="R2003" t="s">
        <v>243</v>
      </c>
    </row>
    <row r="2004" spans="1:18" x14ac:dyDescent="0.3">
      <c r="A2004" t="s">
        <v>259</v>
      </c>
      <c r="B2004" t="s">
        <v>428</v>
      </c>
      <c r="C2004" t="s">
        <v>352</v>
      </c>
      <c r="D2004">
        <v>0</v>
      </c>
      <c r="E2004" s="8">
        <v>1.74854E-5</v>
      </c>
      <c r="F2004" s="8">
        <v>1.9610899999999999E-5</v>
      </c>
      <c r="G2004" s="8">
        <v>1.5718300000000002E-5</v>
      </c>
      <c r="H2004" s="8">
        <v>1.5351869999999999E-5</v>
      </c>
      <c r="I2004" s="8">
        <v>1.582764E-5</v>
      </c>
      <c r="J2004" s="8">
        <v>1.6067509999999999E-5</v>
      </c>
      <c r="K2004" s="8">
        <v>1.62251499999999E-5</v>
      </c>
      <c r="L2004" s="8">
        <v>1.6064450000000002E-5</v>
      </c>
      <c r="M2004" s="8">
        <v>1.57399499999999E-5</v>
      </c>
      <c r="N2004" s="8">
        <v>1.5359519999999999E-5</v>
      </c>
      <c r="O2004">
        <v>0</v>
      </c>
      <c r="P2004">
        <v>0</v>
      </c>
      <c r="Q2004">
        <v>0</v>
      </c>
      <c r="R2004" t="s">
        <v>243</v>
      </c>
    </row>
    <row r="2005" spans="1:18" x14ac:dyDescent="0.3">
      <c r="A2005" t="s">
        <v>259</v>
      </c>
      <c r="B2005" t="s">
        <v>428</v>
      </c>
      <c r="C2005" t="s">
        <v>353</v>
      </c>
      <c r="D2005">
        <v>0</v>
      </c>
      <c r="E2005" s="8">
        <v>1.38076E-5</v>
      </c>
      <c r="F2005" s="8">
        <v>1.4386899999999999E-5</v>
      </c>
      <c r="G2005" s="8">
        <v>1.0872200000000001E-5</v>
      </c>
      <c r="H2005" s="8">
        <v>1.043177E-5</v>
      </c>
      <c r="I2005" s="8">
        <v>1.0671209999999999E-5</v>
      </c>
      <c r="J2005" s="8">
        <v>1.0717429999999901E-5</v>
      </c>
      <c r="K2005" s="8">
        <v>1.071609E-5</v>
      </c>
      <c r="L2005" s="8">
        <v>1.0563100000000001E-5</v>
      </c>
      <c r="M2005" s="8">
        <v>1.0292579999999901E-5</v>
      </c>
      <c r="N2005" s="8">
        <v>1.0021090000000001E-5</v>
      </c>
      <c r="O2005">
        <v>0</v>
      </c>
      <c r="P2005">
        <v>0</v>
      </c>
      <c r="Q2005">
        <v>0</v>
      </c>
      <c r="R2005" t="s">
        <v>243</v>
      </c>
    </row>
    <row r="2006" spans="1:18" x14ac:dyDescent="0.3">
      <c r="A2006" t="s">
        <v>259</v>
      </c>
      <c r="B2006" t="s">
        <v>428</v>
      </c>
      <c r="C2006" t="s">
        <v>294</v>
      </c>
      <c r="D2006" s="8">
        <v>2.1940349999999999E-4</v>
      </c>
      <c r="E2006" s="8">
        <v>7.3321080000000004E-5</v>
      </c>
      <c r="F2006" s="8">
        <v>7.3288500000000001E-5</v>
      </c>
      <c r="G2006" s="8">
        <v>7.1483779999999993E-5</v>
      </c>
      <c r="H2006" s="8">
        <v>8.8051766999999999E-5</v>
      </c>
      <c r="I2006" s="8">
        <v>8.5362379099999995E-5</v>
      </c>
      <c r="J2006" s="8">
        <v>1.2307018429999901E-4</v>
      </c>
      <c r="K2006" s="8">
        <v>1.608868782E-4</v>
      </c>
      <c r="L2006" s="8">
        <v>1.8950630280000001E-4</v>
      </c>
      <c r="M2006" s="8">
        <v>2.104574196E-4</v>
      </c>
      <c r="N2006" s="8">
        <v>2.2621071249999999E-4</v>
      </c>
      <c r="O2006">
        <v>0</v>
      </c>
      <c r="P2006">
        <v>0</v>
      </c>
      <c r="Q2006">
        <v>0</v>
      </c>
      <c r="R2006" t="s">
        <v>243</v>
      </c>
    </row>
    <row r="2007" spans="1:18" x14ac:dyDescent="0.3">
      <c r="A2007" t="s">
        <v>259</v>
      </c>
      <c r="B2007" t="s">
        <v>428</v>
      </c>
      <c r="C2007" t="s">
        <v>295</v>
      </c>
      <c r="D2007" s="8">
        <v>8.8314100000000005E-4</v>
      </c>
      <c r="E2007">
        <v>1.0057276000000001E-3</v>
      </c>
      <c r="F2007" s="8">
        <v>8.9238399999999997E-4</v>
      </c>
      <c r="G2007" s="8">
        <v>9.7853299999999996E-4</v>
      </c>
      <c r="H2007" s="8">
        <v>8.7694247499999899E-4</v>
      </c>
      <c r="I2007">
        <v>1.001716912E-3</v>
      </c>
      <c r="J2007">
        <v>1.14751504799999E-3</v>
      </c>
      <c r="K2007">
        <v>1.2239528219999999E-3</v>
      </c>
      <c r="L2007">
        <v>1.2285200040000001E-3</v>
      </c>
      <c r="M2007">
        <v>1.19570978299999E-3</v>
      </c>
      <c r="N2007">
        <v>1.1582208749999999E-3</v>
      </c>
      <c r="O2007">
        <v>0</v>
      </c>
      <c r="P2007">
        <v>0</v>
      </c>
      <c r="Q2007">
        <v>0</v>
      </c>
      <c r="R2007" t="s">
        <v>243</v>
      </c>
    </row>
    <row r="2008" spans="1:18" x14ac:dyDescent="0.3">
      <c r="A2008" t="s">
        <v>259</v>
      </c>
      <c r="B2008" t="s">
        <v>428</v>
      </c>
      <c r="C2008" t="s">
        <v>296</v>
      </c>
      <c r="D2008" s="8">
        <v>3.486098E-4</v>
      </c>
      <c r="E2008" s="8">
        <v>1.3945841000000001E-4</v>
      </c>
      <c r="F2008" s="8">
        <v>1.317929E-4</v>
      </c>
      <c r="G2008" s="8">
        <v>1.374394E-4</v>
      </c>
      <c r="H2008" s="8">
        <v>1.27176319E-4</v>
      </c>
      <c r="I2008" s="8">
        <v>1.6124061139999901E-4</v>
      </c>
      <c r="J2008" s="8">
        <v>2.2146862099999901E-4</v>
      </c>
      <c r="K2008" s="8">
        <v>2.7324372669999998E-4</v>
      </c>
      <c r="L2008" s="8">
        <v>3.0667525489999999E-4</v>
      </c>
      <c r="M2008" s="8">
        <v>3.3366890599999998E-4</v>
      </c>
      <c r="N2008" s="8">
        <v>3.56958568E-4</v>
      </c>
      <c r="O2008">
        <v>0</v>
      </c>
      <c r="P2008">
        <v>0</v>
      </c>
      <c r="Q2008">
        <v>0</v>
      </c>
      <c r="R2008" t="s">
        <v>243</v>
      </c>
    </row>
    <row r="2009" spans="1:18" x14ac:dyDescent="0.3">
      <c r="A2009" t="s">
        <v>259</v>
      </c>
      <c r="B2009" t="s">
        <v>428</v>
      </c>
      <c r="C2009" t="s">
        <v>297</v>
      </c>
      <c r="D2009" s="8">
        <v>4.227557E-4</v>
      </c>
      <c r="E2009" s="8">
        <v>1.8827650999999999E-4</v>
      </c>
      <c r="F2009" s="8">
        <v>1.72850399999999E-4</v>
      </c>
      <c r="G2009" s="8">
        <v>1.78165999999999E-4</v>
      </c>
      <c r="H2009" s="8">
        <v>1.6761175299999999E-4</v>
      </c>
      <c r="I2009" s="8">
        <v>2.0592143700000001E-4</v>
      </c>
      <c r="J2009" s="8">
        <v>2.7885438909999998E-4</v>
      </c>
      <c r="K2009" s="8">
        <v>3.4535177149999999E-4</v>
      </c>
      <c r="L2009" s="8">
        <v>3.8929154799999998E-4</v>
      </c>
      <c r="M2009" s="8">
        <v>4.2109827399999903E-4</v>
      </c>
      <c r="N2009" s="8">
        <v>4.4329467600000001E-4</v>
      </c>
      <c r="O2009">
        <v>0</v>
      </c>
      <c r="P2009">
        <v>0</v>
      </c>
      <c r="Q2009">
        <v>0</v>
      </c>
      <c r="R2009" t="s">
        <v>243</v>
      </c>
    </row>
    <row r="2010" spans="1:18" x14ac:dyDescent="0.3">
      <c r="A2010" t="s">
        <v>259</v>
      </c>
      <c r="B2010" t="s">
        <v>428</v>
      </c>
      <c r="C2010" t="s">
        <v>298</v>
      </c>
      <c r="D2010" s="8">
        <v>4.8250859999999899E-4</v>
      </c>
      <c r="E2010" s="8">
        <v>2.4312552E-4</v>
      </c>
      <c r="F2010" s="8">
        <v>2.130748E-4</v>
      </c>
      <c r="G2010" s="8">
        <v>2.1309820000000001E-4</v>
      </c>
      <c r="H2010" s="8">
        <v>2.0272019499999999E-4</v>
      </c>
      <c r="I2010" s="8">
        <v>2.5113093199999998E-4</v>
      </c>
      <c r="J2010" s="8">
        <v>3.377812629E-4</v>
      </c>
      <c r="K2010" s="8">
        <v>4.1261542789999898E-4</v>
      </c>
      <c r="L2010" s="8">
        <v>4.5826801999999999E-4</v>
      </c>
      <c r="M2010" s="8">
        <v>4.8567706199999997E-4</v>
      </c>
      <c r="N2010" s="8">
        <v>5.0795351200000002E-4</v>
      </c>
      <c r="O2010">
        <v>0</v>
      </c>
      <c r="P2010">
        <v>0</v>
      </c>
      <c r="Q2010">
        <v>0</v>
      </c>
      <c r="R2010" t="s">
        <v>243</v>
      </c>
    </row>
    <row r="2011" spans="1:18" x14ac:dyDescent="0.3">
      <c r="A2011" t="s">
        <v>259</v>
      </c>
      <c r="B2011" t="s">
        <v>428</v>
      </c>
      <c r="C2011" t="s">
        <v>299</v>
      </c>
      <c r="D2011" s="8">
        <v>5.3762790000000003E-4</v>
      </c>
      <c r="E2011" s="8">
        <v>2.9240157999999998E-4</v>
      </c>
      <c r="F2011" s="8">
        <v>2.5488239999999998E-4</v>
      </c>
      <c r="G2011" s="8">
        <v>2.4862920000000001E-4</v>
      </c>
      <c r="H2011" s="8">
        <v>2.4170947300000001E-4</v>
      </c>
      <c r="I2011" s="8">
        <v>2.9779302E-4</v>
      </c>
      <c r="J2011" s="8">
        <v>3.9752086399999899E-4</v>
      </c>
      <c r="K2011" s="8">
        <v>4.7389859300000001E-4</v>
      </c>
      <c r="L2011" s="8">
        <v>5.1904933099999905E-4</v>
      </c>
      <c r="M2011" s="8">
        <v>5.5229707399999904E-4</v>
      </c>
      <c r="N2011" s="8">
        <v>5.7232254799999998E-4</v>
      </c>
      <c r="O2011">
        <v>0</v>
      </c>
      <c r="P2011">
        <v>0</v>
      </c>
      <c r="Q2011">
        <v>0</v>
      </c>
      <c r="R2011" t="s">
        <v>243</v>
      </c>
    </row>
    <row r="2012" spans="1:18" x14ac:dyDescent="0.3">
      <c r="A2012" t="s">
        <v>259</v>
      </c>
      <c r="B2012" t="s">
        <v>428</v>
      </c>
      <c r="C2012" t="s">
        <v>300</v>
      </c>
      <c r="D2012" s="8">
        <v>5.9334269999999998E-4</v>
      </c>
      <c r="E2012" s="8">
        <v>3.4870905000000002E-4</v>
      </c>
      <c r="F2012" s="8">
        <v>2.9602449999999999E-4</v>
      </c>
      <c r="G2012" s="8">
        <v>2.9522259999999997E-4</v>
      </c>
      <c r="H2012" s="8">
        <v>2.8834422099999999E-4</v>
      </c>
      <c r="I2012" s="8">
        <v>3.4997942099999999E-4</v>
      </c>
      <c r="J2012" s="8">
        <v>4.54213182E-4</v>
      </c>
      <c r="K2012" s="8">
        <v>5.4270078759999902E-4</v>
      </c>
      <c r="L2012" s="8">
        <v>5.9150513999999996E-4</v>
      </c>
      <c r="M2012" s="8">
        <v>6.1769680499999997E-4</v>
      </c>
      <c r="N2012" s="8">
        <v>6.3792626700000005E-4</v>
      </c>
      <c r="O2012">
        <v>0</v>
      </c>
      <c r="P2012">
        <v>0</v>
      </c>
      <c r="Q2012">
        <v>0</v>
      </c>
      <c r="R2012" t="s">
        <v>243</v>
      </c>
    </row>
    <row r="2013" spans="1:18" x14ac:dyDescent="0.3">
      <c r="A2013" t="s">
        <v>259</v>
      </c>
      <c r="B2013" t="s">
        <v>428</v>
      </c>
      <c r="C2013" t="s">
        <v>301</v>
      </c>
      <c r="D2013" s="8">
        <v>6.5202860000000001E-4</v>
      </c>
      <c r="E2013" s="8">
        <v>4.1928739000000003E-4</v>
      </c>
      <c r="F2013" s="8">
        <v>3.4749889999999999E-4</v>
      </c>
      <c r="G2013" s="8">
        <v>3.524213E-4</v>
      </c>
      <c r="H2013" s="8">
        <v>3.40987246E-4</v>
      </c>
      <c r="I2013" s="8">
        <v>4.1504672999999998E-4</v>
      </c>
      <c r="J2013" s="8">
        <v>5.3353629800000004E-4</v>
      </c>
      <c r="K2013" s="8">
        <v>6.2252605129999895E-4</v>
      </c>
      <c r="L2013" s="8">
        <v>6.70294947E-4</v>
      </c>
      <c r="M2013" s="8">
        <v>6.94673638999999E-4</v>
      </c>
      <c r="N2013" s="8">
        <v>7.0902739900000002E-4</v>
      </c>
      <c r="O2013">
        <v>0</v>
      </c>
      <c r="P2013">
        <v>0</v>
      </c>
      <c r="Q2013">
        <v>0</v>
      </c>
      <c r="R2013" t="s">
        <v>243</v>
      </c>
    </row>
    <row r="2014" spans="1:18" x14ac:dyDescent="0.3">
      <c r="A2014" t="s">
        <v>259</v>
      </c>
      <c r="B2014" t="s">
        <v>428</v>
      </c>
      <c r="C2014" t="s">
        <v>302</v>
      </c>
      <c r="D2014" s="8">
        <v>7.1707629999999997E-4</v>
      </c>
      <c r="E2014" s="8">
        <v>5.1030499999999996E-4</v>
      </c>
      <c r="F2014" s="8">
        <v>4.3348269999999998E-4</v>
      </c>
      <c r="G2014" s="8">
        <v>4.4984979999999902E-4</v>
      </c>
      <c r="H2014" s="8">
        <v>4.2140121099999998E-4</v>
      </c>
      <c r="I2014" s="8">
        <v>5.0433612300000003E-4</v>
      </c>
      <c r="J2014" s="8">
        <v>6.3663806E-4</v>
      </c>
      <c r="K2014" s="8">
        <v>7.3316703469999901E-4</v>
      </c>
      <c r="L2014" s="8">
        <v>7.7396827199999998E-4</v>
      </c>
      <c r="M2014" s="8">
        <v>7.92557587999999E-4</v>
      </c>
      <c r="N2014" s="8">
        <v>7.9716938200000002E-4</v>
      </c>
      <c r="O2014">
        <v>0</v>
      </c>
      <c r="P2014">
        <v>0</v>
      </c>
      <c r="Q2014">
        <v>0</v>
      </c>
      <c r="R2014" t="s">
        <v>243</v>
      </c>
    </row>
    <row r="2015" spans="1:18" x14ac:dyDescent="0.3">
      <c r="A2015" t="s">
        <v>259</v>
      </c>
      <c r="B2015" t="s">
        <v>428</v>
      </c>
      <c r="C2015" t="s">
        <v>303</v>
      </c>
      <c r="D2015" s="8">
        <v>7.924815E-4</v>
      </c>
      <c r="E2015" s="8">
        <v>6.4827429999999903E-4</v>
      </c>
      <c r="F2015" s="8">
        <v>5.968576E-4</v>
      </c>
      <c r="G2015" s="8">
        <v>6.6617409999999901E-4</v>
      </c>
      <c r="H2015" s="8">
        <v>5.9731644300000004E-4</v>
      </c>
      <c r="I2015" s="8">
        <v>6.9222124600000002E-4</v>
      </c>
      <c r="J2015" s="8">
        <v>8.3116474599999996E-4</v>
      </c>
      <c r="K2015" s="8">
        <v>9.1627627600000003E-4</v>
      </c>
      <c r="L2015" s="8">
        <v>9.4487039700000004E-4</v>
      </c>
      <c r="M2015" s="8">
        <v>9.4208077800000001E-4</v>
      </c>
      <c r="N2015" s="8">
        <v>9.32631234E-4</v>
      </c>
      <c r="O2015">
        <v>0</v>
      </c>
      <c r="P2015">
        <v>0</v>
      </c>
      <c r="Q2015">
        <v>0</v>
      </c>
      <c r="R2015" t="s">
        <v>243</v>
      </c>
    </row>
    <row r="2016" spans="1:18" x14ac:dyDescent="0.3">
      <c r="A2016" t="s">
        <v>259</v>
      </c>
      <c r="B2016" t="s">
        <v>428</v>
      </c>
      <c r="C2016" t="s">
        <v>304</v>
      </c>
      <c r="D2016" s="8">
        <v>1.7998800000000001E-4</v>
      </c>
      <c r="E2016" s="8">
        <v>9.5595900000000004E-5</v>
      </c>
      <c r="F2016" s="8">
        <v>8.4692199999999995E-5</v>
      </c>
      <c r="G2016" s="8">
        <v>9.0481099999999997E-5</v>
      </c>
      <c r="H2016" s="8">
        <v>1.900475E-4</v>
      </c>
      <c r="I2016" s="8">
        <v>1.75291099999999E-4</v>
      </c>
      <c r="J2016" s="8">
        <v>2.1815260000000001E-4</v>
      </c>
      <c r="K2016" s="8">
        <v>2.818578E-4</v>
      </c>
      <c r="L2016" s="8">
        <v>3.3118189999999998E-4</v>
      </c>
      <c r="M2016" s="8">
        <v>3.6197360000000001E-4</v>
      </c>
      <c r="N2016" s="8">
        <v>3.7975070000000001E-4</v>
      </c>
      <c r="O2016">
        <v>0</v>
      </c>
      <c r="P2016">
        <v>0</v>
      </c>
      <c r="Q2016">
        <v>0</v>
      </c>
      <c r="R2016" t="s">
        <v>243</v>
      </c>
    </row>
    <row r="2017" spans="1:18" x14ac:dyDescent="0.3">
      <c r="A2017" t="s">
        <v>259</v>
      </c>
      <c r="B2017" t="s">
        <v>428</v>
      </c>
      <c r="C2017" t="s">
        <v>305</v>
      </c>
      <c r="D2017" s="8">
        <v>5.2480400000000003E-4</v>
      </c>
      <c r="E2017" s="8">
        <v>9.7675400000000003E-4</v>
      </c>
      <c r="F2017" s="8">
        <v>7.3565900000000005E-4</v>
      </c>
      <c r="G2017" s="8">
        <v>8.1694899999999997E-4</v>
      </c>
      <c r="H2017" s="8">
        <v>8.4169300000000002E-4</v>
      </c>
      <c r="I2017" s="8">
        <v>8.6401399999999997E-4</v>
      </c>
      <c r="J2017" s="8">
        <v>8.6757499999999999E-4</v>
      </c>
      <c r="K2017" s="8">
        <v>8.6836399999999897E-4</v>
      </c>
      <c r="L2017" s="8">
        <v>8.5485800000000001E-4</v>
      </c>
      <c r="M2017" s="8">
        <v>8.3256200000000002E-4</v>
      </c>
      <c r="N2017" s="8">
        <v>8.0945300000000002E-4</v>
      </c>
      <c r="O2017">
        <v>0</v>
      </c>
      <c r="P2017">
        <v>0</v>
      </c>
      <c r="Q2017">
        <v>0</v>
      </c>
      <c r="R2017" t="s">
        <v>243</v>
      </c>
    </row>
    <row r="2018" spans="1:18" x14ac:dyDescent="0.3">
      <c r="A2018" t="s">
        <v>259</v>
      </c>
      <c r="B2018" t="s">
        <v>428</v>
      </c>
      <c r="C2018" t="s">
        <v>306</v>
      </c>
      <c r="D2018" s="8">
        <v>2.6631000000000002E-4</v>
      </c>
      <c r="E2018" s="8">
        <v>1.7700600000000001E-4</v>
      </c>
      <c r="F2018" s="8">
        <v>1.47639E-4</v>
      </c>
      <c r="G2018" s="8">
        <v>1.6701500000000001E-4</v>
      </c>
      <c r="H2018" s="8">
        <v>2.5383799999999999E-4</v>
      </c>
      <c r="I2018" s="8">
        <v>2.8938789999999998E-4</v>
      </c>
      <c r="J2018" s="8">
        <v>3.4093519999999899E-4</v>
      </c>
      <c r="K2018" s="8">
        <v>4.0882620000000001E-4</v>
      </c>
      <c r="L2018" s="8">
        <v>4.5107989999999999E-4</v>
      </c>
      <c r="M2018" s="8">
        <v>4.7538490000000001E-4</v>
      </c>
      <c r="N2018" s="8">
        <v>4.8762920000000002E-4</v>
      </c>
      <c r="O2018">
        <v>0</v>
      </c>
      <c r="P2018">
        <v>0</v>
      </c>
      <c r="Q2018">
        <v>0</v>
      </c>
      <c r="R2018" t="s">
        <v>243</v>
      </c>
    </row>
    <row r="2019" spans="1:18" x14ac:dyDescent="0.3">
      <c r="A2019" t="s">
        <v>259</v>
      </c>
      <c r="B2019" t="s">
        <v>428</v>
      </c>
      <c r="C2019" t="s">
        <v>307</v>
      </c>
      <c r="D2019" s="8">
        <v>3.1056699999999998E-4</v>
      </c>
      <c r="E2019" s="8">
        <v>2.34692E-4</v>
      </c>
      <c r="F2019" s="8">
        <v>1.8980599999999999E-4</v>
      </c>
      <c r="G2019" s="8">
        <v>2.1164600000000001E-4</v>
      </c>
      <c r="H2019" s="8">
        <v>3.1511400000000002E-4</v>
      </c>
      <c r="I2019" s="8">
        <v>3.479981E-4</v>
      </c>
      <c r="J2019" s="8">
        <v>4.0199110000000001E-4</v>
      </c>
      <c r="K2019" s="8">
        <v>4.7451159999999999E-4</v>
      </c>
      <c r="L2019" s="8">
        <v>5.163244E-4</v>
      </c>
      <c r="M2019" s="8">
        <v>5.3524499999999995E-4</v>
      </c>
      <c r="N2019" s="8">
        <v>5.394849E-4</v>
      </c>
      <c r="O2019">
        <v>0</v>
      </c>
      <c r="P2019">
        <v>0</v>
      </c>
      <c r="Q2019">
        <v>0</v>
      </c>
      <c r="R2019" t="s">
        <v>243</v>
      </c>
    </row>
    <row r="2020" spans="1:18" x14ac:dyDescent="0.3">
      <c r="A2020" t="s">
        <v>259</v>
      </c>
      <c r="B2020" t="s">
        <v>428</v>
      </c>
      <c r="C2020" t="s">
        <v>308</v>
      </c>
      <c r="D2020" s="8">
        <v>3.4371500000000003E-4</v>
      </c>
      <c r="E2020" s="8">
        <v>2.9728799999999999E-4</v>
      </c>
      <c r="F2020" s="8">
        <v>2.29657E-4</v>
      </c>
      <c r="G2020" s="8">
        <v>2.4848399999999999E-4</v>
      </c>
      <c r="H2020" s="8">
        <v>3.6343999999999998E-4</v>
      </c>
      <c r="I2020" s="8">
        <v>4.016755E-4</v>
      </c>
      <c r="J2020" s="8">
        <v>4.579311E-4</v>
      </c>
      <c r="K2020" s="8">
        <v>5.270893E-4</v>
      </c>
      <c r="L2020" s="8">
        <v>5.6167549999999896E-4</v>
      </c>
      <c r="M2020" s="8">
        <v>5.7178999999999997E-4</v>
      </c>
      <c r="N2020" s="8">
        <v>5.7177729999999998E-4</v>
      </c>
      <c r="O2020">
        <v>0</v>
      </c>
      <c r="P2020">
        <v>0</v>
      </c>
      <c r="Q2020">
        <v>0</v>
      </c>
      <c r="R2020" t="s">
        <v>243</v>
      </c>
    </row>
    <row r="2021" spans="1:18" x14ac:dyDescent="0.3">
      <c r="A2021" t="s">
        <v>259</v>
      </c>
      <c r="B2021" t="s">
        <v>428</v>
      </c>
      <c r="C2021" t="s">
        <v>309</v>
      </c>
      <c r="D2021" s="8">
        <v>3.7246000000000002E-4</v>
      </c>
      <c r="E2021" s="8">
        <v>3.5164799999999998E-4</v>
      </c>
      <c r="F2021" s="8">
        <v>2.69638E-4</v>
      </c>
      <c r="G2021" s="8">
        <v>2.84677E-4</v>
      </c>
      <c r="H2021" s="8">
        <v>4.1265099999999999E-4</v>
      </c>
      <c r="I2021" s="8">
        <v>4.5197899999999998E-4</v>
      </c>
      <c r="J2021" s="8">
        <v>5.0869589999999996E-4</v>
      </c>
      <c r="K2021" s="8">
        <v>5.6894999999999895E-4</v>
      </c>
      <c r="L2021" s="8">
        <v>5.9628899999999996E-4</v>
      </c>
      <c r="M2021" s="8">
        <v>6.0455600000000002E-4</v>
      </c>
      <c r="N2021" s="8">
        <v>5.9994900000000001E-4</v>
      </c>
      <c r="O2021">
        <v>0</v>
      </c>
      <c r="P2021">
        <v>0</v>
      </c>
      <c r="Q2021">
        <v>0</v>
      </c>
      <c r="R2021" t="s">
        <v>243</v>
      </c>
    </row>
    <row r="2022" spans="1:18" x14ac:dyDescent="0.3">
      <c r="A2022" t="s">
        <v>259</v>
      </c>
      <c r="B2022" t="s">
        <v>428</v>
      </c>
      <c r="C2022" t="s">
        <v>310</v>
      </c>
      <c r="D2022" s="8">
        <v>3.9988799999999999E-4</v>
      </c>
      <c r="E2022" s="8">
        <v>4.1170600000000002E-4</v>
      </c>
      <c r="F2022" s="8">
        <v>3.0762699999999999E-4</v>
      </c>
      <c r="G2022" s="8">
        <v>3.3029799999999997E-4</v>
      </c>
      <c r="H2022" s="8">
        <v>4.6568400000000001E-4</v>
      </c>
      <c r="I2022" s="8">
        <v>5.0266600000000003E-4</v>
      </c>
      <c r="J2022" s="8">
        <v>5.5204929999999998E-4</v>
      </c>
      <c r="K2022" s="8">
        <v>6.1044349999999996E-4</v>
      </c>
      <c r="L2022" s="8">
        <v>6.3250000000000003E-4</v>
      </c>
      <c r="M2022" s="8">
        <v>6.3281800000000005E-4</v>
      </c>
      <c r="N2022" s="8">
        <v>6.2571099999999896E-4</v>
      </c>
      <c r="O2022">
        <v>0</v>
      </c>
      <c r="P2022">
        <v>0</v>
      </c>
      <c r="Q2022">
        <v>0</v>
      </c>
      <c r="R2022" t="s">
        <v>243</v>
      </c>
    </row>
    <row r="2023" spans="1:18" x14ac:dyDescent="0.3">
      <c r="A2023" t="s">
        <v>259</v>
      </c>
      <c r="B2023" t="s">
        <v>428</v>
      </c>
      <c r="C2023" t="s">
        <v>311</v>
      </c>
      <c r="D2023" s="8">
        <v>4.2720099999999999E-4</v>
      </c>
      <c r="E2023" s="8">
        <v>4.8404299999999997E-4</v>
      </c>
      <c r="F2023" s="8">
        <v>3.5335599999999998E-4</v>
      </c>
      <c r="G2023" s="8">
        <v>3.8362200000000002E-4</v>
      </c>
      <c r="H2023" s="8">
        <v>5.1904800000000004E-4</v>
      </c>
      <c r="I2023" s="8">
        <v>5.5884000000000001E-4</v>
      </c>
      <c r="J2023" s="8">
        <v>6.0574799999999905E-4</v>
      </c>
      <c r="K2023" s="8">
        <v>6.5234519999999999E-4</v>
      </c>
      <c r="L2023" s="8">
        <v>6.6685300000000002E-4</v>
      </c>
      <c r="M2023" s="8">
        <v>6.6265699999999998E-4</v>
      </c>
      <c r="N2023" s="8">
        <v>6.5134799999999897E-4</v>
      </c>
      <c r="O2023">
        <v>0</v>
      </c>
      <c r="P2023">
        <v>0</v>
      </c>
      <c r="Q2023">
        <v>0</v>
      </c>
      <c r="R2023" t="s">
        <v>243</v>
      </c>
    </row>
    <row r="2024" spans="1:18" x14ac:dyDescent="0.3">
      <c r="A2024" t="s">
        <v>259</v>
      </c>
      <c r="B2024" t="s">
        <v>428</v>
      </c>
      <c r="C2024" t="s">
        <v>312</v>
      </c>
      <c r="D2024" s="8">
        <v>4.55885E-4</v>
      </c>
      <c r="E2024" s="8">
        <v>5.7275299999999996E-4</v>
      </c>
      <c r="F2024" s="8">
        <v>4.2554700000000002E-4</v>
      </c>
      <c r="G2024" s="8">
        <v>4.68166E-4</v>
      </c>
      <c r="H2024" s="8">
        <v>5.8948599999999996E-4</v>
      </c>
      <c r="I2024" s="8">
        <v>6.2529100000000004E-4</v>
      </c>
      <c r="J2024" s="8">
        <v>6.6558800000000005E-4</v>
      </c>
      <c r="K2024" s="8">
        <v>7.0209769999999996E-4</v>
      </c>
      <c r="L2024" s="8">
        <v>7.0642800000000005E-4</v>
      </c>
      <c r="M2024" s="8">
        <v>6.96943E-4</v>
      </c>
      <c r="N2024" s="8">
        <v>6.8121299999999996E-4</v>
      </c>
      <c r="O2024">
        <v>0</v>
      </c>
      <c r="P2024">
        <v>0</v>
      </c>
      <c r="Q2024">
        <v>0</v>
      </c>
      <c r="R2024" t="s">
        <v>243</v>
      </c>
    </row>
    <row r="2025" spans="1:18" x14ac:dyDescent="0.3">
      <c r="A2025" t="s">
        <v>259</v>
      </c>
      <c r="B2025" t="s">
        <v>428</v>
      </c>
      <c r="C2025" t="s">
        <v>313</v>
      </c>
      <c r="D2025" s="8">
        <v>4.87598E-4</v>
      </c>
      <c r="E2025" s="8">
        <v>6.9804800000000005E-4</v>
      </c>
      <c r="F2025" s="8">
        <v>5.4948900000000001E-4</v>
      </c>
      <c r="G2025" s="8">
        <v>6.31038E-4</v>
      </c>
      <c r="H2025" s="8">
        <v>7.0969000000000002E-4</v>
      </c>
      <c r="I2025" s="8">
        <v>7.3555999999999904E-4</v>
      </c>
      <c r="J2025" s="8">
        <v>7.56017E-4</v>
      </c>
      <c r="K2025" s="8">
        <v>7.7012499999999998E-4</v>
      </c>
      <c r="L2025" s="8">
        <v>7.6358799999999896E-4</v>
      </c>
      <c r="M2025" s="8">
        <v>7.45654E-4</v>
      </c>
      <c r="N2025" s="8">
        <v>7.2606999999999999E-4</v>
      </c>
      <c r="O2025">
        <v>0</v>
      </c>
      <c r="P2025">
        <v>0</v>
      </c>
      <c r="Q2025">
        <v>0</v>
      </c>
      <c r="R2025" t="s">
        <v>243</v>
      </c>
    </row>
    <row r="2026" spans="1:18" x14ac:dyDescent="0.3">
      <c r="A2026" t="s">
        <v>259</v>
      </c>
      <c r="B2026" t="s">
        <v>428</v>
      </c>
      <c r="C2026" t="s">
        <v>314</v>
      </c>
      <c r="D2026" s="8">
        <v>8.3671400000000007E-5</v>
      </c>
      <c r="E2026" s="8">
        <v>6.3931700000000003E-5</v>
      </c>
      <c r="F2026" s="8">
        <v>5.5299800000000002E-5</v>
      </c>
      <c r="G2026" s="8">
        <v>6.0175700000000001E-5</v>
      </c>
      <c r="H2026" s="8">
        <v>7.7730000000000003E-5</v>
      </c>
      <c r="I2026" s="8">
        <v>7.3567999999999998E-5</v>
      </c>
      <c r="J2026" s="8">
        <v>7.9588300000000005E-5</v>
      </c>
      <c r="K2026" s="8">
        <v>8.30843E-5</v>
      </c>
      <c r="L2026" s="8">
        <v>8.3851599999999995E-5</v>
      </c>
      <c r="M2026" s="8">
        <v>8.2914800000000001E-5</v>
      </c>
      <c r="N2026" s="8">
        <v>8.1062699999999999E-5</v>
      </c>
      <c r="O2026">
        <v>0</v>
      </c>
      <c r="P2026">
        <v>0</v>
      </c>
      <c r="Q2026">
        <v>0</v>
      </c>
      <c r="R2026" t="s">
        <v>243</v>
      </c>
    </row>
    <row r="2027" spans="1:18" x14ac:dyDescent="0.3">
      <c r="A2027" t="s">
        <v>259</v>
      </c>
      <c r="B2027" t="s">
        <v>428</v>
      </c>
      <c r="C2027" t="s">
        <v>315</v>
      </c>
      <c r="D2027" s="8">
        <v>1.49691E-4</v>
      </c>
      <c r="E2027" s="8">
        <v>1.9548300000000001E-4</v>
      </c>
      <c r="F2027" s="8">
        <v>1.4995199999999999E-4</v>
      </c>
      <c r="G2027" s="8">
        <v>1.7090599999999999E-4</v>
      </c>
      <c r="H2027" s="8">
        <v>1.5904E-4</v>
      </c>
      <c r="I2027" s="8">
        <v>1.59758E-4</v>
      </c>
      <c r="J2027" s="8">
        <v>1.59844E-4</v>
      </c>
      <c r="K2027" s="8">
        <v>1.5745399999999999E-4</v>
      </c>
      <c r="L2027" s="8">
        <v>1.53244E-4</v>
      </c>
      <c r="M2027" s="8">
        <v>1.4808399999999999E-4</v>
      </c>
      <c r="N2027" s="8">
        <v>1.42476E-4</v>
      </c>
      <c r="O2027">
        <v>0</v>
      </c>
      <c r="P2027">
        <v>0</v>
      </c>
      <c r="Q2027">
        <v>0</v>
      </c>
      <c r="R2027" t="s">
        <v>243</v>
      </c>
    </row>
    <row r="2028" spans="1:18" x14ac:dyDescent="0.3">
      <c r="A2028" t="s">
        <v>259</v>
      </c>
      <c r="B2028" t="s">
        <v>428</v>
      </c>
      <c r="C2028" t="s">
        <v>316</v>
      </c>
      <c r="D2028" s="8">
        <v>9.9534100000000006E-5</v>
      </c>
      <c r="E2028" s="8">
        <v>9.6027500000000002E-5</v>
      </c>
      <c r="F2028" s="8">
        <v>7.7314699999999993E-5</v>
      </c>
      <c r="G2028" s="8">
        <v>8.5922399999999996E-5</v>
      </c>
      <c r="H2028" s="8">
        <v>8.8232000000000005E-5</v>
      </c>
      <c r="I2028" s="8">
        <v>9.1679099999999994E-5</v>
      </c>
      <c r="J2028" s="8">
        <v>9.5752600000000002E-5</v>
      </c>
      <c r="K2028" s="8">
        <v>9.7121700000000002E-5</v>
      </c>
      <c r="L2028" s="8">
        <v>9.6471099999999999E-5</v>
      </c>
      <c r="M2028" s="8">
        <v>9.4873100000000005E-5</v>
      </c>
      <c r="N2028" s="8">
        <v>9.2706499999999997E-5</v>
      </c>
      <c r="O2028">
        <v>0</v>
      </c>
      <c r="P2028">
        <v>0</v>
      </c>
      <c r="Q2028">
        <v>0</v>
      </c>
      <c r="R2028" t="s">
        <v>243</v>
      </c>
    </row>
    <row r="2029" spans="1:18" x14ac:dyDescent="0.3">
      <c r="A2029" t="s">
        <v>259</v>
      </c>
      <c r="B2029" t="s">
        <v>428</v>
      </c>
      <c r="C2029" t="s">
        <v>317</v>
      </c>
      <c r="D2029" s="8">
        <v>1.07082E-4</v>
      </c>
      <c r="E2029" s="8">
        <v>1.1229400000000001E-4</v>
      </c>
      <c r="F2029" s="8">
        <v>8.7835099999999995E-5</v>
      </c>
      <c r="G2029" s="8">
        <v>9.6472100000000001E-5</v>
      </c>
      <c r="H2029" s="8">
        <v>9.6588099999999998E-5</v>
      </c>
      <c r="I2029" s="8">
        <v>9.8904200000000001E-5</v>
      </c>
      <c r="J2029" s="8">
        <v>1.0252299999999999E-4</v>
      </c>
      <c r="K2029" s="8">
        <v>1.04021E-4</v>
      </c>
      <c r="L2029" s="8">
        <v>1.0346899999999999E-4</v>
      </c>
      <c r="M2029" s="8">
        <v>1.01653E-4</v>
      </c>
      <c r="N2029" s="8">
        <v>9.8952300000000005E-5</v>
      </c>
      <c r="O2029">
        <v>0</v>
      </c>
      <c r="P2029">
        <v>0</v>
      </c>
      <c r="Q2029">
        <v>0</v>
      </c>
      <c r="R2029" t="s">
        <v>243</v>
      </c>
    </row>
    <row r="2030" spans="1:18" x14ac:dyDescent="0.3">
      <c r="A2030" t="s">
        <v>259</v>
      </c>
      <c r="B2030" t="s">
        <v>428</v>
      </c>
      <c r="C2030" t="s">
        <v>318</v>
      </c>
      <c r="D2030" s="8">
        <v>1.1275199999999999E-4</v>
      </c>
      <c r="E2030" s="8">
        <v>1.2603000000000001E-4</v>
      </c>
      <c r="F2030" s="8">
        <v>9.5809600000000005E-5</v>
      </c>
      <c r="G2030" s="8">
        <v>1.0369099999999999E-4</v>
      </c>
      <c r="H2030" s="8">
        <v>1.02494E-4</v>
      </c>
      <c r="I2030" s="8">
        <v>1.05012E-4</v>
      </c>
      <c r="J2030" s="8">
        <v>1.08465E-4</v>
      </c>
      <c r="K2030" s="8">
        <v>1.0960599999999999E-4</v>
      </c>
      <c r="L2030" s="8">
        <v>1.08593E-4</v>
      </c>
      <c r="M2030" s="8">
        <v>1.06121E-4</v>
      </c>
      <c r="N2030" s="8">
        <v>1.03205E-4</v>
      </c>
      <c r="O2030">
        <v>0</v>
      </c>
      <c r="P2030">
        <v>0</v>
      </c>
      <c r="Q2030">
        <v>0</v>
      </c>
      <c r="R2030" t="s">
        <v>243</v>
      </c>
    </row>
    <row r="2031" spans="1:18" x14ac:dyDescent="0.3">
      <c r="A2031" t="s">
        <v>259</v>
      </c>
      <c r="B2031" t="s">
        <v>428</v>
      </c>
      <c r="C2031" t="s">
        <v>319</v>
      </c>
      <c r="D2031" s="8">
        <v>1.1778299999999999E-4</v>
      </c>
      <c r="E2031" s="8">
        <v>1.3563099999999999E-4</v>
      </c>
      <c r="F2031" s="8">
        <v>1.02468E-4</v>
      </c>
      <c r="G2031" s="8">
        <v>1.09855E-4</v>
      </c>
      <c r="H2031" s="8">
        <v>1.08155E-4</v>
      </c>
      <c r="I2031" s="8">
        <v>1.1048E-4</v>
      </c>
      <c r="J2031" s="8">
        <v>1.13789E-4</v>
      </c>
      <c r="K2031" s="8">
        <v>1.14194E-4</v>
      </c>
      <c r="L2031" s="8">
        <v>1.1273300000000001E-4</v>
      </c>
      <c r="M2031" s="8">
        <v>1.10432E-4</v>
      </c>
      <c r="N2031" s="8">
        <v>1.07188E-4</v>
      </c>
      <c r="O2031">
        <v>0</v>
      </c>
      <c r="P2031">
        <v>0</v>
      </c>
      <c r="Q2031">
        <v>0</v>
      </c>
      <c r="R2031" t="s">
        <v>243</v>
      </c>
    </row>
    <row r="2032" spans="1:18" x14ac:dyDescent="0.3">
      <c r="A2032" t="s">
        <v>259</v>
      </c>
      <c r="B2032" t="s">
        <v>428</v>
      </c>
      <c r="C2032" t="s">
        <v>320</v>
      </c>
      <c r="D2032" s="8">
        <v>1.2275599999999999E-4</v>
      </c>
      <c r="E2032" s="8">
        <v>1.4445899999999999E-4</v>
      </c>
      <c r="F2032" s="8">
        <v>1.07907E-4</v>
      </c>
      <c r="G2032" s="8">
        <v>1.16686E-4</v>
      </c>
      <c r="H2032" s="8">
        <v>1.14017E-4</v>
      </c>
      <c r="I2032" s="8">
        <v>1.15864E-4</v>
      </c>
      <c r="J2032" s="8">
        <v>1.18366E-4</v>
      </c>
      <c r="K2032" s="8">
        <v>1.1896300000000001E-4</v>
      </c>
      <c r="L2032" s="8">
        <v>1.1735699999999999E-4</v>
      </c>
      <c r="M2032" s="8">
        <v>1.14399E-4</v>
      </c>
      <c r="N2032" s="8">
        <v>1.11072E-4</v>
      </c>
      <c r="O2032">
        <v>0</v>
      </c>
      <c r="P2032">
        <v>0</v>
      </c>
      <c r="Q2032">
        <v>0</v>
      </c>
      <c r="R2032" t="s">
        <v>243</v>
      </c>
    </row>
    <row r="2033" spans="1:18" x14ac:dyDescent="0.3">
      <c r="A2033" t="s">
        <v>259</v>
      </c>
      <c r="B2033" t="s">
        <v>428</v>
      </c>
      <c r="C2033" t="s">
        <v>321</v>
      </c>
      <c r="D2033" s="8">
        <v>1.2795499999999999E-4</v>
      </c>
      <c r="E2033" s="8">
        <v>1.53351E-4</v>
      </c>
      <c r="F2033" s="8">
        <v>1.1364100000000001E-4</v>
      </c>
      <c r="G2033" s="8">
        <v>1.2375400000000001E-4</v>
      </c>
      <c r="H2033" s="8">
        <v>1.19801E-4</v>
      </c>
      <c r="I2033" s="8">
        <v>1.21829E-4</v>
      </c>
      <c r="J2033" s="8">
        <v>1.24196E-4</v>
      </c>
      <c r="K2033" s="8">
        <v>1.2405700000000001E-4</v>
      </c>
      <c r="L2033" s="8">
        <v>1.22065E-4</v>
      </c>
      <c r="M2033" s="8">
        <v>1.1888900000000001E-4</v>
      </c>
      <c r="N2033" s="8">
        <v>1.1514399999999999E-4</v>
      </c>
      <c r="O2033">
        <v>0</v>
      </c>
      <c r="P2033">
        <v>0</v>
      </c>
      <c r="Q2033">
        <v>0</v>
      </c>
      <c r="R2033" t="s">
        <v>243</v>
      </c>
    </row>
    <row r="2034" spans="1:18" x14ac:dyDescent="0.3">
      <c r="A2034" t="s">
        <v>259</v>
      </c>
      <c r="B2034" t="s">
        <v>428</v>
      </c>
      <c r="C2034" t="s">
        <v>322</v>
      </c>
      <c r="D2034" s="8">
        <v>1.3376600000000001E-4</v>
      </c>
      <c r="E2034" s="8">
        <v>1.6254600000000001E-4</v>
      </c>
      <c r="F2034" s="8">
        <v>1.21514E-4</v>
      </c>
      <c r="G2034" s="8">
        <v>1.33719E-4</v>
      </c>
      <c r="H2034" s="8">
        <v>1.2744699999999999E-4</v>
      </c>
      <c r="I2034" s="8">
        <v>1.2900699999999999E-4</v>
      </c>
      <c r="J2034" s="8">
        <v>1.3105500000000001E-4</v>
      </c>
      <c r="K2034" s="8">
        <v>1.3063199999999999E-4</v>
      </c>
      <c r="L2034" s="8">
        <v>1.2793099999999999E-4</v>
      </c>
      <c r="M2034" s="8">
        <v>1.24394E-4</v>
      </c>
      <c r="N2034" s="8">
        <v>1.20111E-4</v>
      </c>
      <c r="O2034">
        <v>0</v>
      </c>
      <c r="P2034">
        <v>0</v>
      </c>
      <c r="Q2034">
        <v>0</v>
      </c>
      <c r="R2034" t="s">
        <v>243</v>
      </c>
    </row>
    <row r="2035" spans="1:18" x14ac:dyDescent="0.3">
      <c r="A2035" t="s">
        <v>259</v>
      </c>
      <c r="B2035" t="s">
        <v>428</v>
      </c>
      <c r="C2035" t="s">
        <v>323</v>
      </c>
      <c r="D2035" s="8">
        <v>1.4071999999999999E-4</v>
      </c>
      <c r="E2035" s="8">
        <v>1.7366500000000001E-4</v>
      </c>
      <c r="F2035" s="8">
        <v>1.3329100000000001E-4</v>
      </c>
      <c r="G2035" s="8">
        <v>1.51051E-4</v>
      </c>
      <c r="H2035" s="8">
        <v>1.4125100000000001E-4</v>
      </c>
      <c r="I2035" s="8">
        <v>1.4185000000000001E-4</v>
      </c>
      <c r="J2035" s="8">
        <v>1.4262199999999999E-4</v>
      </c>
      <c r="K2035" s="8">
        <v>1.4073499999999999E-4</v>
      </c>
      <c r="L2035" s="8">
        <v>1.3722100000000001E-4</v>
      </c>
      <c r="M2035" s="8">
        <v>1.3270400000000001E-4</v>
      </c>
      <c r="N2035" s="8">
        <v>1.2783900000000001E-4</v>
      </c>
      <c r="O2035">
        <v>0</v>
      </c>
      <c r="P2035">
        <v>0</v>
      </c>
      <c r="Q2035">
        <v>0</v>
      </c>
      <c r="R2035" t="s">
        <v>243</v>
      </c>
    </row>
    <row r="2036" spans="1:18" x14ac:dyDescent="0.3">
      <c r="A2036" t="s">
        <v>259</v>
      </c>
      <c r="B2036" t="s">
        <v>46</v>
      </c>
      <c r="C2036" t="s">
        <v>261</v>
      </c>
      <c r="D2036">
        <v>2.4837209999999999E-3</v>
      </c>
      <c r="E2036">
        <v>4.5171209999999998E-3</v>
      </c>
      <c r="F2036">
        <v>4.9691789999999998E-3</v>
      </c>
      <c r="G2036">
        <v>4.8455590000000002E-3</v>
      </c>
      <c r="H2036">
        <v>4.8201482999999899E-3</v>
      </c>
      <c r="I2036">
        <v>4.9898125000000003E-3</v>
      </c>
      <c r="J2036">
        <v>4.8294328999999997E-3</v>
      </c>
      <c r="K2036">
        <v>4.7396239399999998E-3</v>
      </c>
      <c r="L2036">
        <v>4.6092878000000004E-3</v>
      </c>
      <c r="M2036">
        <v>4.4203405999999898E-3</v>
      </c>
      <c r="N2036">
        <v>4.2365278299999996E-3</v>
      </c>
      <c r="O2036">
        <v>0</v>
      </c>
      <c r="P2036">
        <v>0</v>
      </c>
      <c r="Q2036">
        <v>0</v>
      </c>
      <c r="R2036" t="s">
        <v>243</v>
      </c>
    </row>
    <row r="2037" spans="1:18" x14ac:dyDescent="0.3">
      <c r="A2037" t="s">
        <v>259</v>
      </c>
      <c r="B2037" t="s">
        <v>46</v>
      </c>
      <c r="C2037" t="s">
        <v>262</v>
      </c>
      <c r="D2037">
        <v>8.1441528542E-2</v>
      </c>
      <c r="E2037">
        <v>0.1018053755</v>
      </c>
      <c r="F2037">
        <v>0.11910308779999999</v>
      </c>
      <c r="G2037">
        <v>8.8929962000000001E-2</v>
      </c>
      <c r="H2037">
        <v>8.3381997499999999E-2</v>
      </c>
      <c r="I2037">
        <v>8.3169058789999903E-2</v>
      </c>
      <c r="J2037">
        <v>7.9739256590000002E-2</v>
      </c>
      <c r="K2037">
        <v>7.4034891639999906E-2</v>
      </c>
      <c r="L2037">
        <v>6.2433739787000002E-2</v>
      </c>
      <c r="M2037">
        <v>5.9138517731999997E-2</v>
      </c>
      <c r="N2037">
        <v>5.5870864479999997E-2</v>
      </c>
      <c r="O2037">
        <v>0</v>
      </c>
      <c r="P2037">
        <v>0</v>
      </c>
      <c r="Q2037">
        <v>0</v>
      </c>
      <c r="R2037" t="s">
        <v>243</v>
      </c>
    </row>
    <row r="2038" spans="1:18" x14ac:dyDescent="0.3">
      <c r="A2038" t="s">
        <v>259</v>
      </c>
      <c r="B2038" t="s">
        <v>46</v>
      </c>
      <c r="C2038" t="s">
        <v>263</v>
      </c>
      <c r="D2038">
        <v>0.1304178899</v>
      </c>
      <c r="E2038">
        <v>0.185289811</v>
      </c>
      <c r="F2038">
        <v>0.20772589999999999</v>
      </c>
      <c r="G2038">
        <v>0.1824634</v>
      </c>
      <c r="H2038">
        <v>0.17439229989999999</v>
      </c>
      <c r="I2038">
        <v>0.18610875609999999</v>
      </c>
      <c r="J2038">
        <v>0.1935955841</v>
      </c>
      <c r="K2038">
        <v>0.1946935192</v>
      </c>
      <c r="L2038">
        <v>0.19481559919999999</v>
      </c>
      <c r="M2038">
        <v>0.19340056550000001</v>
      </c>
      <c r="N2038">
        <v>0.19092463849999999</v>
      </c>
      <c r="O2038">
        <v>0</v>
      </c>
      <c r="P2038">
        <v>0</v>
      </c>
      <c r="Q2038">
        <v>0</v>
      </c>
      <c r="R2038" t="s">
        <v>243</v>
      </c>
    </row>
    <row r="2039" spans="1:18" x14ac:dyDescent="0.3">
      <c r="A2039" t="s">
        <v>259</v>
      </c>
      <c r="B2039" t="s">
        <v>46</v>
      </c>
      <c r="C2039" t="s">
        <v>264</v>
      </c>
      <c r="D2039" s="8">
        <v>4.051991E-4</v>
      </c>
      <c r="E2039" s="8">
        <v>4.4707759999999998E-4</v>
      </c>
      <c r="F2039" s="8">
        <v>4.8520049999999998E-4</v>
      </c>
      <c r="G2039" s="8">
        <v>3.8744449999999998E-4</v>
      </c>
      <c r="H2039" s="8">
        <v>3.9696639999999998E-4</v>
      </c>
      <c r="I2039" s="8">
        <v>4.570013E-4</v>
      </c>
      <c r="J2039" s="8">
        <v>5.6234670000000005E-4</v>
      </c>
      <c r="K2039" s="8">
        <v>6.1340899999999998E-4</v>
      </c>
      <c r="L2039" s="8">
        <v>6.3639019999999998E-4</v>
      </c>
      <c r="M2039" s="8">
        <v>6.4156219999999999E-4</v>
      </c>
      <c r="N2039" s="8">
        <v>6.4819960000000001E-4</v>
      </c>
      <c r="O2039">
        <v>0</v>
      </c>
      <c r="P2039">
        <v>0</v>
      </c>
      <c r="Q2039">
        <v>0</v>
      </c>
      <c r="R2039" t="s">
        <v>243</v>
      </c>
    </row>
    <row r="2040" spans="1:18" x14ac:dyDescent="0.3">
      <c r="A2040" t="s">
        <v>259</v>
      </c>
      <c r="B2040" t="s">
        <v>46</v>
      </c>
      <c r="C2040" t="s">
        <v>265</v>
      </c>
      <c r="D2040">
        <v>3.7622929999999999E-3</v>
      </c>
      <c r="E2040">
        <v>4.2592979999999999E-3</v>
      </c>
      <c r="F2040">
        <v>4.7801919999999999E-3</v>
      </c>
      <c r="G2040">
        <v>4.1569709999999998E-3</v>
      </c>
      <c r="H2040">
        <v>3.9368390000000001E-3</v>
      </c>
      <c r="I2040">
        <v>4.9164559999999996E-3</v>
      </c>
      <c r="J2040">
        <v>5.8052249999999998E-3</v>
      </c>
      <c r="K2040">
        <v>6.2067889999999903E-3</v>
      </c>
      <c r="L2040">
        <v>6.3452729999999898E-3</v>
      </c>
      <c r="M2040">
        <v>6.3048059999999996E-3</v>
      </c>
      <c r="N2040">
        <v>6.25749599999999E-3</v>
      </c>
      <c r="O2040">
        <v>0</v>
      </c>
      <c r="P2040">
        <v>0</v>
      </c>
      <c r="Q2040">
        <v>0</v>
      </c>
      <c r="R2040" t="s">
        <v>243</v>
      </c>
    </row>
    <row r="2041" spans="1:18" x14ac:dyDescent="0.3">
      <c r="A2041" t="s">
        <v>259</v>
      </c>
      <c r="B2041" t="s">
        <v>46</v>
      </c>
      <c r="C2041" t="s">
        <v>266</v>
      </c>
      <c r="D2041" s="8">
        <v>6.5071379999999998E-4</v>
      </c>
      <c r="E2041" s="8">
        <v>7.6496599999999995E-4</v>
      </c>
      <c r="F2041" s="8">
        <v>8.3433900000000002E-4</v>
      </c>
      <c r="G2041" s="8">
        <v>6.8661799999999995E-4</v>
      </c>
      <c r="H2041" s="8">
        <v>6.8270280000000004E-4</v>
      </c>
      <c r="I2041" s="8">
        <v>7.9752609999999896E-4</v>
      </c>
      <c r="J2041" s="8">
        <v>9.8591470000000008E-4</v>
      </c>
      <c r="K2041">
        <v>1.0775467E-3</v>
      </c>
      <c r="L2041">
        <v>1.1184525E-3</v>
      </c>
      <c r="M2041">
        <v>1.1293478E-3</v>
      </c>
      <c r="N2041">
        <v>1.1427315999999999E-3</v>
      </c>
      <c r="O2041">
        <v>0</v>
      </c>
      <c r="P2041">
        <v>0</v>
      </c>
      <c r="Q2041">
        <v>0</v>
      </c>
      <c r="R2041" t="s">
        <v>243</v>
      </c>
    </row>
    <row r="2042" spans="1:18" x14ac:dyDescent="0.3">
      <c r="A2042" t="s">
        <v>259</v>
      </c>
      <c r="B2042" t="s">
        <v>46</v>
      </c>
      <c r="C2042" t="s">
        <v>267</v>
      </c>
      <c r="D2042" s="8">
        <v>8.7524299999999897E-4</v>
      </c>
      <c r="E2042" s="8">
        <v>9.9378599999999997E-4</v>
      </c>
      <c r="F2042">
        <v>1.1088949999999999E-3</v>
      </c>
      <c r="G2042" s="8">
        <v>9.3028999999999996E-4</v>
      </c>
      <c r="H2042" s="8">
        <v>8.4794649999999998E-4</v>
      </c>
      <c r="I2042">
        <v>1.10658439999999E-3</v>
      </c>
      <c r="J2042">
        <v>1.353099E-3</v>
      </c>
      <c r="K2042">
        <v>1.46668149999999E-3</v>
      </c>
      <c r="L2042">
        <v>1.5156969999999899E-3</v>
      </c>
      <c r="M2042">
        <v>1.5224900999999901E-3</v>
      </c>
      <c r="N2042">
        <v>1.5332227999999999E-3</v>
      </c>
      <c r="O2042">
        <v>0</v>
      </c>
      <c r="P2042">
        <v>0</v>
      </c>
      <c r="Q2042">
        <v>0</v>
      </c>
      <c r="R2042" t="s">
        <v>243</v>
      </c>
    </row>
    <row r="2043" spans="1:18" x14ac:dyDescent="0.3">
      <c r="A2043" t="s">
        <v>259</v>
      </c>
      <c r="B2043" t="s">
        <v>46</v>
      </c>
      <c r="C2043" t="s">
        <v>268</v>
      </c>
      <c r="D2043">
        <v>1.0538660000000001E-3</v>
      </c>
      <c r="E2043">
        <v>1.193249E-3</v>
      </c>
      <c r="F2043">
        <v>1.3475990000000001E-3</v>
      </c>
      <c r="G2043">
        <v>1.1454810000000001E-3</v>
      </c>
      <c r="H2043">
        <v>1.04491E-3</v>
      </c>
      <c r="I2043">
        <v>1.3599624000000001E-3</v>
      </c>
      <c r="J2043">
        <v>1.6582528999999999E-3</v>
      </c>
      <c r="K2043">
        <v>1.79722949999999E-3</v>
      </c>
      <c r="L2043">
        <v>1.8591472000000001E-3</v>
      </c>
      <c r="M2043">
        <v>1.8697784E-3</v>
      </c>
      <c r="N2043">
        <v>1.8821993000000001E-3</v>
      </c>
      <c r="O2043">
        <v>0</v>
      </c>
      <c r="P2043">
        <v>0</v>
      </c>
      <c r="Q2043">
        <v>0</v>
      </c>
      <c r="R2043" t="s">
        <v>243</v>
      </c>
    </row>
    <row r="2044" spans="1:18" x14ac:dyDescent="0.3">
      <c r="A2044" t="s">
        <v>259</v>
      </c>
      <c r="B2044" t="s">
        <v>46</v>
      </c>
      <c r="C2044" t="s">
        <v>269</v>
      </c>
      <c r="D2044">
        <v>1.2385619999999999E-3</v>
      </c>
      <c r="E2044">
        <v>1.402141E-3</v>
      </c>
      <c r="F2044">
        <v>1.5819359999999999E-3</v>
      </c>
      <c r="G2044">
        <v>1.350377E-3</v>
      </c>
      <c r="H2044">
        <v>1.243811E-3</v>
      </c>
      <c r="I2044">
        <v>1.6179496E-3</v>
      </c>
      <c r="J2044">
        <v>1.9692672999999999E-3</v>
      </c>
      <c r="K2044">
        <v>2.1310677000000002E-3</v>
      </c>
      <c r="L2044">
        <v>2.2067378000000001E-3</v>
      </c>
      <c r="M2044">
        <v>2.2187361999999999E-3</v>
      </c>
      <c r="N2044">
        <v>2.2306777000000002E-3</v>
      </c>
      <c r="O2044">
        <v>0</v>
      </c>
      <c r="P2044">
        <v>0</v>
      </c>
      <c r="Q2044">
        <v>0</v>
      </c>
      <c r="R2044" t="s">
        <v>243</v>
      </c>
    </row>
    <row r="2045" spans="1:18" x14ac:dyDescent="0.3">
      <c r="A2045" t="s">
        <v>259</v>
      </c>
      <c r="B2045" t="s">
        <v>46</v>
      </c>
      <c r="C2045" t="s">
        <v>270</v>
      </c>
      <c r="D2045">
        <v>1.437802E-3</v>
      </c>
      <c r="E2045">
        <v>1.6231869999999999E-3</v>
      </c>
      <c r="F2045">
        <v>1.8327E-3</v>
      </c>
      <c r="G2045">
        <v>1.572574E-3</v>
      </c>
      <c r="H2045">
        <v>1.4615559999999999E-3</v>
      </c>
      <c r="I2045">
        <v>1.8944605000000001E-3</v>
      </c>
      <c r="J2045">
        <v>2.2974158E-3</v>
      </c>
      <c r="K2045">
        <v>2.4863824999999998E-3</v>
      </c>
      <c r="L2045">
        <v>2.5695319999999998E-3</v>
      </c>
      <c r="M2045">
        <v>2.5842717000000002E-3</v>
      </c>
      <c r="N2045">
        <v>2.5978707000000002E-3</v>
      </c>
      <c r="O2045">
        <v>0</v>
      </c>
      <c r="P2045">
        <v>0</v>
      </c>
      <c r="Q2045">
        <v>0</v>
      </c>
      <c r="R2045" t="s">
        <v>243</v>
      </c>
    </row>
    <row r="2046" spans="1:18" x14ac:dyDescent="0.3">
      <c r="A2046" t="s">
        <v>259</v>
      </c>
      <c r="B2046" t="s">
        <v>46</v>
      </c>
      <c r="C2046" t="s">
        <v>271</v>
      </c>
      <c r="D2046">
        <v>1.674537E-3</v>
      </c>
      <c r="E2046">
        <v>1.8763859999999901E-3</v>
      </c>
      <c r="F2046">
        <v>2.1227730000000001E-3</v>
      </c>
      <c r="G2046">
        <v>1.82091499999999E-3</v>
      </c>
      <c r="H2046">
        <v>1.71605E-3</v>
      </c>
      <c r="I2046">
        <v>2.2135449999999999E-3</v>
      </c>
      <c r="J2046">
        <v>2.6764311E-3</v>
      </c>
      <c r="K2046">
        <v>2.8923689999999901E-3</v>
      </c>
      <c r="L2046">
        <v>2.9872317999999902E-3</v>
      </c>
      <c r="M2046">
        <v>2.9980774000000002E-3</v>
      </c>
      <c r="N2046">
        <v>3.0042334E-3</v>
      </c>
      <c r="O2046">
        <v>0</v>
      </c>
      <c r="P2046">
        <v>0</v>
      </c>
      <c r="Q2046">
        <v>0</v>
      </c>
      <c r="R2046" t="s">
        <v>243</v>
      </c>
    </row>
    <row r="2047" spans="1:18" x14ac:dyDescent="0.3">
      <c r="A2047" t="s">
        <v>259</v>
      </c>
      <c r="B2047" t="s">
        <v>46</v>
      </c>
      <c r="C2047" t="s">
        <v>272</v>
      </c>
      <c r="D2047">
        <v>1.9653269999999998E-3</v>
      </c>
      <c r="E2047">
        <v>2.2049600000000002E-3</v>
      </c>
      <c r="F2047">
        <v>2.489074E-3</v>
      </c>
      <c r="G2047">
        <v>2.166533E-3</v>
      </c>
      <c r="H2047">
        <v>2.0330040000000001E-3</v>
      </c>
      <c r="I2047">
        <v>2.61802899999999E-3</v>
      </c>
      <c r="J2047">
        <v>3.1604034999999902E-3</v>
      </c>
      <c r="K2047">
        <v>3.4085015999999902E-3</v>
      </c>
      <c r="L2047">
        <v>3.5104299999999902E-3</v>
      </c>
      <c r="M2047">
        <v>3.5142017E-3</v>
      </c>
      <c r="N2047">
        <v>3.51706799999999E-3</v>
      </c>
      <c r="O2047">
        <v>0</v>
      </c>
      <c r="P2047">
        <v>0</v>
      </c>
      <c r="Q2047">
        <v>0</v>
      </c>
      <c r="R2047" t="s">
        <v>243</v>
      </c>
    </row>
    <row r="2048" spans="1:18" x14ac:dyDescent="0.3">
      <c r="A2048" t="s">
        <v>259</v>
      </c>
      <c r="B2048" t="s">
        <v>46</v>
      </c>
      <c r="C2048" t="s">
        <v>273</v>
      </c>
      <c r="D2048">
        <v>2.4410510000000001E-3</v>
      </c>
      <c r="E2048">
        <v>2.7203269999999998E-3</v>
      </c>
      <c r="F2048">
        <v>3.0605490000000001E-3</v>
      </c>
      <c r="G2048">
        <v>2.6347519999999902E-3</v>
      </c>
      <c r="H2048">
        <v>2.511957E-3</v>
      </c>
      <c r="I2048">
        <v>3.2156979999999999E-3</v>
      </c>
      <c r="J2048">
        <v>3.8618340000000002E-3</v>
      </c>
      <c r="K2048">
        <v>4.1635800000000001E-3</v>
      </c>
      <c r="L2048">
        <v>4.291184E-3</v>
      </c>
      <c r="M2048">
        <v>4.2985460000000003E-3</v>
      </c>
      <c r="N2048">
        <v>4.2985360000000004E-3</v>
      </c>
      <c r="O2048">
        <v>0</v>
      </c>
      <c r="P2048">
        <v>0</v>
      </c>
      <c r="Q2048">
        <v>0</v>
      </c>
      <c r="R2048" t="s">
        <v>243</v>
      </c>
    </row>
    <row r="2049" spans="1:18" x14ac:dyDescent="0.3">
      <c r="A2049" t="s">
        <v>259</v>
      </c>
      <c r="B2049" t="s">
        <v>46</v>
      </c>
      <c r="C2049" t="s">
        <v>274</v>
      </c>
      <c r="D2049" s="8">
        <v>2.8037490509999899E-5</v>
      </c>
      <c r="E2049" s="8">
        <v>4.2118442729999999E-5</v>
      </c>
      <c r="F2049" s="8">
        <v>4.4502158049999902E-5</v>
      </c>
      <c r="G2049" s="8">
        <v>4.2300247620000003E-5</v>
      </c>
      <c r="H2049" s="8">
        <v>5.8532151029999997E-5</v>
      </c>
      <c r="I2049" s="8">
        <v>5.9461346359999999E-5</v>
      </c>
      <c r="J2049" s="8">
        <v>5.8564369680000001E-5</v>
      </c>
      <c r="K2049" s="8">
        <v>5.8242315566999902E-5</v>
      </c>
      <c r="L2049" s="8">
        <v>5.756018908E-5</v>
      </c>
      <c r="M2049" s="8">
        <v>5.6014538284999998E-5</v>
      </c>
      <c r="N2049" s="8">
        <v>5.4327206053999997E-5</v>
      </c>
      <c r="O2049">
        <v>0</v>
      </c>
      <c r="P2049">
        <v>0</v>
      </c>
      <c r="Q2049">
        <v>0</v>
      </c>
      <c r="R2049" t="s">
        <v>243</v>
      </c>
    </row>
    <row r="2050" spans="1:18" x14ac:dyDescent="0.3">
      <c r="A2050" t="s">
        <v>259</v>
      </c>
      <c r="B2050" t="s">
        <v>46</v>
      </c>
      <c r="C2050" t="s">
        <v>275</v>
      </c>
      <c r="D2050" s="8">
        <v>4.93743343E-5</v>
      </c>
      <c r="E2050" s="8">
        <v>6.7568539999999998E-5</v>
      </c>
      <c r="F2050" s="8">
        <v>7.1222536099999995E-5</v>
      </c>
      <c r="G2050" s="8">
        <v>6.8870062800000005E-5</v>
      </c>
      <c r="H2050" s="8">
        <v>8.1477826149999898E-5</v>
      </c>
      <c r="I2050" s="8">
        <v>8.3123432789999907E-5</v>
      </c>
      <c r="J2050" s="8">
        <v>8.0293064430000003E-5</v>
      </c>
      <c r="K2050" s="8">
        <v>7.8114697782999897E-5</v>
      </c>
      <c r="L2050" s="8">
        <v>7.5580605529999994E-5</v>
      </c>
      <c r="M2050" s="8">
        <v>7.2164317439999995E-5</v>
      </c>
      <c r="N2050" s="8">
        <v>6.8835588244999993E-5</v>
      </c>
      <c r="O2050">
        <v>0</v>
      </c>
      <c r="P2050">
        <v>0</v>
      </c>
      <c r="Q2050">
        <v>0</v>
      </c>
      <c r="R2050" t="s">
        <v>243</v>
      </c>
    </row>
    <row r="2051" spans="1:18" x14ac:dyDescent="0.3">
      <c r="A2051" t="s">
        <v>259</v>
      </c>
      <c r="B2051" t="s">
        <v>46</v>
      </c>
      <c r="C2051" t="s">
        <v>276</v>
      </c>
      <c r="D2051" s="8">
        <v>3.4404755339999997E-5</v>
      </c>
      <c r="E2051" s="8">
        <v>5.0039442449999998E-5</v>
      </c>
      <c r="F2051" s="8">
        <v>5.2639321729999997E-5</v>
      </c>
      <c r="G2051" s="8">
        <v>5.0569183940000001E-5</v>
      </c>
      <c r="H2051" s="8">
        <v>6.5319296850000001E-5</v>
      </c>
      <c r="I2051" s="8">
        <v>6.6440169419999996E-5</v>
      </c>
      <c r="J2051" s="8">
        <v>6.5032693089999994E-5</v>
      </c>
      <c r="K2051" s="8">
        <v>6.3982783948000007E-5</v>
      </c>
      <c r="L2051" s="8">
        <v>6.2615616479999898E-5</v>
      </c>
      <c r="M2051" s="8">
        <v>6.0443654103999897E-5</v>
      </c>
      <c r="N2051" s="8">
        <v>5.8257979755999998E-5</v>
      </c>
      <c r="O2051">
        <v>0</v>
      </c>
      <c r="P2051">
        <v>0</v>
      </c>
      <c r="Q2051">
        <v>0</v>
      </c>
      <c r="R2051" t="s">
        <v>243</v>
      </c>
    </row>
    <row r="2052" spans="1:18" x14ac:dyDescent="0.3">
      <c r="A2052" t="s">
        <v>259</v>
      </c>
      <c r="B2052" t="s">
        <v>46</v>
      </c>
      <c r="C2052" t="s">
        <v>277</v>
      </c>
      <c r="D2052" s="8">
        <v>3.780699146E-5</v>
      </c>
      <c r="E2052" s="8">
        <v>5.3117586389999999E-5</v>
      </c>
      <c r="F2052" s="8">
        <v>5.6027389539999999E-5</v>
      </c>
      <c r="G2052" s="8">
        <v>5.4012582080000001E-5</v>
      </c>
      <c r="H2052" s="8">
        <v>6.7402357419999999E-5</v>
      </c>
      <c r="I2052" s="8">
        <v>6.9502063840000004E-5</v>
      </c>
      <c r="J2052" s="8">
        <v>6.7803457059999997E-5</v>
      </c>
      <c r="K2052" s="8">
        <v>6.6474793421000003E-5</v>
      </c>
      <c r="L2052" s="8">
        <v>6.4834502030000006E-5</v>
      </c>
      <c r="M2052" s="8">
        <v>6.2412998884999994E-5</v>
      </c>
      <c r="N2052" s="8">
        <v>6.0021598411999999E-5</v>
      </c>
      <c r="O2052">
        <v>0</v>
      </c>
      <c r="P2052">
        <v>0</v>
      </c>
      <c r="Q2052">
        <v>0</v>
      </c>
      <c r="R2052" t="s">
        <v>243</v>
      </c>
    </row>
    <row r="2053" spans="1:18" x14ac:dyDescent="0.3">
      <c r="A2053" t="s">
        <v>259</v>
      </c>
      <c r="B2053" t="s">
        <v>46</v>
      </c>
      <c r="C2053" t="s">
        <v>278</v>
      </c>
      <c r="D2053" s="8">
        <v>3.9649844380000002E-5</v>
      </c>
      <c r="E2053" s="8">
        <v>5.503732562E-5</v>
      </c>
      <c r="F2053" s="8">
        <v>5.8107438129999997E-5</v>
      </c>
      <c r="G2053" s="8">
        <v>5.6120048129999997E-5</v>
      </c>
      <c r="H2053" s="8">
        <v>6.9314442340000004E-5</v>
      </c>
      <c r="I2053" s="8">
        <v>7.1323404049999996E-5</v>
      </c>
      <c r="J2053" s="8">
        <v>6.9464217629999902E-5</v>
      </c>
      <c r="K2053" s="8">
        <v>6.8020044894000006E-5</v>
      </c>
      <c r="L2053" s="8">
        <v>6.6274723129999995E-5</v>
      </c>
      <c r="M2053" s="8">
        <v>6.373989649E-5</v>
      </c>
      <c r="N2053" s="8">
        <v>6.1237079703000002E-5</v>
      </c>
      <c r="O2053">
        <v>0</v>
      </c>
      <c r="P2053">
        <v>0</v>
      </c>
      <c r="Q2053">
        <v>0</v>
      </c>
      <c r="R2053" t="s">
        <v>243</v>
      </c>
    </row>
    <row r="2054" spans="1:18" x14ac:dyDescent="0.3">
      <c r="A2054" t="s">
        <v>259</v>
      </c>
      <c r="B2054" t="s">
        <v>46</v>
      </c>
      <c r="C2054" t="s">
        <v>279</v>
      </c>
      <c r="D2054" s="8">
        <v>4.10853972E-5</v>
      </c>
      <c r="E2054" s="8">
        <v>5.66306071999999E-5</v>
      </c>
      <c r="F2054" s="8">
        <v>5.9736311100000001E-5</v>
      </c>
      <c r="G2054" s="8">
        <v>5.7710524400000001E-5</v>
      </c>
      <c r="H2054" s="8">
        <v>7.0863268039999907E-5</v>
      </c>
      <c r="I2054" s="8">
        <v>7.2834198519999905E-5</v>
      </c>
      <c r="J2054" s="8">
        <v>7.085685226E-5</v>
      </c>
      <c r="K2054" s="8">
        <v>6.9313873154999996E-5</v>
      </c>
      <c r="L2054" s="8">
        <v>6.7488124969999994E-5</v>
      </c>
      <c r="M2054" s="8">
        <v>6.4852078403000003E-5</v>
      </c>
      <c r="N2054" s="8">
        <v>6.2249547450999904E-5</v>
      </c>
      <c r="O2054">
        <v>0</v>
      </c>
      <c r="P2054">
        <v>0</v>
      </c>
      <c r="Q2054">
        <v>0</v>
      </c>
      <c r="R2054" t="s">
        <v>243</v>
      </c>
    </row>
    <row r="2055" spans="1:18" x14ac:dyDescent="0.3">
      <c r="A2055" t="s">
        <v>259</v>
      </c>
      <c r="B2055" t="s">
        <v>46</v>
      </c>
      <c r="C2055" t="s">
        <v>280</v>
      </c>
      <c r="D2055" s="8">
        <v>4.23002957E-5</v>
      </c>
      <c r="E2055" s="8">
        <v>5.8032454900000002E-5</v>
      </c>
      <c r="F2055" s="8">
        <v>6.1202356800000001E-5</v>
      </c>
      <c r="G2055" s="8">
        <v>5.9159676100000001E-5</v>
      </c>
      <c r="H2055" s="8">
        <v>7.2289275179999906E-5</v>
      </c>
      <c r="I2055" s="8">
        <v>7.4212375929999993E-5</v>
      </c>
      <c r="J2055" s="8">
        <v>7.2113473759999905E-5</v>
      </c>
      <c r="K2055" s="8">
        <v>7.0496671122999998E-5</v>
      </c>
      <c r="L2055" s="8">
        <v>6.8575716369999995E-5</v>
      </c>
      <c r="M2055" s="8">
        <v>6.5852952150000004E-5</v>
      </c>
      <c r="N2055" s="8">
        <v>6.3167708794000001E-5</v>
      </c>
      <c r="O2055">
        <v>0</v>
      </c>
      <c r="P2055">
        <v>0</v>
      </c>
      <c r="Q2055">
        <v>0</v>
      </c>
      <c r="R2055" t="s">
        <v>243</v>
      </c>
    </row>
    <row r="2056" spans="1:18" x14ac:dyDescent="0.3">
      <c r="A2056" t="s">
        <v>259</v>
      </c>
      <c r="B2056" t="s">
        <v>46</v>
      </c>
      <c r="C2056" t="s">
        <v>281</v>
      </c>
      <c r="D2056" s="8">
        <v>4.3461981200000003E-5</v>
      </c>
      <c r="E2056" s="8">
        <v>5.94068978E-5</v>
      </c>
      <c r="F2056" s="8">
        <v>6.2662801600000005E-5</v>
      </c>
      <c r="G2056" s="8">
        <v>6.05539183E-5</v>
      </c>
      <c r="H2056" s="8">
        <v>7.3717180100000003E-5</v>
      </c>
      <c r="I2056" s="8">
        <v>7.5585751299999998E-5</v>
      </c>
      <c r="J2056" s="8">
        <v>7.3373495680000006E-5</v>
      </c>
      <c r="K2056" s="8">
        <v>7.1668358096000002E-5</v>
      </c>
      <c r="L2056" s="8">
        <v>6.9662707660000001E-5</v>
      </c>
      <c r="M2056" s="8">
        <v>6.6832924459999898E-5</v>
      </c>
      <c r="N2056" s="8">
        <v>6.4040767260000004E-5</v>
      </c>
      <c r="O2056">
        <v>0</v>
      </c>
      <c r="P2056">
        <v>0</v>
      </c>
      <c r="Q2056">
        <v>0</v>
      </c>
      <c r="R2056" t="s">
        <v>243</v>
      </c>
    </row>
    <row r="2057" spans="1:18" x14ac:dyDescent="0.3">
      <c r="A2057" t="s">
        <v>259</v>
      </c>
      <c r="B2057" t="s">
        <v>46</v>
      </c>
      <c r="C2057" t="s">
        <v>282</v>
      </c>
      <c r="D2057" s="8">
        <v>4.4631368599999901E-5</v>
      </c>
      <c r="E2057" s="8">
        <v>6.0942069099999899E-5</v>
      </c>
      <c r="F2057" s="8">
        <v>6.4259069099999996E-5</v>
      </c>
      <c r="G2057" s="8">
        <v>6.2222608199999995E-5</v>
      </c>
      <c r="H2057" s="8">
        <v>7.5230405630000003E-5</v>
      </c>
      <c r="I2057" s="8">
        <v>7.7080746379999907E-5</v>
      </c>
      <c r="J2057" s="8">
        <v>7.4761529719999999E-5</v>
      </c>
      <c r="K2057" s="8">
        <v>7.2962396548E-5</v>
      </c>
      <c r="L2057" s="8">
        <v>7.0843207029999995E-5</v>
      </c>
      <c r="M2057" s="8">
        <v>6.7891702500000003E-5</v>
      </c>
      <c r="N2057" s="8">
        <v>6.4998131329999898E-5</v>
      </c>
      <c r="O2057">
        <v>0</v>
      </c>
      <c r="P2057">
        <v>0</v>
      </c>
      <c r="Q2057">
        <v>0</v>
      </c>
      <c r="R2057" t="s">
        <v>243</v>
      </c>
    </row>
    <row r="2058" spans="1:18" x14ac:dyDescent="0.3">
      <c r="A2058" t="s">
        <v>259</v>
      </c>
      <c r="B2058" t="s">
        <v>46</v>
      </c>
      <c r="C2058" t="s">
        <v>283</v>
      </c>
      <c r="D2058" s="8">
        <v>4.61855506E-5</v>
      </c>
      <c r="E2058" s="8">
        <v>6.2974928300000004E-5</v>
      </c>
      <c r="F2058" s="8">
        <v>6.6374023499999999E-5</v>
      </c>
      <c r="G2058" s="8">
        <v>6.4139541099999893E-5</v>
      </c>
      <c r="H2058" s="8">
        <v>7.71690849E-5</v>
      </c>
      <c r="I2058" s="8">
        <v>7.8969887449999998E-5</v>
      </c>
      <c r="J2058" s="8">
        <v>7.6498197679999999E-5</v>
      </c>
      <c r="K2058" s="8">
        <v>7.4595815607000001E-5</v>
      </c>
      <c r="L2058" s="8">
        <v>7.2373735389999905E-5</v>
      </c>
      <c r="M2058" s="8">
        <v>6.9301906439999997E-5</v>
      </c>
      <c r="N2058" s="8">
        <v>6.6285117394999896E-5</v>
      </c>
      <c r="O2058">
        <v>0</v>
      </c>
      <c r="P2058">
        <v>0</v>
      </c>
      <c r="Q2058">
        <v>0</v>
      </c>
      <c r="R2058" t="s">
        <v>243</v>
      </c>
    </row>
    <row r="2059" spans="1:18" x14ac:dyDescent="0.3">
      <c r="A2059" t="s">
        <v>259</v>
      </c>
      <c r="B2059" t="s">
        <v>46</v>
      </c>
      <c r="C2059" t="s">
        <v>334</v>
      </c>
      <c r="D2059" s="8">
        <v>2.0411E-4</v>
      </c>
      <c r="E2059" s="8">
        <v>1.6206500000000001E-5</v>
      </c>
      <c r="F2059" s="8">
        <v>2.6923900000000002E-5</v>
      </c>
      <c r="G2059" s="8">
        <v>7.9808600000000007E-6</v>
      </c>
      <c r="H2059" s="8">
        <v>8.3613299999999994E-6</v>
      </c>
      <c r="I2059" s="8">
        <v>8.6282100000000005E-6</v>
      </c>
      <c r="J2059" s="8">
        <v>8.7905800000000005E-6</v>
      </c>
      <c r="K2059" s="8">
        <v>8.9420500000000002E-6</v>
      </c>
      <c r="L2059" s="8">
        <v>9.0597099999999997E-6</v>
      </c>
      <c r="M2059" s="8">
        <v>9.1051599999999994E-6</v>
      </c>
      <c r="N2059" s="8">
        <v>9.1258199999999996E-6</v>
      </c>
      <c r="O2059">
        <v>0</v>
      </c>
      <c r="P2059">
        <v>0</v>
      </c>
      <c r="Q2059">
        <v>0</v>
      </c>
      <c r="R2059" t="s">
        <v>243</v>
      </c>
    </row>
    <row r="2060" spans="1:18" x14ac:dyDescent="0.3">
      <c r="A2060" t="s">
        <v>259</v>
      </c>
      <c r="B2060" t="s">
        <v>46</v>
      </c>
      <c r="C2060" t="s">
        <v>335</v>
      </c>
      <c r="D2060" s="8">
        <v>1.00662E-5</v>
      </c>
      <c r="E2060" s="8">
        <v>7.1983700000000004E-7</v>
      </c>
      <c r="F2060" s="8">
        <v>1.12819E-6</v>
      </c>
      <c r="G2060" s="8">
        <v>3.0470000000000002E-7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243</v>
      </c>
    </row>
    <row r="2061" spans="1:18" x14ac:dyDescent="0.3">
      <c r="A2061" t="s">
        <v>259</v>
      </c>
      <c r="B2061" t="s">
        <v>46</v>
      </c>
      <c r="C2061" t="s">
        <v>336</v>
      </c>
      <c r="D2061" s="8">
        <v>1.15239E-4</v>
      </c>
      <c r="E2061" s="8">
        <v>8.4377599999999997E-6</v>
      </c>
      <c r="F2061" s="8">
        <v>1.39461E-5</v>
      </c>
      <c r="G2061" s="8">
        <v>4.0011599999999997E-6</v>
      </c>
      <c r="H2061" s="8">
        <v>4.1585400000000003E-6</v>
      </c>
      <c r="I2061" s="8">
        <v>4.3026400000000004E-6</v>
      </c>
      <c r="J2061" s="8">
        <v>4.3839079999999999E-6</v>
      </c>
      <c r="K2061" s="8">
        <v>4.4587899999999997E-6</v>
      </c>
      <c r="L2061" s="8">
        <v>4.5144700000000002E-6</v>
      </c>
      <c r="M2061" s="8">
        <v>4.5352619999999998E-6</v>
      </c>
      <c r="N2061" s="8">
        <v>4.5438379999999901E-6</v>
      </c>
      <c r="O2061">
        <v>0</v>
      </c>
      <c r="P2061">
        <v>0</v>
      </c>
      <c r="Q2061">
        <v>0</v>
      </c>
      <c r="R2061" t="s">
        <v>243</v>
      </c>
    </row>
    <row r="2062" spans="1:18" x14ac:dyDescent="0.3">
      <c r="A2062" t="s">
        <v>259</v>
      </c>
      <c r="B2062" t="s">
        <v>46</v>
      </c>
      <c r="C2062" t="s">
        <v>337</v>
      </c>
      <c r="D2062" s="8">
        <v>7.9554800000000006E-5</v>
      </c>
      <c r="E2062" s="8">
        <v>6.0576600000000002E-6</v>
      </c>
      <c r="F2062" s="8">
        <v>9.72581E-6</v>
      </c>
      <c r="G2062" s="8">
        <v>2.728E-6</v>
      </c>
      <c r="H2062" s="8">
        <v>2.7893699999999999E-6</v>
      </c>
      <c r="I2062" s="8">
        <v>2.9392209999999899E-6</v>
      </c>
      <c r="J2062" s="8">
        <v>2.9907409999999899E-6</v>
      </c>
      <c r="K2062" s="8">
        <v>3.0381499999999999E-6</v>
      </c>
      <c r="L2062" s="8">
        <v>3.072453E-6</v>
      </c>
      <c r="M2062" s="8">
        <v>3.082816E-6</v>
      </c>
      <c r="N2062" s="8">
        <v>3.0854129999999999E-6</v>
      </c>
      <c r="O2062">
        <v>0</v>
      </c>
      <c r="P2062">
        <v>0</v>
      </c>
      <c r="Q2062">
        <v>0</v>
      </c>
      <c r="R2062" t="s">
        <v>243</v>
      </c>
    </row>
    <row r="2063" spans="1:18" x14ac:dyDescent="0.3">
      <c r="A2063" t="s">
        <v>259</v>
      </c>
      <c r="B2063" t="s">
        <v>46</v>
      </c>
      <c r="C2063" t="s">
        <v>338</v>
      </c>
      <c r="D2063" s="8">
        <v>6.2700900000000001E-5</v>
      </c>
      <c r="E2063" s="8">
        <v>4.7761699999999997E-6</v>
      </c>
      <c r="F2063" s="8">
        <v>7.5414600000000003E-6</v>
      </c>
      <c r="G2063" s="8">
        <v>2.08284E-6</v>
      </c>
      <c r="H2063" s="8">
        <v>2.1292170000000001E-6</v>
      </c>
      <c r="I2063" s="8">
        <v>2.2421480000000002E-6</v>
      </c>
      <c r="J2063" s="8">
        <v>2.28026699999999E-6</v>
      </c>
      <c r="K2063" s="8">
        <v>2.31597599999999E-6</v>
      </c>
      <c r="L2063" s="8">
        <v>2.342033E-6</v>
      </c>
      <c r="M2063" s="8">
        <v>2.349963E-6</v>
      </c>
      <c r="N2063" s="8">
        <v>2.3514110000000001E-6</v>
      </c>
      <c r="O2063">
        <v>0</v>
      </c>
      <c r="P2063">
        <v>0</v>
      </c>
      <c r="Q2063">
        <v>0</v>
      </c>
      <c r="R2063" t="s">
        <v>243</v>
      </c>
    </row>
    <row r="2064" spans="1:18" x14ac:dyDescent="0.3">
      <c r="A2064" t="s">
        <v>259</v>
      </c>
      <c r="B2064" t="s">
        <v>46</v>
      </c>
      <c r="C2064" t="s">
        <v>339</v>
      </c>
      <c r="D2064" s="8">
        <v>5.0764099999999997E-5</v>
      </c>
      <c r="E2064" s="8">
        <v>3.8546100000000002E-6</v>
      </c>
      <c r="F2064" s="8">
        <v>6.0876300000000004E-6</v>
      </c>
      <c r="G2064" s="8">
        <v>1.6722799999999999E-6</v>
      </c>
      <c r="H2064" s="8">
        <v>1.7118320000000001E-6</v>
      </c>
      <c r="I2064" s="8">
        <v>1.8022080000000001E-6</v>
      </c>
      <c r="J2064" s="8">
        <v>1.832345E-6</v>
      </c>
      <c r="K2064" s="8">
        <v>1.8603049999999999E-6</v>
      </c>
      <c r="L2064" s="8">
        <v>1.8812669999999901E-6</v>
      </c>
      <c r="M2064" s="8">
        <v>1.8872919999999999E-6</v>
      </c>
      <c r="N2064" s="8">
        <v>1.8878669999999899E-6</v>
      </c>
      <c r="O2064">
        <v>0</v>
      </c>
      <c r="P2064">
        <v>0</v>
      </c>
      <c r="Q2064">
        <v>0</v>
      </c>
      <c r="R2064" t="s">
        <v>243</v>
      </c>
    </row>
    <row r="2065" spans="1:18" x14ac:dyDescent="0.3">
      <c r="A2065" t="s">
        <v>259</v>
      </c>
      <c r="B2065" t="s">
        <v>46</v>
      </c>
      <c r="C2065" t="s">
        <v>340</v>
      </c>
      <c r="D2065" s="8">
        <v>4.1605099999999999E-5</v>
      </c>
      <c r="E2065" s="8">
        <v>3.15944E-6</v>
      </c>
      <c r="F2065" s="8">
        <v>4.9781699999999996E-6</v>
      </c>
      <c r="G2065" s="8">
        <v>1.35899E-6</v>
      </c>
      <c r="H2065" s="8">
        <v>1.3928099999999899E-6</v>
      </c>
      <c r="I2065" s="8">
        <v>1.4654730000000001E-6</v>
      </c>
      <c r="J2065" s="8">
        <v>1.489234E-6</v>
      </c>
      <c r="K2065" s="8">
        <v>1.5118070000000001E-6</v>
      </c>
      <c r="L2065" s="8">
        <v>1.528184E-6</v>
      </c>
      <c r="M2065" s="8">
        <v>1.5330049999999999E-6</v>
      </c>
      <c r="N2065" s="8">
        <v>1.533331E-6</v>
      </c>
      <c r="O2065">
        <v>0</v>
      </c>
      <c r="P2065">
        <v>0</v>
      </c>
      <c r="Q2065">
        <v>0</v>
      </c>
      <c r="R2065" t="s">
        <v>243</v>
      </c>
    </row>
    <row r="2066" spans="1:18" x14ac:dyDescent="0.3">
      <c r="A2066" t="s">
        <v>259</v>
      </c>
      <c r="B2066" t="s">
        <v>46</v>
      </c>
      <c r="C2066" t="s">
        <v>341</v>
      </c>
      <c r="D2066" s="8">
        <v>3.38024E-5</v>
      </c>
      <c r="E2066" s="8">
        <v>2.58183E-6</v>
      </c>
      <c r="F2066" s="8">
        <v>4.0531399999999996E-6</v>
      </c>
      <c r="G2066" s="8">
        <v>1.1072200000000001E-6</v>
      </c>
      <c r="H2066" s="8">
        <v>1.1370159999999899E-6</v>
      </c>
      <c r="I2066" s="8">
        <v>1.1954809999999999E-6</v>
      </c>
      <c r="J2066" s="8">
        <v>1.2144720000000001E-6</v>
      </c>
      <c r="K2066" s="8">
        <v>1.2324770000000001E-6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">
        <v>243</v>
      </c>
    </row>
    <row r="2067" spans="1:18" x14ac:dyDescent="0.3">
      <c r="A2067" t="s">
        <v>259</v>
      </c>
      <c r="B2067" t="s">
        <v>46</v>
      </c>
      <c r="C2067" t="s">
        <v>342</v>
      </c>
      <c r="D2067" s="8">
        <v>2.7030899999999999E-5</v>
      </c>
      <c r="E2067" s="8">
        <v>2.0492100000000001E-6</v>
      </c>
      <c r="F2067" s="8">
        <v>3.22176E-6</v>
      </c>
      <c r="G2067" s="8">
        <v>8.6260299999999999E-7</v>
      </c>
      <c r="H2067" s="8">
        <v>8.8480499999999896E-7</v>
      </c>
      <c r="I2067" s="8">
        <v>9.3030899999999899E-7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243</v>
      </c>
    </row>
    <row r="2068" spans="1:18" x14ac:dyDescent="0.3">
      <c r="A2068" t="s">
        <v>259</v>
      </c>
      <c r="B2068" t="s">
        <v>46</v>
      </c>
      <c r="C2068" t="s">
        <v>343</v>
      </c>
      <c r="D2068" s="8">
        <v>1.9763100000000001E-5</v>
      </c>
      <c r="E2068" s="8">
        <v>1.4991800000000001E-6</v>
      </c>
      <c r="F2068" s="8">
        <v>2.36157E-6</v>
      </c>
      <c r="G2068" s="8">
        <v>6.4373300000000004E-7</v>
      </c>
      <c r="H2068" s="8">
        <v>6.6166599999999996E-7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243</v>
      </c>
    </row>
    <row r="2069" spans="1:18" x14ac:dyDescent="0.3">
      <c r="A2069" t="s">
        <v>259</v>
      </c>
      <c r="B2069" t="s">
        <v>46</v>
      </c>
      <c r="C2069" t="s">
        <v>284</v>
      </c>
      <c r="D2069">
        <v>1.3126825344899999E-2</v>
      </c>
      <c r="E2069">
        <v>1.36373151489999E-2</v>
      </c>
      <c r="F2069">
        <v>1.505542841E-2</v>
      </c>
      <c r="G2069">
        <v>1.011955797E-2</v>
      </c>
      <c r="H2069">
        <v>1.077373392E-2</v>
      </c>
      <c r="I2069">
        <v>1.0916786677000001E-2</v>
      </c>
      <c r="J2069">
        <v>1.161531203E-2</v>
      </c>
      <c r="K2069">
        <v>1.1834445064E-2</v>
      </c>
      <c r="L2069">
        <v>1.2150363666000001E-2</v>
      </c>
      <c r="M2069">
        <v>1.2383603775E-2</v>
      </c>
      <c r="N2069">
        <v>1.246366583E-2</v>
      </c>
      <c r="O2069">
        <v>0</v>
      </c>
      <c r="P2069">
        <v>0</v>
      </c>
      <c r="Q2069">
        <v>0</v>
      </c>
      <c r="R2069" t="s">
        <v>243</v>
      </c>
    </row>
    <row r="2070" spans="1:18" x14ac:dyDescent="0.3">
      <c r="A2070" t="s">
        <v>259</v>
      </c>
      <c r="B2070" t="s">
        <v>46</v>
      </c>
      <c r="C2070" t="s">
        <v>285</v>
      </c>
      <c r="D2070">
        <v>4.2814984962000001E-2</v>
      </c>
      <c r="E2070">
        <v>3.9616679359999997E-2</v>
      </c>
      <c r="F2070">
        <v>4.8362504539999997E-2</v>
      </c>
      <c r="G2070">
        <v>3.5081615999999899E-2</v>
      </c>
      <c r="H2070">
        <v>3.3917302779999998E-2</v>
      </c>
      <c r="I2070">
        <v>3.4399164730000001E-2</v>
      </c>
      <c r="J2070">
        <v>3.3802511029999899E-2</v>
      </c>
      <c r="K2070">
        <v>3.2384314730999897E-2</v>
      </c>
      <c r="L2070">
        <v>3.1577781793999997E-2</v>
      </c>
      <c r="M2070">
        <v>3.05630753599999E-2</v>
      </c>
      <c r="N2070">
        <v>2.9369687919999998E-2</v>
      </c>
      <c r="O2070">
        <v>0</v>
      </c>
      <c r="P2070">
        <v>0</v>
      </c>
      <c r="Q2070">
        <v>0</v>
      </c>
      <c r="R2070" t="s">
        <v>243</v>
      </c>
    </row>
    <row r="2071" spans="1:18" x14ac:dyDescent="0.3">
      <c r="A2071" t="s">
        <v>259</v>
      </c>
      <c r="B2071" t="s">
        <v>46</v>
      </c>
      <c r="C2071" t="s">
        <v>286</v>
      </c>
      <c r="D2071">
        <v>1.88805389905999E-2</v>
      </c>
      <c r="E2071">
        <v>2.0062947259999998E-2</v>
      </c>
      <c r="F2071">
        <v>2.2648234689999901E-2</v>
      </c>
      <c r="G2071">
        <v>1.5711738650000001E-2</v>
      </c>
      <c r="H2071">
        <v>1.6003168790000001E-2</v>
      </c>
      <c r="I2071">
        <v>1.6167653516999999E-2</v>
      </c>
      <c r="J2071">
        <v>1.6895871156000001E-2</v>
      </c>
      <c r="K2071">
        <v>1.70572500629999E-2</v>
      </c>
      <c r="L2071">
        <v>1.73575684779999E-2</v>
      </c>
      <c r="M2071">
        <v>1.7528909551999899E-2</v>
      </c>
      <c r="N2071">
        <v>1.7489663499999999E-2</v>
      </c>
      <c r="O2071">
        <v>0</v>
      </c>
      <c r="P2071">
        <v>0</v>
      </c>
      <c r="Q2071">
        <v>0</v>
      </c>
      <c r="R2071" t="s">
        <v>243</v>
      </c>
    </row>
    <row r="2072" spans="1:18" x14ac:dyDescent="0.3">
      <c r="A2072" t="s">
        <v>259</v>
      </c>
      <c r="B2072" t="s">
        <v>46</v>
      </c>
      <c r="C2072" t="s">
        <v>287</v>
      </c>
      <c r="D2072">
        <v>2.3143019702999999E-2</v>
      </c>
      <c r="E2072">
        <v>2.3606744079999999E-2</v>
      </c>
      <c r="F2072">
        <v>2.733595561E-2</v>
      </c>
      <c r="G2072">
        <v>1.929206403E-2</v>
      </c>
      <c r="H2072">
        <v>1.8442093159999898E-2</v>
      </c>
      <c r="I2072">
        <v>1.9774976925999999E-2</v>
      </c>
      <c r="J2072">
        <v>2.0366012911999999E-2</v>
      </c>
      <c r="K2072">
        <v>2.0337682358E-2</v>
      </c>
      <c r="L2072">
        <v>2.0510276934E-2</v>
      </c>
      <c r="M2072">
        <v>2.04923657799999E-2</v>
      </c>
      <c r="N2072">
        <v>2.0267285609999901E-2</v>
      </c>
      <c r="O2072">
        <v>0</v>
      </c>
      <c r="P2072">
        <v>0</v>
      </c>
      <c r="Q2072">
        <v>0</v>
      </c>
      <c r="R2072" t="s">
        <v>243</v>
      </c>
    </row>
    <row r="2073" spans="1:18" x14ac:dyDescent="0.3">
      <c r="A2073" t="s">
        <v>259</v>
      </c>
      <c r="B2073" t="s">
        <v>46</v>
      </c>
      <c r="C2073" t="s">
        <v>288</v>
      </c>
      <c r="D2073">
        <v>2.59893089875999E-2</v>
      </c>
      <c r="E2073">
        <v>2.613597216E-2</v>
      </c>
      <c r="F2073">
        <v>3.069853623E-2</v>
      </c>
      <c r="G2073">
        <v>2.1890428959999899E-2</v>
      </c>
      <c r="H2073">
        <v>2.09120106099999E-2</v>
      </c>
      <c r="I2073">
        <v>2.222231148E-2</v>
      </c>
      <c r="J2073">
        <v>2.26947150639999E-2</v>
      </c>
      <c r="K2073">
        <v>2.25280765159999E-2</v>
      </c>
      <c r="L2073">
        <v>2.26158132989999E-2</v>
      </c>
      <c r="M2073">
        <v>2.2493230610000001E-2</v>
      </c>
      <c r="N2073">
        <v>2.213883497E-2</v>
      </c>
      <c r="O2073">
        <v>0</v>
      </c>
      <c r="P2073">
        <v>0</v>
      </c>
      <c r="Q2073">
        <v>0</v>
      </c>
      <c r="R2073" t="s">
        <v>243</v>
      </c>
    </row>
    <row r="2074" spans="1:18" x14ac:dyDescent="0.3">
      <c r="A2074" t="s">
        <v>259</v>
      </c>
      <c r="B2074" t="s">
        <v>46</v>
      </c>
      <c r="C2074" t="s">
        <v>289</v>
      </c>
      <c r="D2074">
        <v>2.8513565395299999E-2</v>
      </c>
      <c r="E2074">
        <v>2.8337601729999998E-2</v>
      </c>
      <c r="F2074">
        <v>3.347546974E-2</v>
      </c>
      <c r="G2074">
        <v>2.3966632450000001E-2</v>
      </c>
      <c r="H2074">
        <v>2.3005237139999999E-2</v>
      </c>
      <c r="I2074">
        <v>2.4287434539999899E-2</v>
      </c>
      <c r="J2074">
        <v>2.4645154934000001E-2</v>
      </c>
      <c r="K2074">
        <v>2.43196422249999E-2</v>
      </c>
      <c r="L2074">
        <v>2.4312725175000001E-2</v>
      </c>
      <c r="M2074">
        <v>2.4067921190000001E-2</v>
      </c>
      <c r="N2074">
        <v>2.3583227269999899E-2</v>
      </c>
      <c r="O2074">
        <v>0</v>
      </c>
      <c r="P2074">
        <v>0</v>
      </c>
      <c r="Q2074">
        <v>0</v>
      </c>
      <c r="R2074" t="s">
        <v>243</v>
      </c>
    </row>
    <row r="2075" spans="1:18" x14ac:dyDescent="0.3">
      <c r="A2075" t="s">
        <v>259</v>
      </c>
      <c r="B2075" t="s">
        <v>46</v>
      </c>
      <c r="C2075" t="s">
        <v>290</v>
      </c>
      <c r="D2075">
        <v>3.08365496334999E-2</v>
      </c>
      <c r="E2075">
        <v>3.02656234399999E-2</v>
      </c>
      <c r="F2075">
        <v>3.5973843810000003E-2</v>
      </c>
      <c r="G2075">
        <v>2.5858141300000002E-2</v>
      </c>
      <c r="H2075">
        <v>2.4919402140000001E-2</v>
      </c>
      <c r="I2075">
        <v>2.61189556899999E-2</v>
      </c>
      <c r="J2075">
        <v>2.6333393457E-2</v>
      </c>
      <c r="K2075">
        <v>2.5859286107999899E-2</v>
      </c>
      <c r="L2075">
        <v>2.5722187678E-2</v>
      </c>
      <c r="M2075">
        <v>2.5362699599999899E-2</v>
      </c>
      <c r="N2075">
        <v>2.4764443380000001E-2</v>
      </c>
      <c r="O2075">
        <v>0</v>
      </c>
      <c r="P2075">
        <v>0</v>
      </c>
      <c r="Q2075">
        <v>0</v>
      </c>
      <c r="R2075" t="s">
        <v>243</v>
      </c>
    </row>
    <row r="2076" spans="1:18" x14ac:dyDescent="0.3">
      <c r="A2076" t="s">
        <v>259</v>
      </c>
      <c r="B2076" t="s">
        <v>46</v>
      </c>
      <c r="C2076" t="s">
        <v>291</v>
      </c>
      <c r="D2076">
        <v>3.3151116612000001E-2</v>
      </c>
      <c r="E2076">
        <v>3.2070749179999997E-2</v>
      </c>
      <c r="F2076">
        <v>3.8367411999999997E-2</v>
      </c>
      <c r="G2076">
        <v>2.7610824999999999E-2</v>
      </c>
      <c r="H2076">
        <v>2.6753215309999901E-2</v>
      </c>
      <c r="I2076">
        <v>2.7836914189999999E-2</v>
      </c>
      <c r="J2076">
        <v>2.7906396726E-2</v>
      </c>
      <c r="K2076">
        <v>2.72573443019999E-2</v>
      </c>
      <c r="L2076">
        <v>2.6996129498999901E-2</v>
      </c>
      <c r="M2076">
        <v>2.6497930039999999E-2</v>
      </c>
      <c r="N2076">
        <v>2.5764857030000001E-2</v>
      </c>
      <c r="O2076">
        <v>0</v>
      </c>
      <c r="P2076">
        <v>0</v>
      </c>
      <c r="Q2076">
        <v>0</v>
      </c>
      <c r="R2076" t="s">
        <v>243</v>
      </c>
    </row>
    <row r="2077" spans="1:18" x14ac:dyDescent="0.3">
      <c r="A2077" t="s">
        <v>259</v>
      </c>
      <c r="B2077" t="s">
        <v>46</v>
      </c>
      <c r="C2077" t="s">
        <v>292</v>
      </c>
      <c r="D2077">
        <v>3.5462889505699903E-2</v>
      </c>
      <c r="E2077">
        <v>3.3921699329999999E-2</v>
      </c>
      <c r="F2077">
        <v>4.0790679470000001E-2</v>
      </c>
      <c r="G2077">
        <v>2.95523766999999E-2</v>
      </c>
      <c r="H2077">
        <v>2.8560961520000001E-2</v>
      </c>
      <c r="I2077">
        <v>2.9543341529999899E-2</v>
      </c>
      <c r="J2077">
        <v>2.9465836372999901E-2</v>
      </c>
      <c r="K2077">
        <v>2.8620438966999898E-2</v>
      </c>
      <c r="L2077">
        <v>2.8208289301999999E-2</v>
      </c>
      <c r="M2077">
        <v>2.7564348079999901E-2</v>
      </c>
      <c r="N2077">
        <v>2.6710009119999999E-2</v>
      </c>
      <c r="O2077">
        <v>0</v>
      </c>
      <c r="P2077">
        <v>0</v>
      </c>
      <c r="Q2077">
        <v>0</v>
      </c>
      <c r="R2077" t="s">
        <v>243</v>
      </c>
    </row>
    <row r="2078" spans="1:18" x14ac:dyDescent="0.3">
      <c r="A2078" t="s">
        <v>259</v>
      </c>
      <c r="B2078" t="s">
        <v>46</v>
      </c>
      <c r="C2078" t="s">
        <v>293</v>
      </c>
      <c r="D2078">
        <v>3.83078857471E-2</v>
      </c>
      <c r="E2078">
        <v>3.6043145210000002E-2</v>
      </c>
      <c r="F2078">
        <v>4.3601730589999999E-2</v>
      </c>
      <c r="G2078">
        <v>3.1508636899999998E-2</v>
      </c>
      <c r="H2078">
        <v>3.05791003299999E-2</v>
      </c>
      <c r="I2078">
        <v>3.139090689E-2</v>
      </c>
      <c r="J2078">
        <v>3.1116609564999901E-2</v>
      </c>
      <c r="K2078">
        <v>3.00623669939999E-2</v>
      </c>
      <c r="L2078">
        <v>2.9508588512999999E-2</v>
      </c>
      <c r="M2078">
        <v>2.872892115E-2</v>
      </c>
      <c r="N2078">
        <v>2.7747062110000002E-2</v>
      </c>
      <c r="O2078">
        <v>0</v>
      </c>
      <c r="P2078">
        <v>0</v>
      </c>
      <c r="Q2078">
        <v>0</v>
      </c>
      <c r="R2078" t="s">
        <v>243</v>
      </c>
    </row>
    <row r="2079" spans="1:18" x14ac:dyDescent="0.3">
      <c r="A2079" t="s">
        <v>259</v>
      </c>
      <c r="B2079" t="s">
        <v>46</v>
      </c>
      <c r="C2079" t="s">
        <v>294</v>
      </c>
      <c r="D2079">
        <v>3.2912728999999999E-3</v>
      </c>
      <c r="E2079">
        <v>3.5500406000000002E-3</v>
      </c>
      <c r="F2079">
        <v>4.0100980999999997E-3</v>
      </c>
      <c r="G2079">
        <v>2.7130731999999999E-3</v>
      </c>
      <c r="H2079">
        <v>2.9850911399999999E-3</v>
      </c>
      <c r="I2079">
        <v>3.08305802E-3</v>
      </c>
      <c r="J2079">
        <v>3.3642445199999998E-3</v>
      </c>
      <c r="K2079">
        <v>3.5585498999999902E-3</v>
      </c>
      <c r="L2079">
        <v>3.7368718629999902E-3</v>
      </c>
      <c r="M2079">
        <v>3.88193097999999E-3</v>
      </c>
      <c r="N2079">
        <v>3.9944568299999997E-3</v>
      </c>
      <c r="O2079">
        <v>0</v>
      </c>
      <c r="P2079">
        <v>0</v>
      </c>
      <c r="Q2079">
        <v>0</v>
      </c>
      <c r="R2079" t="s">
        <v>243</v>
      </c>
    </row>
    <row r="2080" spans="1:18" x14ac:dyDescent="0.3">
      <c r="A2080" t="s">
        <v>259</v>
      </c>
      <c r="B2080" t="s">
        <v>46</v>
      </c>
      <c r="C2080" t="s">
        <v>295</v>
      </c>
      <c r="D2080">
        <v>1.16304971E-2</v>
      </c>
      <c r="E2080">
        <v>1.1305228E-2</v>
      </c>
      <c r="F2080">
        <v>1.3764132E-2</v>
      </c>
      <c r="G2080">
        <v>1.0045146E-2</v>
      </c>
      <c r="H2080">
        <v>1.01462634999999E-2</v>
      </c>
      <c r="I2080">
        <v>1.0553364299999901E-2</v>
      </c>
      <c r="J2080">
        <v>1.058580319E-2</v>
      </c>
      <c r="K2080">
        <v>1.0661969849999901E-2</v>
      </c>
      <c r="L2080">
        <v>1.071073789E-2</v>
      </c>
      <c r="M2080">
        <v>1.0663203169999899E-2</v>
      </c>
      <c r="N2080">
        <v>1.0587059799999901E-2</v>
      </c>
      <c r="O2080">
        <v>0</v>
      </c>
      <c r="P2080">
        <v>0</v>
      </c>
      <c r="Q2080">
        <v>0</v>
      </c>
      <c r="R2080" t="s">
        <v>243</v>
      </c>
    </row>
    <row r="2081" spans="1:18" x14ac:dyDescent="0.3">
      <c r="A2081" t="s">
        <v>259</v>
      </c>
      <c r="B2081" t="s">
        <v>46</v>
      </c>
      <c r="C2081" t="s">
        <v>296</v>
      </c>
      <c r="D2081">
        <v>4.7917524E-3</v>
      </c>
      <c r="E2081">
        <v>5.3198988000000003E-3</v>
      </c>
      <c r="F2081">
        <v>6.1058960000000004E-3</v>
      </c>
      <c r="G2081">
        <v>4.26195499999999E-3</v>
      </c>
      <c r="H2081">
        <v>4.4890634599999996E-3</v>
      </c>
      <c r="I2081">
        <v>4.62823892999999E-3</v>
      </c>
      <c r="J2081">
        <v>4.9650502400000003E-3</v>
      </c>
      <c r="K2081">
        <v>5.2282230500000004E-3</v>
      </c>
      <c r="L2081">
        <v>5.4560435499999898E-3</v>
      </c>
      <c r="M2081">
        <v>5.6337090700000004E-3</v>
      </c>
      <c r="N2081">
        <v>5.7664565500000001E-3</v>
      </c>
      <c r="O2081">
        <v>0</v>
      </c>
      <c r="P2081">
        <v>0</v>
      </c>
      <c r="Q2081">
        <v>0</v>
      </c>
      <c r="R2081" t="s">
        <v>243</v>
      </c>
    </row>
    <row r="2082" spans="1:18" x14ac:dyDescent="0.3">
      <c r="A2082" t="s">
        <v>259</v>
      </c>
      <c r="B2082" t="s">
        <v>46</v>
      </c>
      <c r="C2082" t="s">
        <v>297</v>
      </c>
      <c r="D2082">
        <v>5.9309031E-3</v>
      </c>
      <c r="E2082">
        <v>6.3305260000000004E-3</v>
      </c>
      <c r="F2082">
        <v>7.4302509999999997E-3</v>
      </c>
      <c r="G2082">
        <v>5.2762169999999997E-3</v>
      </c>
      <c r="H2082">
        <v>5.2056677200000004E-3</v>
      </c>
      <c r="I2082">
        <v>5.7229579899999898E-3</v>
      </c>
      <c r="J2082">
        <v>6.04878243E-3</v>
      </c>
      <c r="K2082">
        <v>6.3123908600000002E-3</v>
      </c>
      <c r="L2082">
        <v>6.5316177800000003E-3</v>
      </c>
      <c r="M2082">
        <v>6.6857572599999899E-3</v>
      </c>
      <c r="N2082">
        <v>6.7932825499999999E-3</v>
      </c>
      <c r="O2082">
        <v>0</v>
      </c>
      <c r="P2082">
        <v>0</v>
      </c>
      <c r="Q2082">
        <v>0</v>
      </c>
      <c r="R2082" t="s">
        <v>243</v>
      </c>
    </row>
    <row r="2083" spans="1:18" x14ac:dyDescent="0.3">
      <c r="A2083" t="s">
        <v>259</v>
      </c>
      <c r="B2083" t="s">
        <v>46</v>
      </c>
      <c r="C2083" t="s">
        <v>298</v>
      </c>
      <c r="D2083">
        <v>6.7068379000000001E-3</v>
      </c>
      <c r="E2083">
        <v>7.0699959999999899E-3</v>
      </c>
      <c r="F2083">
        <v>8.3972909999999994E-3</v>
      </c>
      <c r="G2083">
        <v>6.0254849999999997E-3</v>
      </c>
      <c r="H2083">
        <v>5.9471513499999998E-3</v>
      </c>
      <c r="I2083">
        <v>6.4830651699999998E-3</v>
      </c>
      <c r="J2083">
        <v>6.7923532999999998E-3</v>
      </c>
      <c r="K2083">
        <v>7.0560290599999999E-3</v>
      </c>
      <c r="L2083">
        <v>7.2745859699999997E-3</v>
      </c>
      <c r="M2083">
        <v>7.4191511699999999E-3</v>
      </c>
      <c r="N2083">
        <v>7.5097965700000003E-3</v>
      </c>
      <c r="O2083">
        <v>0</v>
      </c>
      <c r="P2083">
        <v>0</v>
      </c>
      <c r="Q2083">
        <v>0</v>
      </c>
      <c r="R2083" t="s">
        <v>243</v>
      </c>
    </row>
    <row r="2084" spans="1:18" x14ac:dyDescent="0.3">
      <c r="A2084" t="s">
        <v>259</v>
      </c>
      <c r="B2084" t="s">
        <v>46</v>
      </c>
      <c r="C2084" t="s">
        <v>299</v>
      </c>
      <c r="D2084">
        <v>7.4066380999999997E-3</v>
      </c>
      <c r="E2084">
        <v>7.7279189999999998E-3</v>
      </c>
      <c r="F2084">
        <v>9.2082120000000003E-3</v>
      </c>
      <c r="G2084">
        <v>6.6333499999999997E-3</v>
      </c>
      <c r="H2084">
        <v>6.5880731499999897E-3</v>
      </c>
      <c r="I2084">
        <v>7.1382325199999897E-3</v>
      </c>
      <c r="J2084">
        <v>7.4279356499999897E-3</v>
      </c>
      <c r="K2084">
        <v>7.6773570999999997E-3</v>
      </c>
      <c r="L2084">
        <v>7.8880638400000008E-3</v>
      </c>
      <c r="M2084">
        <v>8.0123454800000004E-3</v>
      </c>
      <c r="N2084">
        <v>8.0800768699999994E-3</v>
      </c>
      <c r="O2084">
        <v>0</v>
      </c>
      <c r="P2084">
        <v>0</v>
      </c>
      <c r="Q2084">
        <v>0</v>
      </c>
      <c r="R2084" t="s">
        <v>243</v>
      </c>
    </row>
    <row r="2085" spans="1:18" x14ac:dyDescent="0.3">
      <c r="A2085" t="s">
        <v>259</v>
      </c>
      <c r="B2085" t="s">
        <v>46</v>
      </c>
      <c r="C2085" t="s">
        <v>300</v>
      </c>
      <c r="D2085">
        <v>8.0615623000000001E-3</v>
      </c>
      <c r="E2085">
        <v>8.3163299999999898E-3</v>
      </c>
      <c r="F2085">
        <v>9.9485240000000003E-3</v>
      </c>
      <c r="G2085">
        <v>7.1951449999999896E-3</v>
      </c>
      <c r="H2085">
        <v>7.1851329100000002E-3</v>
      </c>
      <c r="I2085">
        <v>7.7307878499999899E-3</v>
      </c>
      <c r="J2085">
        <v>7.9881053599999904E-3</v>
      </c>
      <c r="K2085">
        <v>8.2227183799999902E-3</v>
      </c>
      <c r="L2085">
        <v>8.4099630799999991E-3</v>
      </c>
      <c r="M2085">
        <v>8.5128808399999902E-3</v>
      </c>
      <c r="N2085">
        <v>8.5599074099999995E-3</v>
      </c>
      <c r="O2085">
        <v>0</v>
      </c>
      <c r="P2085">
        <v>0</v>
      </c>
      <c r="Q2085">
        <v>0</v>
      </c>
      <c r="R2085" t="s">
        <v>243</v>
      </c>
    </row>
    <row r="2086" spans="1:18" x14ac:dyDescent="0.3">
      <c r="A2086" t="s">
        <v>259</v>
      </c>
      <c r="B2086" t="s">
        <v>46</v>
      </c>
      <c r="C2086" t="s">
        <v>301</v>
      </c>
      <c r="D2086">
        <v>8.7257104999999904E-3</v>
      </c>
      <c r="E2086">
        <v>8.8786030000000005E-3</v>
      </c>
      <c r="F2086">
        <v>1.0668255999999999E-2</v>
      </c>
      <c r="G2086">
        <v>7.7232810000000002E-3</v>
      </c>
      <c r="H2086">
        <v>7.7686767999999998E-3</v>
      </c>
      <c r="I2086">
        <v>8.2984243499999999E-3</v>
      </c>
      <c r="J2086">
        <v>8.5205254599999992E-3</v>
      </c>
      <c r="K2086">
        <v>8.7290311599999993E-3</v>
      </c>
      <c r="L2086">
        <v>8.8934926600000002E-3</v>
      </c>
      <c r="M2086">
        <v>8.9643333200000001E-3</v>
      </c>
      <c r="N2086">
        <v>8.9804712700000001E-3</v>
      </c>
      <c r="O2086">
        <v>0</v>
      </c>
      <c r="P2086">
        <v>0</v>
      </c>
      <c r="Q2086">
        <v>0</v>
      </c>
      <c r="R2086" t="s">
        <v>243</v>
      </c>
    </row>
    <row r="2087" spans="1:18" x14ac:dyDescent="0.3">
      <c r="A2087" t="s">
        <v>259</v>
      </c>
      <c r="B2087" t="s">
        <v>46</v>
      </c>
      <c r="C2087" t="s">
        <v>302</v>
      </c>
      <c r="D2087">
        <v>9.4018807999999999E-3</v>
      </c>
      <c r="E2087">
        <v>9.4670369999999993E-3</v>
      </c>
      <c r="F2087">
        <v>1.14081599999999E-2</v>
      </c>
      <c r="G2087">
        <v>8.3175750000000007E-3</v>
      </c>
      <c r="H2087">
        <v>8.3553731000000006E-3</v>
      </c>
      <c r="I2087">
        <v>8.8739906199999993E-3</v>
      </c>
      <c r="J2087">
        <v>9.0583512699999903E-3</v>
      </c>
      <c r="K2087">
        <v>9.2346531699999904E-3</v>
      </c>
      <c r="L2087">
        <v>9.3653504299999902E-3</v>
      </c>
      <c r="M2087">
        <v>9.4006674999999908E-3</v>
      </c>
      <c r="N2087">
        <v>9.39073866E-3</v>
      </c>
      <c r="O2087">
        <v>0</v>
      </c>
      <c r="P2087">
        <v>0</v>
      </c>
      <c r="Q2087">
        <v>0</v>
      </c>
      <c r="R2087" t="s">
        <v>243</v>
      </c>
    </row>
    <row r="2088" spans="1:18" x14ac:dyDescent="0.3">
      <c r="A2088" t="s">
        <v>259</v>
      </c>
      <c r="B2088" t="s">
        <v>46</v>
      </c>
      <c r="C2088" t="s">
        <v>303</v>
      </c>
      <c r="D2088">
        <v>1.0252895499999999E-2</v>
      </c>
      <c r="E2088">
        <v>1.01545689999999E-2</v>
      </c>
      <c r="F2088">
        <v>1.2280353000000001E-2</v>
      </c>
      <c r="G2088">
        <v>8.9261879999999998E-3</v>
      </c>
      <c r="H2088">
        <v>9.0251553999999897E-3</v>
      </c>
      <c r="I2088">
        <v>9.5104556999999999E-3</v>
      </c>
      <c r="J2088">
        <v>9.6382302199999898E-3</v>
      </c>
      <c r="K2088">
        <v>9.7782020900000002E-3</v>
      </c>
      <c r="L2088">
        <v>9.8798660699999999E-3</v>
      </c>
      <c r="M2088">
        <v>9.8838344199999994E-3</v>
      </c>
      <c r="N2088">
        <v>9.8465142399999893E-3</v>
      </c>
      <c r="O2088">
        <v>0</v>
      </c>
      <c r="P2088">
        <v>0</v>
      </c>
      <c r="Q2088">
        <v>0</v>
      </c>
      <c r="R2088" t="s">
        <v>243</v>
      </c>
    </row>
    <row r="2089" spans="1:18" x14ac:dyDescent="0.3">
      <c r="A2089" t="s">
        <v>259</v>
      </c>
      <c r="B2089" t="s">
        <v>46</v>
      </c>
      <c r="C2089" t="s">
        <v>304</v>
      </c>
      <c r="D2089">
        <v>3.0644499999999998E-3</v>
      </c>
      <c r="E2089">
        <v>4.5383799999999998E-3</v>
      </c>
      <c r="F2089">
        <v>4.7861199999999996E-3</v>
      </c>
      <c r="G2089">
        <v>4.5375399999999996E-3</v>
      </c>
      <c r="H2089">
        <v>5.0656999999999898E-3</v>
      </c>
      <c r="I2089">
        <v>5.1980199999999898E-3</v>
      </c>
      <c r="J2089">
        <v>5.28229799999999E-3</v>
      </c>
      <c r="K2089">
        <v>5.4371430000000002E-3</v>
      </c>
      <c r="L2089">
        <v>5.5501500000000002E-3</v>
      </c>
      <c r="M2089">
        <v>5.6106839999999899E-3</v>
      </c>
      <c r="N2089">
        <v>5.645298E-3</v>
      </c>
      <c r="O2089">
        <v>0</v>
      </c>
      <c r="P2089">
        <v>0</v>
      </c>
      <c r="Q2089">
        <v>0</v>
      </c>
      <c r="R2089" t="s">
        <v>243</v>
      </c>
    </row>
    <row r="2090" spans="1:18" x14ac:dyDescent="0.3">
      <c r="A2090" t="s">
        <v>259</v>
      </c>
      <c r="B2090" t="s">
        <v>46</v>
      </c>
      <c r="C2090" t="s">
        <v>305</v>
      </c>
      <c r="D2090">
        <v>5.2545700000000001E-3</v>
      </c>
      <c r="E2090">
        <v>7.2189899999999998E-3</v>
      </c>
      <c r="F2090">
        <v>7.6125799999999999E-3</v>
      </c>
      <c r="G2090">
        <v>7.3638499999999999E-3</v>
      </c>
      <c r="H2090">
        <v>7.5504700000000001E-3</v>
      </c>
      <c r="I2090">
        <v>7.9202599999999897E-3</v>
      </c>
      <c r="J2090">
        <v>8.04202999999999E-3</v>
      </c>
      <c r="K2090">
        <v>8.1543999999999991E-3</v>
      </c>
      <c r="L2090">
        <v>8.22778999999999E-3</v>
      </c>
      <c r="M2090">
        <v>8.2406000000000007E-3</v>
      </c>
      <c r="N2090">
        <v>8.2287799999999998E-3</v>
      </c>
      <c r="O2090">
        <v>0</v>
      </c>
      <c r="P2090">
        <v>0</v>
      </c>
      <c r="Q2090">
        <v>0</v>
      </c>
      <c r="R2090" t="s">
        <v>243</v>
      </c>
    </row>
    <row r="2091" spans="1:18" x14ac:dyDescent="0.3">
      <c r="A2091" t="s">
        <v>259</v>
      </c>
      <c r="B2091" t="s">
        <v>46</v>
      </c>
      <c r="C2091" t="s">
        <v>306</v>
      </c>
      <c r="D2091">
        <v>3.7158899999999999E-3</v>
      </c>
      <c r="E2091">
        <v>5.3626999999999998E-3</v>
      </c>
      <c r="F2091">
        <v>5.6382400000000001E-3</v>
      </c>
      <c r="G2091">
        <v>5.4127999999999997E-3</v>
      </c>
      <c r="H2091">
        <v>5.7152499999999998E-3</v>
      </c>
      <c r="I2091">
        <v>5.9058699999999997E-3</v>
      </c>
      <c r="J2091">
        <v>6.0168289999999996E-3</v>
      </c>
      <c r="K2091">
        <v>6.1342080000000004E-3</v>
      </c>
      <c r="L2091">
        <v>6.2161500000000001E-3</v>
      </c>
      <c r="M2091">
        <v>6.2498599999999899E-3</v>
      </c>
      <c r="N2091">
        <v>6.26422E-3</v>
      </c>
      <c r="O2091">
        <v>0</v>
      </c>
      <c r="P2091">
        <v>0</v>
      </c>
      <c r="Q2091">
        <v>0</v>
      </c>
      <c r="R2091" t="s">
        <v>243</v>
      </c>
    </row>
    <row r="2092" spans="1:18" x14ac:dyDescent="0.3">
      <c r="A2092" t="s">
        <v>259</v>
      </c>
      <c r="B2092" t="s">
        <v>46</v>
      </c>
      <c r="C2092" t="s">
        <v>307</v>
      </c>
      <c r="D2092">
        <v>4.0573199999999997E-3</v>
      </c>
      <c r="E2092">
        <v>5.6831099999999999E-3</v>
      </c>
      <c r="F2092">
        <v>5.9936199999999999E-3</v>
      </c>
      <c r="G2092">
        <v>5.77759E-3</v>
      </c>
      <c r="H2092">
        <v>5.9349499999999996E-3</v>
      </c>
      <c r="I2092">
        <v>6.2530399999999996E-3</v>
      </c>
      <c r="J2092">
        <v>6.3638139999999998E-3</v>
      </c>
      <c r="K2092">
        <v>6.4686489999999999E-3</v>
      </c>
      <c r="L2092">
        <v>6.5410299999999998E-3</v>
      </c>
      <c r="M2092">
        <v>6.5646300000000001E-3</v>
      </c>
      <c r="N2092">
        <v>6.5708099999999998E-3</v>
      </c>
      <c r="O2092">
        <v>0</v>
      </c>
      <c r="P2092">
        <v>0</v>
      </c>
      <c r="Q2092">
        <v>0</v>
      </c>
      <c r="R2092" t="s">
        <v>243</v>
      </c>
    </row>
    <row r="2093" spans="1:18" x14ac:dyDescent="0.3">
      <c r="A2093" t="s">
        <v>259</v>
      </c>
      <c r="B2093" t="s">
        <v>46</v>
      </c>
      <c r="C2093" t="s">
        <v>308</v>
      </c>
      <c r="D2093">
        <v>4.2417100000000001E-3</v>
      </c>
      <c r="E2093">
        <v>5.8842900000000004E-3</v>
      </c>
      <c r="F2093">
        <v>6.2131599999999997E-3</v>
      </c>
      <c r="G2093">
        <v>6.0015499999999996E-3</v>
      </c>
      <c r="H2093">
        <v>6.1460600000000001E-3</v>
      </c>
      <c r="I2093">
        <v>6.4692400000000002E-3</v>
      </c>
      <c r="J2093">
        <v>6.5808339999999998E-3</v>
      </c>
      <c r="K2093">
        <v>6.6857399999999999E-3</v>
      </c>
      <c r="L2093">
        <v>6.7592399999999997E-3</v>
      </c>
      <c r="M2093">
        <v>6.7831599999999999E-3</v>
      </c>
      <c r="N2093">
        <v>6.7877500000000004E-3</v>
      </c>
      <c r="O2093">
        <v>0</v>
      </c>
      <c r="P2093">
        <v>0</v>
      </c>
      <c r="Q2093">
        <v>0</v>
      </c>
      <c r="R2093" t="s">
        <v>243</v>
      </c>
    </row>
    <row r="2094" spans="1:18" x14ac:dyDescent="0.3">
      <c r="A2094" t="s">
        <v>259</v>
      </c>
      <c r="B2094" t="s">
        <v>46</v>
      </c>
      <c r="C2094" t="s">
        <v>309</v>
      </c>
      <c r="D2094">
        <v>4.3862399999999996E-3</v>
      </c>
      <c r="E2094">
        <v>6.0523499999999997E-3</v>
      </c>
      <c r="F2094">
        <v>6.3859399999999997E-3</v>
      </c>
      <c r="G2094">
        <v>6.1710599999999999E-3</v>
      </c>
      <c r="H2094">
        <v>6.3217999999999998E-3</v>
      </c>
      <c r="I2094">
        <v>6.6520399999999997E-3</v>
      </c>
      <c r="J2094">
        <v>6.7650319999999998E-3</v>
      </c>
      <c r="K2094">
        <v>6.8695689999999998E-3</v>
      </c>
      <c r="L2094">
        <v>6.9449799999999999E-3</v>
      </c>
      <c r="M2094">
        <v>6.9681400000000003E-3</v>
      </c>
      <c r="N2094">
        <v>6.9706799999999999E-3</v>
      </c>
      <c r="O2094">
        <v>0</v>
      </c>
      <c r="P2094">
        <v>0</v>
      </c>
      <c r="Q2094">
        <v>0</v>
      </c>
      <c r="R2094" t="s">
        <v>243</v>
      </c>
    </row>
    <row r="2095" spans="1:18" x14ac:dyDescent="0.3">
      <c r="A2095" t="s">
        <v>259</v>
      </c>
      <c r="B2095" t="s">
        <v>46</v>
      </c>
      <c r="C2095" t="s">
        <v>310</v>
      </c>
      <c r="D2095">
        <v>4.5098100000000004E-3</v>
      </c>
      <c r="E2095">
        <v>6.2010600000000004E-3</v>
      </c>
      <c r="F2095">
        <v>6.5420299999999999E-3</v>
      </c>
      <c r="G2095">
        <v>6.3257399999999998E-3</v>
      </c>
      <c r="H2095">
        <v>6.4853899999999997E-3</v>
      </c>
      <c r="I2095">
        <v>6.81995E-3</v>
      </c>
      <c r="J2095">
        <v>6.9323459999999998E-3</v>
      </c>
      <c r="K2095">
        <v>7.0386090000000004E-3</v>
      </c>
      <c r="L2095">
        <v>7.1127500000000001E-3</v>
      </c>
      <c r="M2095">
        <v>7.1361100000000002E-3</v>
      </c>
      <c r="N2095">
        <v>7.13804E-3</v>
      </c>
      <c r="O2095">
        <v>0</v>
      </c>
      <c r="P2095">
        <v>0</v>
      </c>
      <c r="Q2095">
        <v>0</v>
      </c>
      <c r="R2095" t="s">
        <v>243</v>
      </c>
    </row>
    <row r="2096" spans="1:18" x14ac:dyDescent="0.3">
      <c r="A2096" t="s">
        <v>259</v>
      </c>
      <c r="B2096" t="s">
        <v>46</v>
      </c>
      <c r="C2096" t="s">
        <v>311</v>
      </c>
      <c r="D2096">
        <v>4.6295399999999997E-3</v>
      </c>
      <c r="E2096">
        <v>6.34732E-3</v>
      </c>
      <c r="F2096">
        <v>6.6978300000000001E-3</v>
      </c>
      <c r="G2096">
        <v>6.47469E-3</v>
      </c>
      <c r="H2096">
        <v>6.65023E-3</v>
      </c>
      <c r="I2096">
        <v>6.9882900000000003E-3</v>
      </c>
      <c r="J2096">
        <v>7.1011399999999997E-3</v>
      </c>
      <c r="K2096">
        <v>7.2076070000000004E-3</v>
      </c>
      <c r="L2096">
        <v>7.2821799999999897E-3</v>
      </c>
      <c r="M2096">
        <v>7.3031499999999996E-3</v>
      </c>
      <c r="N2096">
        <v>7.3011100000000004E-3</v>
      </c>
      <c r="O2096">
        <v>0</v>
      </c>
      <c r="P2096">
        <v>0</v>
      </c>
      <c r="Q2096">
        <v>0</v>
      </c>
      <c r="R2096" t="s">
        <v>243</v>
      </c>
    </row>
    <row r="2097" spans="1:18" x14ac:dyDescent="0.3">
      <c r="A2097" t="s">
        <v>259</v>
      </c>
      <c r="B2097" t="s">
        <v>46</v>
      </c>
      <c r="C2097" t="s">
        <v>312</v>
      </c>
      <c r="D2097">
        <v>4.7515700000000001E-3</v>
      </c>
      <c r="E2097">
        <v>6.5110899999999998E-3</v>
      </c>
      <c r="F2097">
        <v>6.8683199999999998E-3</v>
      </c>
      <c r="G2097">
        <v>6.6530900000000004E-3</v>
      </c>
      <c r="H2097">
        <v>6.8253400000000001E-3</v>
      </c>
      <c r="I2097">
        <v>7.1723299999999898E-3</v>
      </c>
      <c r="J2097">
        <v>7.2884899999999999E-3</v>
      </c>
      <c r="K2097">
        <v>7.3956019999999898E-3</v>
      </c>
      <c r="L2097">
        <v>7.46841E-3</v>
      </c>
      <c r="M2097">
        <v>7.48658999999999E-3</v>
      </c>
      <c r="N2097">
        <v>7.4829199999999997E-3</v>
      </c>
      <c r="O2097">
        <v>0</v>
      </c>
      <c r="P2097">
        <v>0</v>
      </c>
      <c r="Q2097">
        <v>0</v>
      </c>
      <c r="R2097" t="s">
        <v>243</v>
      </c>
    </row>
    <row r="2098" spans="1:18" x14ac:dyDescent="0.3">
      <c r="A2098" t="s">
        <v>259</v>
      </c>
      <c r="B2098" t="s">
        <v>46</v>
      </c>
      <c r="C2098" t="s">
        <v>313</v>
      </c>
      <c r="D2098">
        <v>4.9156E-3</v>
      </c>
      <c r="E2098">
        <v>6.72823E-3</v>
      </c>
      <c r="F2098">
        <v>7.0943500000000001E-3</v>
      </c>
      <c r="G2098">
        <v>6.8580300000000002E-3</v>
      </c>
      <c r="H2098">
        <v>7.0500700000000003E-3</v>
      </c>
      <c r="I2098">
        <v>7.40517E-3</v>
      </c>
      <c r="J2098">
        <v>7.5229099999999998E-3</v>
      </c>
      <c r="K2098">
        <v>7.6332600000000002E-3</v>
      </c>
      <c r="L2098">
        <v>7.7093400000000003E-3</v>
      </c>
      <c r="M2098">
        <v>7.7289099999999899E-3</v>
      </c>
      <c r="N2098">
        <v>7.7244099999999897E-3</v>
      </c>
      <c r="O2098">
        <v>0</v>
      </c>
      <c r="P2098">
        <v>0</v>
      </c>
      <c r="Q2098">
        <v>0</v>
      </c>
      <c r="R2098" t="s">
        <v>243</v>
      </c>
    </row>
    <row r="2099" spans="1:18" x14ac:dyDescent="0.3">
      <c r="A2099" t="s">
        <v>259</v>
      </c>
      <c r="B2099" t="s">
        <v>46</v>
      </c>
      <c r="C2099" t="s">
        <v>314</v>
      </c>
      <c r="D2099" s="8">
        <v>4.0989200000000003E-4</v>
      </c>
      <c r="E2099" s="8">
        <v>6.2206999999999996E-4</v>
      </c>
      <c r="F2099" s="8">
        <v>6.58582E-4</v>
      </c>
      <c r="G2099" s="8">
        <v>6.2436200000000005E-4</v>
      </c>
      <c r="H2099" s="8">
        <v>7.0503700000000005E-4</v>
      </c>
      <c r="I2099" s="8">
        <v>7.1338100000000002E-4</v>
      </c>
      <c r="J2099" s="8">
        <v>7.2052499999999996E-4</v>
      </c>
      <c r="K2099" s="8">
        <v>7.3842500000000002E-4</v>
      </c>
      <c r="L2099" s="8">
        <v>7.4930500000000002E-4</v>
      </c>
      <c r="M2099" s="8">
        <v>7.5308199999999997E-4</v>
      </c>
      <c r="N2099" s="8">
        <v>7.5204500000000001E-4</v>
      </c>
      <c r="O2099">
        <v>0</v>
      </c>
      <c r="P2099">
        <v>0</v>
      </c>
      <c r="Q2099">
        <v>0</v>
      </c>
      <c r="R2099" t="s">
        <v>243</v>
      </c>
    </row>
    <row r="2100" spans="1:18" x14ac:dyDescent="0.3">
      <c r="A2100" t="s">
        <v>259</v>
      </c>
      <c r="B2100" t="s">
        <v>46</v>
      </c>
      <c r="C2100" t="s">
        <v>315</v>
      </c>
      <c r="D2100" s="8">
        <v>7.68653E-4</v>
      </c>
      <c r="E2100">
        <v>1.0452E-3</v>
      </c>
      <c r="F2100">
        <v>1.1007899999999999E-3</v>
      </c>
      <c r="G2100">
        <v>1.0644599999999999E-3</v>
      </c>
      <c r="H2100">
        <v>1.07588E-3</v>
      </c>
      <c r="I2100">
        <v>1.1138000000000001E-3</v>
      </c>
      <c r="J2100">
        <v>1.1233700000000001E-3</v>
      </c>
      <c r="K2100">
        <v>1.1266200000000001E-3</v>
      </c>
      <c r="L2100">
        <v>1.12503E-3</v>
      </c>
      <c r="M2100">
        <v>1.11644E-3</v>
      </c>
      <c r="N2100">
        <v>1.1034899999999999E-3</v>
      </c>
      <c r="O2100">
        <v>0</v>
      </c>
      <c r="P2100">
        <v>0</v>
      </c>
      <c r="Q2100">
        <v>0</v>
      </c>
      <c r="R2100" t="s">
        <v>243</v>
      </c>
    </row>
    <row r="2101" spans="1:18" x14ac:dyDescent="0.3">
      <c r="A2101" t="s">
        <v>259</v>
      </c>
      <c r="B2101" t="s">
        <v>46</v>
      </c>
      <c r="C2101" t="s">
        <v>316</v>
      </c>
      <c r="D2101" s="8">
        <v>5.15878E-4</v>
      </c>
      <c r="E2101" s="8">
        <v>7.5955599999999999E-4</v>
      </c>
      <c r="F2101" s="8">
        <v>8.0002800000000005E-4</v>
      </c>
      <c r="G2101" s="8">
        <v>7.68302E-4</v>
      </c>
      <c r="H2101" s="8">
        <v>8.0993700000000005E-4</v>
      </c>
      <c r="I2101" s="8">
        <v>8.2567899999999995E-4</v>
      </c>
      <c r="J2101" s="8">
        <v>8.3570900000000002E-4</v>
      </c>
      <c r="K2101" s="8">
        <v>8.44797E-4</v>
      </c>
      <c r="L2101" s="8">
        <v>8.4831800000000003E-4</v>
      </c>
      <c r="M2101" s="8">
        <v>8.4577399999999998E-4</v>
      </c>
      <c r="N2101" s="8">
        <v>8.3953200000000004E-4</v>
      </c>
      <c r="O2101">
        <v>0</v>
      </c>
      <c r="P2101">
        <v>0</v>
      </c>
      <c r="Q2101">
        <v>0</v>
      </c>
      <c r="R2101" t="s">
        <v>243</v>
      </c>
    </row>
    <row r="2102" spans="1:18" x14ac:dyDescent="0.3">
      <c r="A2102" t="s">
        <v>259</v>
      </c>
      <c r="B2102" t="s">
        <v>46</v>
      </c>
      <c r="C2102" t="s">
        <v>317</v>
      </c>
      <c r="D2102" s="8">
        <v>5.7524799999999999E-4</v>
      </c>
      <c r="E2102" s="8">
        <v>8.1384600000000001E-4</v>
      </c>
      <c r="F2102" s="8">
        <v>8.5938200000000001E-4</v>
      </c>
      <c r="G2102" s="8">
        <v>8.2873899999999999E-4</v>
      </c>
      <c r="H2102" s="8">
        <v>8.4369200000000005E-4</v>
      </c>
      <c r="I2102" s="8">
        <v>8.7804699999999996E-4</v>
      </c>
      <c r="J2102" s="8">
        <v>8.8761099999999996E-4</v>
      </c>
      <c r="K2102" s="8">
        <v>8.9305899999999998E-4</v>
      </c>
      <c r="L2102" s="8">
        <v>8.9406999999999996E-4</v>
      </c>
      <c r="M2102" s="8">
        <v>8.8921499999999995E-4</v>
      </c>
      <c r="N2102" s="8">
        <v>8.81086E-4</v>
      </c>
      <c r="O2102">
        <v>0</v>
      </c>
      <c r="P2102">
        <v>0</v>
      </c>
      <c r="Q2102">
        <v>0</v>
      </c>
      <c r="R2102" t="s">
        <v>243</v>
      </c>
    </row>
    <row r="2103" spans="1:18" x14ac:dyDescent="0.3">
      <c r="A2103" t="s">
        <v>259</v>
      </c>
      <c r="B2103" t="s">
        <v>46</v>
      </c>
      <c r="C2103" t="s">
        <v>318</v>
      </c>
      <c r="D2103" s="8">
        <v>6.0793999999999996E-4</v>
      </c>
      <c r="E2103" s="8">
        <v>8.4698499999999997E-4</v>
      </c>
      <c r="F2103" s="8">
        <v>8.9477000000000003E-4</v>
      </c>
      <c r="G2103" s="8">
        <v>8.64505E-4</v>
      </c>
      <c r="H2103" s="8">
        <v>8.7504499999999997E-4</v>
      </c>
      <c r="I2103" s="8">
        <v>9.0933500000000005E-4</v>
      </c>
      <c r="J2103" s="8">
        <v>9.1883199999999996E-4</v>
      </c>
      <c r="K2103" s="8">
        <v>9.2352600000000003E-4</v>
      </c>
      <c r="L2103" s="8">
        <v>9.2416199999999997E-4</v>
      </c>
      <c r="M2103" s="8">
        <v>9.1895400000000004E-4</v>
      </c>
      <c r="N2103" s="8">
        <v>9.1024200000000002E-4</v>
      </c>
      <c r="O2103">
        <v>0</v>
      </c>
      <c r="P2103">
        <v>0</v>
      </c>
      <c r="Q2103">
        <v>0</v>
      </c>
      <c r="R2103" t="s">
        <v>243</v>
      </c>
    </row>
    <row r="2104" spans="1:18" x14ac:dyDescent="0.3">
      <c r="A2104" t="s">
        <v>259</v>
      </c>
      <c r="B2104" t="s">
        <v>46</v>
      </c>
      <c r="C2104" t="s">
        <v>319</v>
      </c>
      <c r="D2104" s="8">
        <v>6.3336299999999996E-4</v>
      </c>
      <c r="E2104" s="8">
        <v>8.7369699999999999E-4</v>
      </c>
      <c r="F2104" s="8">
        <v>9.2161700000000001E-4</v>
      </c>
      <c r="G2104" s="8">
        <v>8.9060799999999998E-4</v>
      </c>
      <c r="H2104" s="8">
        <v>9.0055500000000004E-4</v>
      </c>
      <c r="I2104" s="8">
        <v>9.3534100000000002E-4</v>
      </c>
      <c r="J2104" s="8">
        <v>9.4486400000000001E-4</v>
      </c>
      <c r="K2104" s="8">
        <v>9.4906000000000005E-4</v>
      </c>
      <c r="L2104" s="8">
        <v>9.4961799999999995E-4</v>
      </c>
      <c r="M2104" s="8">
        <v>9.4404299999999999E-4</v>
      </c>
      <c r="N2104" s="8">
        <v>9.3478300000000001E-4</v>
      </c>
      <c r="O2104">
        <v>0</v>
      </c>
      <c r="P2104">
        <v>0</v>
      </c>
      <c r="Q2104">
        <v>0</v>
      </c>
      <c r="R2104" t="s">
        <v>243</v>
      </c>
    </row>
    <row r="2105" spans="1:18" x14ac:dyDescent="0.3">
      <c r="A2105" t="s">
        <v>259</v>
      </c>
      <c r="B2105" t="s">
        <v>46</v>
      </c>
      <c r="C2105" t="s">
        <v>320</v>
      </c>
      <c r="D2105" s="8">
        <v>6.5457000000000004E-4</v>
      </c>
      <c r="E2105" s="8">
        <v>8.9655599999999996E-4</v>
      </c>
      <c r="F2105" s="8">
        <v>9.4517099999999997E-4</v>
      </c>
      <c r="G2105" s="8">
        <v>9.1378399999999995E-4</v>
      </c>
      <c r="H2105" s="8">
        <v>9.2403899999999998E-4</v>
      </c>
      <c r="I2105" s="8">
        <v>9.5904599999999997E-4</v>
      </c>
      <c r="J2105" s="8">
        <v>9.6832799999999996E-4</v>
      </c>
      <c r="K2105" s="8">
        <v>9.7245199999999995E-4</v>
      </c>
      <c r="L2105" s="8">
        <v>9.7257099999999998E-4</v>
      </c>
      <c r="M2105" s="8">
        <v>9.6680300000000002E-4</v>
      </c>
      <c r="N2105" s="8">
        <v>9.5722899999999998E-4</v>
      </c>
      <c r="O2105">
        <v>0</v>
      </c>
      <c r="P2105">
        <v>0</v>
      </c>
      <c r="Q2105">
        <v>0</v>
      </c>
      <c r="R2105" t="s">
        <v>243</v>
      </c>
    </row>
    <row r="2106" spans="1:18" x14ac:dyDescent="0.3">
      <c r="A2106" t="s">
        <v>259</v>
      </c>
      <c r="B2106" t="s">
        <v>46</v>
      </c>
      <c r="C2106" t="s">
        <v>321</v>
      </c>
      <c r="D2106" s="8">
        <v>6.7438700000000003E-4</v>
      </c>
      <c r="E2106" s="8">
        <v>9.1845900000000005E-4</v>
      </c>
      <c r="F2106" s="8">
        <v>9.6820100000000002E-4</v>
      </c>
      <c r="G2106" s="8">
        <v>9.3569900000000001E-4</v>
      </c>
      <c r="H2106" s="8">
        <v>9.4759100000000001E-4</v>
      </c>
      <c r="I2106" s="8">
        <v>9.8274499999999993E-4</v>
      </c>
      <c r="J2106" s="8">
        <v>9.9192799999999999E-4</v>
      </c>
      <c r="K2106" s="8">
        <v>9.9580900000000006E-4</v>
      </c>
      <c r="L2106" s="8">
        <v>9.9574100000000007E-4</v>
      </c>
      <c r="M2106" s="8">
        <v>9.8942999999999991E-4</v>
      </c>
      <c r="N2106" s="8">
        <v>9.7909499999999992E-4</v>
      </c>
      <c r="O2106">
        <v>0</v>
      </c>
      <c r="P2106">
        <v>0</v>
      </c>
      <c r="Q2106">
        <v>0</v>
      </c>
      <c r="R2106" t="s">
        <v>243</v>
      </c>
    </row>
    <row r="2107" spans="1:18" x14ac:dyDescent="0.3">
      <c r="A2107" t="s">
        <v>259</v>
      </c>
      <c r="B2107" t="s">
        <v>46</v>
      </c>
      <c r="C2107" t="s">
        <v>322</v>
      </c>
      <c r="D2107" s="8">
        <v>6.9375800000000005E-4</v>
      </c>
      <c r="E2107" s="8">
        <v>9.4253900000000005E-4</v>
      </c>
      <c r="F2107" s="8">
        <v>9.930780000000001E-4</v>
      </c>
      <c r="G2107" s="8">
        <v>9.6166100000000005E-4</v>
      </c>
      <c r="H2107" s="8">
        <v>9.7255200000000001E-4</v>
      </c>
      <c r="I2107">
        <v>1.0086299999999999E-3</v>
      </c>
      <c r="J2107">
        <v>1.01811E-3</v>
      </c>
      <c r="K2107">
        <v>1.0217799999999999E-3</v>
      </c>
      <c r="L2107">
        <v>1.0212000000000001E-3</v>
      </c>
      <c r="M2107">
        <v>1.01428E-3</v>
      </c>
      <c r="N2107">
        <v>1.00348E-3</v>
      </c>
      <c r="O2107">
        <v>0</v>
      </c>
      <c r="P2107">
        <v>0</v>
      </c>
      <c r="Q2107">
        <v>0</v>
      </c>
      <c r="R2107" t="s">
        <v>243</v>
      </c>
    </row>
    <row r="2108" spans="1:18" x14ac:dyDescent="0.3">
      <c r="A2108" t="s">
        <v>259</v>
      </c>
      <c r="B2108" t="s">
        <v>46</v>
      </c>
      <c r="C2108" t="s">
        <v>323</v>
      </c>
      <c r="D2108" s="8">
        <v>7.1872400000000001E-4</v>
      </c>
      <c r="E2108" s="8">
        <v>9.7412099999999999E-4</v>
      </c>
      <c r="F2108">
        <v>1.0258400000000001E-3</v>
      </c>
      <c r="G2108" s="8">
        <v>9.9133399999999997E-4</v>
      </c>
      <c r="H2108">
        <v>1.0045799999999999E-3</v>
      </c>
      <c r="I2108">
        <v>1.04138E-3</v>
      </c>
      <c r="J2108">
        <v>1.0508500000000001E-3</v>
      </c>
      <c r="K2108">
        <v>1.05462E-3</v>
      </c>
      <c r="L2108">
        <v>1.05415E-3</v>
      </c>
      <c r="M2108">
        <v>1.04711E-3</v>
      </c>
      <c r="N2108">
        <v>1.03586E-3</v>
      </c>
      <c r="O2108">
        <v>0</v>
      </c>
      <c r="P2108">
        <v>0</v>
      </c>
      <c r="Q2108">
        <v>0</v>
      </c>
      <c r="R2108" t="s">
        <v>243</v>
      </c>
    </row>
    <row r="2109" spans="1:18" x14ac:dyDescent="0.3">
      <c r="A2109" t="s">
        <v>259</v>
      </c>
      <c r="B2109" t="s">
        <v>48</v>
      </c>
      <c r="C2109" t="s">
        <v>261</v>
      </c>
      <c r="D2109">
        <v>2.40574E-3</v>
      </c>
      <c r="E2109">
        <v>2.71724002E-3</v>
      </c>
      <c r="F2109">
        <v>3.3170999999999999E-3</v>
      </c>
      <c r="G2109">
        <v>3.1313799900000001E-3</v>
      </c>
      <c r="H2109">
        <v>3.1349287619999899E-3</v>
      </c>
      <c r="I2109">
        <v>3.2115478000000002E-3</v>
      </c>
      <c r="J2109">
        <v>3.1487044109999901E-3</v>
      </c>
      <c r="K2109">
        <v>3.1352442339999901E-3</v>
      </c>
      <c r="L2109">
        <v>3.1077892159999902E-3</v>
      </c>
      <c r="M2109">
        <v>3.0454931170000002E-3</v>
      </c>
      <c r="N2109">
        <v>2.9824096369999902E-3</v>
      </c>
      <c r="O2109">
        <v>0</v>
      </c>
      <c r="P2109">
        <v>0</v>
      </c>
      <c r="Q2109">
        <v>0</v>
      </c>
      <c r="R2109" t="s">
        <v>243</v>
      </c>
    </row>
    <row r="2110" spans="1:18" x14ac:dyDescent="0.3">
      <c r="A2110" t="s">
        <v>259</v>
      </c>
      <c r="B2110" t="s">
        <v>48</v>
      </c>
      <c r="C2110" t="s">
        <v>262</v>
      </c>
      <c r="D2110">
        <v>8.8324011100000006E-3</v>
      </c>
      <c r="E2110">
        <v>1.2568547899999999E-2</v>
      </c>
      <c r="F2110">
        <v>1.6743311099999901E-2</v>
      </c>
      <c r="G2110">
        <v>1.70529759999999E-2</v>
      </c>
      <c r="H2110">
        <v>1.7038815400000001E-2</v>
      </c>
      <c r="I2110">
        <v>2.07467274891E-2</v>
      </c>
      <c r="J2110">
        <v>2.2158847959299999E-2</v>
      </c>
      <c r="K2110">
        <v>2.22316294648E-2</v>
      </c>
      <c r="L2110">
        <v>2.266789682334E-2</v>
      </c>
      <c r="M2110">
        <v>2.2351866593879999E-2</v>
      </c>
      <c r="N2110">
        <v>2.1944786259799998E-2</v>
      </c>
      <c r="O2110">
        <v>0</v>
      </c>
      <c r="P2110">
        <v>0</v>
      </c>
      <c r="Q2110">
        <v>0</v>
      </c>
      <c r="R2110" t="s">
        <v>243</v>
      </c>
    </row>
    <row r="2111" spans="1:18" x14ac:dyDescent="0.3">
      <c r="A2111" t="s">
        <v>259</v>
      </c>
      <c r="B2111" t="s">
        <v>48</v>
      </c>
      <c r="C2111" t="s">
        <v>263</v>
      </c>
      <c r="D2111">
        <v>7.2366408999999896E-2</v>
      </c>
      <c r="E2111">
        <v>8.0347120999999994E-2</v>
      </c>
      <c r="F2111">
        <v>9.8917433999999999E-2</v>
      </c>
      <c r="G2111">
        <v>9.1880535999999999E-2</v>
      </c>
      <c r="H2111">
        <v>9.1326628999999895E-2</v>
      </c>
      <c r="I2111">
        <v>9.5501412088000004E-2</v>
      </c>
      <c r="J2111">
        <v>9.8758100779999997E-2</v>
      </c>
      <c r="K2111">
        <v>0.10074376633</v>
      </c>
      <c r="L2111">
        <v>0.10271299795</v>
      </c>
      <c r="M2111">
        <v>0.10421491114999901</v>
      </c>
      <c r="N2111">
        <v>0.10531653573999999</v>
      </c>
      <c r="O2111">
        <v>0</v>
      </c>
      <c r="P2111">
        <v>0</v>
      </c>
      <c r="Q2111">
        <v>0</v>
      </c>
      <c r="R2111" t="s">
        <v>243</v>
      </c>
    </row>
    <row r="2112" spans="1:18" x14ac:dyDescent="0.3">
      <c r="A2112" t="s">
        <v>259</v>
      </c>
      <c r="B2112" t="s">
        <v>48</v>
      </c>
      <c r="C2112" t="s">
        <v>324</v>
      </c>
      <c r="D2112" s="8">
        <v>2.1141999999999998E-5</v>
      </c>
      <c r="E2112" s="8">
        <v>2.2612200000000002E-6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243</v>
      </c>
    </row>
    <row r="2113" spans="1:18" x14ac:dyDescent="0.3">
      <c r="A2113" t="s">
        <v>259</v>
      </c>
      <c r="B2113" t="s">
        <v>48</v>
      </c>
      <c r="C2113" t="s">
        <v>325</v>
      </c>
      <c r="D2113" s="8">
        <v>7.5317300000000004E-7</v>
      </c>
      <c r="E2113" s="8">
        <v>9.82229E-8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243</v>
      </c>
    </row>
    <row r="2114" spans="1:18" x14ac:dyDescent="0.3">
      <c r="A2114" t="s">
        <v>259</v>
      </c>
      <c r="B2114" t="s">
        <v>48</v>
      </c>
      <c r="C2114" t="s">
        <v>326</v>
      </c>
      <c r="D2114" s="8">
        <v>1.07636E-5</v>
      </c>
      <c r="E2114" s="8">
        <v>1.25391E-6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243</v>
      </c>
    </row>
    <row r="2115" spans="1:18" x14ac:dyDescent="0.3">
      <c r="A2115" t="s">
        <v>259</v>
      </c>
      <c r="B2115" t="s">
        <v>48</v>
      </c>
      <c r="C2115" t="s">
        <v>327</v>
      </c>
      <c r="D2115" s="8">
        <v>7.8508699999999993E-6</v>
      </c>
      <c r="E2115" s="8">
        <v>8.6310700000000003E-7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243</v>
      </c>
    </row>
    <row r="2116" spans="1:18" x14ac:dyDescent="0.3">
      <c r="A2116" t="s">
        <v>259</v>
      </c>
      <c r="B2116" t="s">
        <v>48</v>
      </c>
      <c r="C2116" t="s">
        <v>328</v>
      </c>
      <c r="D2116" s="8">
        <v>6.1764400000000001E-6</v>
      </c>
      <c r="E2116" s="8">
        <v>6.8546999999999996E-7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243</v>
      </c>
    </row>
    <row r="2117" spans="1:18" x14ac:dyDescent="0.3">
      <c r="A2117" t="s">
        <v>259</v>
      </c>
      <c r="B2117" t="s">
        <v>48</v>
      </c>
      <c r="C2117" t="s">
        <v>329</v>
      </c>
      <c r="D2117" s="8">
        <v>5.0083900000000003E-6</v>
      </c>
      <c r="E2117" s="8">
        <v>5.60079E-7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243</v>
      </c>
    </row>
    <row r="2118" spans="1:18" x14ac:dyDescent="0.3">
      <c r="A2118" t="s">
        <v>259</v>
      </c>
      <c r="B2118" t="s">
        <v>48</v>
      </c>
      <c r="C2118" t="s">
        <v>330</v>
      </c>
      <c r="D2118" s="8">
        <v>4.0786199999999999E-6</v>
      </c>
      <c r="E2118" s="8">
        <v>4.66036E-7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243</v>
      </c>
    </row>
    <row r="2119" spans="1:18" x14ac:dyDescent="0.3">
      <c r="A2119" t="s">
        <v>259</v>
      </c>
      <c r="B2119" t="s">
        <v>48</v>
      </c>
      <c r="C2119" t="s">
        <v>331</v>
      </c>
      <c r="D2119" s="8">
        <v>3.2786400000000001E-6</v>
      </c>
      <c r="E2119" s="8">
        <v>3.8453200000000002E-7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243</v>
      </c>
    </row>
    <row r="2120" spans="1:18" x14ac:dyDescent="0.3">
      <c r="A2120" t="s">
        <v>259</v>
      </c>
      <c r="B2120" t="s">
        <v>48</v>
      </c>
      <c r="C2120" t="s">
        <v>332</v>
      </c>
      <c r="D2120" s="8">
        <v>2.5446199999999999E-6</v>
      </c>
      <c r="E2120" s="8">
        <v>3.0511800000000002E-7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243</v>
      </c>
    </row>
    <row r="2121" spans="1:18" x14ac:dyDescent="0.3">
      <c r="A2121" t="s">
        <v>259</v>
      </c>
      <c r="B2121" t="s">
        <v>48</v>
      </c>
      <c r="C2121" t="s">
        <v>333</v>
      </c>
      <c r="D2121" s="8">
        <v>1.8084699999999999E-6</v>
      </c>
      <c r="E2121" s="8">
        <v>2.2570399999999999E-7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243</v>
      </c>
    </row>
    <row r="2122" spans="1:18" x14ac:dyDescent="0.3">
      <c r="A2122" t="s">
        <v>259</v>
      </c>
      <c r="B2122" t="s">
        <v>48</v>
      </c>
      <c r="C2122" t="s">
        <v>264</v>
      </c>
      <c r="D2122" s="8">
        <v>3.699156E-4</v>
      </c>
      <c r="E2122" s="8">
        <v>5.7297179999999997E-4</v>
      </c>
      <c r="F2122" s="8">
        <v>6.6536500000000001E-4</v>
      </c>
      <c r="G2122" s="8">
        <v>4.6469599999999898E-4</v>
      </c>
      <c r="H2122" s="8">
        <v>4.4327709999999998E-4</v>
      </c>
      <c r="I2122" s="8">
        <v>8.4747729999999904E-4</v>
      </c>
      <c r="J2122">
        <v>1.0205170999999999E-3</v>
      </c>
      <c r="K2122">
        <v>1.0706057999999999E-3</v>
      </c>
      <c r="L2122">
        <v>1.0902193E-3</v>
      </c>
      <c r="M2122">
        <v>1.0902132000000001E-3</v>
      </c>
      <c r="N2122">
        <v>1.0947594E-3</v>
      </c>
      <c r="O2122">
        <v>0</v>
      </c>
      <c r="P2122">
        <v>0</v>
      </c>
      <c r="Q2122">
        <v>0</v>
      </c>
      <c r="R2122" t="s">
        <v>243</v>
      </c>
    </row>
    <row r="2123" spans="1:18" x14ac:dyDescent="0.3">
      <c r="A2123" t="s">
        <v>259</v>
      </c>
      <c r="B2123" t="s">
        <v>48</v>
      </c>
      <c r="C2123" t="s">
        <v>265</v>
      </c>
      <c r="D2123">
        <v>3.1339200000000001E-3</v>
      </c>
      <c r="E2123">
        <v>3.4124609999999999E-3</v>
      </c>
      <c r="F2123">
        <v>3.5441709999999901E-3</v>
      </c>
      <c r="G2123">
        <v>2.6235859999999998E-3</v>
      </c>
      <c r="H2123">
        <v>2.5284460000000002E-3</v>
      </c>
      <c r="I2123">
        <v>3.4544989999999898E-3</v>
      </c>
      <c r="J2123">
        <v>3.874682E-3</v>
      </c>
      <c r="K2123">
        <v>4.0558996999999998E-3</v>
      </c>
      <c r="L2123">
        <v>4.0860676999999899E-3</v>
      </c>
      <c r="M2123">
        <v>4.0480630999999998E-3</v>
      </c>
      <c r="N2123">
        <v>4.0064409999999899E-3</v>
      </c>
      <c r="O2123">
        <v>0</v>
      </c>
      <c r="P2123">
        <v>0</v>
      </c>
      <c r="Q2123">
        <v>0</v>
      </c>
      <c r="R2123" t="s">
        <v>243</v>
      </c>
    </row>
    <row r="2124" spans="1:18" x14ac:dyDescent="0.3">
      <c r="A2124" t="s">
        <v>259</v>
      </c>
      <c r="B2124" t="s">
        <v>48</v>
      </c>
      <c r="C2124" t="s">
        <v>266</v>
      </c>
      <c r="D2124" s="8">
        <v>6.1556200000000005E-4</v>
      </c>
      <c r="E2124" s="8">
        <v>8.7382300000000003E-4</v>
      </c>
      <c r="F2124" s="8">
        <v>9.8682499999999999E-4</v>
      </c>
      <c r="G2124" s="8">
        <v>6.9968499999999904E-4</v>
      </c>
      <c r="H2124" s="8">
        <v>6.5363729999999998E-4</v>
      </c>
      <c r="I2124">
        <v>1.2233399E-3</v>
      </c>
      <c r="J2124">
        <v>1.4704814E-3</v>
      </c>
      <c r="K2124">
        <v>1.5569135E-3</v>
      </c>
      <c r="L2124">
        <v>1.6086021E-3</v>
      </c>
      <c r="M2124">
        <v>1.6222586999999999E-3</v>
      </c>
      <c r="N2124">
        <v>1.6258371999999901E-3</v>
      </c>
      <c r="O2124">
        <v>0</v>
      </c>
      <c r="P2124">
        <v>0</v>
      </c>
      <c r="Q2124">
        <v>0</v>
      </c>
      <c r="R2124" t="s">
        <v>243</v>
      </c>
    </row>
    <row r="2125" spans="1:18" x14ac:dyDescent="0.3">
      <c r="A2125" t="s">
        <v>259</v>
      </c>
      <c r="B2125" t="s">
        <v>48</v>
      </c>
      <c r="C2125" t="s">
        <v>267</v>
      </c>
      <c r="D2125" s="8">
        <v>7.7350200000000002E-4</v>
      </c>
      <c r="E2125">
        <v>1.123949E-3</v>
      </c>
      <c r="F2125">
        <v>1.2328439999999899E-3</v>
      </c>
      <c r="G2125" s="8">
        <v>8.6426899999999997E-4</v>
      </c>
      <c r="H2125" s="8">
        <v>8.2716199999999999E-4</v>
      </c>
      <c r="I2125">
        <v>1.496977E-3</v>
      </c>
      <c r="J2125">
        <v>1.7749608E-3</v>
      </c>
      <c r="K2125">
        <v>1.8647428E-3</v>
      </c>
      <c r="L2125">
        <v>1.8994919E-3</v>
      </c>
      <c r="M2125">
        <v>1.91251679999999E-3</v>
      </c>
      <c r="N2125">
        <v>1.9157228E-3</v>
      </c>
      <c r="O2125">
        <v>0</v>
      </c>
      <c r="P2125">
        <v>0</v>
      </c>
      <c r="Q2125">
        <v>0</v>
      </c>
      <c r="R2125" t="s">
        <v>243</v>
      </c>
    </row>
    <row r="2126" spans="1:18" x14ac:dyDescent="0.3">
      <c r="A2126" t="s">
        <v>259</v>
      </c>
      <c r="B2126" t="s">
        <v>48</v>
      </c>
      <c r="C2126" t="s">
        <v>268</v>
      </c>
      <c r="D2126" s="8">
        <v>9.1577799999999904E-4</v>
      </c>
      <c r="E2126">
        <v>1.3056859999999999E-3</v>
      </c>
      <c r="F2126">
        <v>1.431517E-3</v>
      </c>
      <c r="G2126">
        <v>1.010819E-3</v>
      </c>
      <c r="H2126" s="8">
        <v>9.6122099999999995E-4</v>
      </c>
      <c r="I2126">
        <v>1.7094332000000001E-3</v>
      </c>
      <c r="J2126">
        <v>2.0163173999999998E-3</v>
      </c>
      <c r="K2126">
        <v>2.1179123000000001E-3</v>
      </c>
      <c r="L2126">
        <v>2.1540430999999901E-3</v>
      </c>
      <c r="M2126">
        <v>2.1490315000000002E-3</v>
      </c>
      <c r="N2126">
        <v>2.1489645999999999E-3</v>
      </c>
      <c r="O2126">
        <v>0</v>
      </c>
      <c r="P2126">
        <v>0</v>
      </c>
      <c r="Q2126">
        <v>0</v>
      </c>
      <c r="R2126" t="s">
        <v>243</v>
      </c>
    </row>
    <row r="2127" spans="1:18" x14ac:dyDescent="0.3">
      <c r="A2127" t="s">
        <v>259</v>
      </c>
      <c r="B2127" t="s">
        <v>48</v>
      </c>
      <c r="C2127" t="s">
        <v>269</v>
      </c>
      <c r="D2127">
        <v>1.0574359999999999E-3</v>
      </c>
      <c r="E2127">
        <v>1.4777270000000001E-3</v>
      </c>
      <c r="F2127">
        <v>1.6188330000000001E-3</v>
      </c>
      <c r="G2127">
        <v>1.146085E-3</v>
      </c>
      <c r="H2127">
        <v>1.0946840000000001E-3</v>
      </c>
      <c r="I2127">
        <v>1.90020219999999E-3</v>
      </c>
      <c r="J2127">
        <v>2.2303077999999998E-3</v>
      </c>
      <c r="K2127">
        <v>2.3428470999999999E-3</v>
      </c>
      <c r="L2127">
        <v>2.3814014000000001E-3</v>
      </c>
      <c r="M2127">
        <v>2.3632430999999902E-3</v>
      </c>
      <c r="N2127">
        <v>2.3602133E-3</v>
      </c>
      <c r="O2127">
        <v>0</v>
      </c>
      <c r="P2127">
        <v>0</v>
      </c>
      <c r="Q2127">
        <v>0</v>
      </c>
      <c r="R2127" t="s">
        <v>243</v>
      </c>
    </row>
    <row r="2128" spans="1:18" x14ac:dyDescent="0.3">
      <c r="A2128" t="s">
        <v>259</v>
      </c>
      <c r="B2128" t="s">
        <v>48</v>
      </c>
      <c r="C2128" t="s">
        <v>270</v>
      </c>
      <c r="D2128">
        <v>1.2132860000000001E-3</v>
      </c>
      <c r="E2128">
        <v>1.6486909999999899E-3</v>
      </c>
      <c r="F2128">
        <v>1.817302E-3</v>
      </c>
      <c r="G2128">
        <v>1.2909779999999999E-3</v>
      </c>
      <c r="H2128">
        <v>1.2364940000000001E-3</v>
      </c>
      <c r="I2128">
        <v>2.0907640000000002E-3</v>
      </c>
      <c r="J2128">
        <v>2.4431583000000001E-3</v>
      </c>
      <c r="K2128">
        <v>2.5655576000000002E-3</v>
      </c>
      <c r="L2128">
        <v>2.5961159999999999E-3</v>
      </c>
      <c r="M2128">
        <v>2.5761400999999998E-3</v>
      </c>
      <c r="N2128">
        <v>2.5703017999999999E-3</v>
      </c>
      <c r="O2128">
        <v>0</v>
      </c>
      <c r="P2128">
        <v>0</v>
      </c>
      <c r="Q2128">
        <v>0</v>
      </c>
      <c r="R2128" t="s">
        <v>243</v>
      </c>
    </row>
    <row r="2129" spans="1:18" x14ac:dyDescent="0.3">
      <c r="A2129" t="s">
        <v>259</v>
      </c>
      <c r="B2129" t="s">
        <v>48</v>
      </c>
      <c r="C2129" t="s">
        <v>271</v>
      </c>
      <c r="D2129">
        <v>1.3981319999999901E-3</v>
      </c>
      <c r="E2129">
        <v>1.8415020000000001E-3</v>
      </c>
      <c r="F2129">
        <v>2.0222180000000001E-3</v>
      </c>
      <c r="G2129">
        <v>1.4418160000000001E-3</v>
      </c>
      <c r="H2129">
        <v>1.3870689999999899E-3</v>
      </c>
      <c r="I2129">
        <v>2.3001179999999999E-3</v>
      </c>
      <c r="J2129">
        <v>2.6737529999999901E-3</v>
      </c>
      <c r="K2129">
        <v>2.7923167999999998E-3</v>
      </c>
      <c r="L2129">
        <v>2.8143447999999902E-3</v>
      </c>
      <c r="M2129">
        <v>2.8019146000000002E-3</v>
      </c>
      <c r="N2129">
        <v>2.7929567999999999E-3</v>
      </c>
      <c r="O2129">
        <v>0</v>
      </c>
      <c r="P2129">
        <v>0</v>
      </c>
      <c r="Q2129">
        <v>0</v>
      </c>
      <c r="R2129" t="s">
        <v>243</v>
      </c>
    </row>
    <row r="2130" spans="1:18" x14ac:dyDescent="0.3">
      <c r="A2130" t="s">
        <v>259</v>
      </c>
      <c r="B2130" t="s">
        <v>48</v>
      </c>
      <c r="C2130" t="s">
        <v>272</v>
      </c>
      <c r="D2130">
        <v>1.6378289999999999E-3</v>
      </c>
      <c r="E2130">
        <v>2.0908459999999999E-3</v>
      </c>
      <c r="F2130">
        <v>2.2719139999999999E-3</v>
      </c>
      <c r="G2130">
        <v>1.6353509999999999E-3</v>
      </c>
      <c r="H2130">
        <v>1.5842E-3</v>
      </c>
      <c r="I2130">
        <v>2.523165E-3</v>
      </c>
      <c r="J2130">
        <v>2.8990749999999901E-3</v>
      </c>
      <c r="K2130">
        <v>3.0381642E-3</v>
      </c>
      <c r="L2130">
        <v>3.0750780999999998E-3</v>
      </c>
      <c r="M2130">
        <v>3.0596693999999998E-3</v>
      </c>
      <c r="N2130">
        <v>3.0457907999999999E-3</v>
      </c>
      <c r="O2130">
        <v>0</v>
      </c>
      <c r="P2130">
        <v>0</v>
      </c>
      <c r="Q2130">
        <v>0</v>
      </c>
      <c r="R2130" t="s">
        <v>243</v>
      </c>
    </row>
    <row r="2131" spans="1:18" x14ac:dyDescent="0.3">
      <c r="A2131" t="s">
        <v>259</v>
      </c>
      <c r="B2131" t="s">
        <v>48</v>
      </c>
      <c r="C2131" t="s">
        <v>273</v>
      </c>
      <c r="D2131">
        <v>2.0050110000000001E-3</v>
      </c>
      <c r="E2131">
        <v>2.4263959999999999E-3</v>
      </c>
      <c r="F2131">
        <v>2.6174219999999999E-3</v>
      </c>
      <c r="G2131">
        <v>1.901044E-3</v>
      </c>
      <c r="H2131">
        <v>1.8220650000000001E-3</v>
      </c>
      <c r="I2131">
        <v>2.8124980000000001E-3</v>
      </c>
      <c r="J2131">
        <v>3.2210155E-3</v>
      </c>
      <c r="K2131">
        <v>3.3751585999999998E-3</v>
      </c>
      <c r="L2131">
        <v>3.4097989999999998E-3</v>
      </c>
      <c r="M2131">
        <v>3.3862441999999902E-3</v>
      </c>
      <c r="N2131">
        <v>3.3636419E-3</v>
      </c>
      <c r="O2131">
        <v>0</v>
      </c>
      <c r="P2131">
        <v>0</v>
      </c>
      <c r="Q2131">
        <v>0</v>
      </c>
      <c r="R2131" t="s">
        <v>243</v>
      </c>
    </row>
    <row r="2132" spans="1:18" x14ac:dyDescent="0.3">
      <c r="A2132" t="s">
        <v>259</v>
      </c>
      <c r="B2132" t="s">
        <v>48</v>
      </c>
      <c r="C2132" t="s">
        <v>274</v>
      </c>
      <c r="D2132" s="8">
        <v>9.5956533399999992E-6</v>
      </c>
      <c r="E2132" s="8">
        <v>1.26325771E-5</v>
      </c>
      <c r="F2132" s="8">
        <v>1.5182300850000001E-5</v>
      </c>
      <c r="G2132" s="8">
        <v>1.47684061999999E-5</v>
      </c>
      <c r="H2132" s="8">
        <v>2.088052631E-5</v>
      </c>
      <c r="I2132" s="8">
        <v>2.20354307499999E-5</v>
      </c>
      <c r="J2132" s="8">
        <v>2.1943672029999899E-5</v>
      </c>
      <c r="K2132" s="8">
        <v>2.19530414E-5</v>
      </c>
      <c r="L2132" s="8">
        <v>2.187465612E-5</v>
      </c>
      <c r="M2132" s="8">
        <v>2.1534759219999902E-5</v>
      </c>
      <c r="N2132" s="8">
        <v>2.1150473010999902E-5</v>
      </c>
      <c r="O2132">
        <v>0</v>
      </c>
      <c r="P2132">
        <v>0</v>
      </c>
      <c r="Q2132">
        <v>0</v>
      </c>
      <c r="R2132" t="s">
        <v>243</v>
      </c>
    </row>
    <row r="2133" spans="1:18" x14ac:dyDescent="0.3">
      <c r="A2133" t="s">
        <v>259</v>
      </c>
      <c r="B2133" t="s">
        <v>48</v>
      </c>
      <c r="C2133" t="s">
        <v>275</v>
      </c>
      <c r="D2133" s="8">
        <v>1.6746748000000001E-5</v>
      </c>
      <c r="E2133" s="8">
        <v>1.8082161499999999E-5</v>
      </c>
      <c r="F2133" s="8">
        <v>2.0870711E-5</v>
      </c>
      <c r="G2133" s="8">
        <v>2.02910123E-5</v>
      </c>
      <c r="H2133" s="8">
        <v>2.6161777529999999E-5</v>
      </c>
      <c r="I2133" s="8">
        <v>2.6908812820000001E-5</v>
      </c>
      <c r="J2133" s="8">
        <v>2.6397277589999999E-5</v>
      </c>
      <c r="K2133" s="8">
        <v>2.6040444250000002E-5</v>
      </c>
      <c r="L2133" s="8">
        <v>2.56049915999999E-5</v>
      </c>
      <c r="M2133" s="8">
        <v>2.4895276910000001E-5</v>
      </c>
      <c r="N2133" s="8">
        <v>2.4176466021999999E-5</v>
      </c>
      <c r="O2133">
        <v>0</v>
      </c>
      <c r="P2133">
        <v>0</v>
      </c>
      <c r="Q2133">
        <v>0</v>
      </c>
      <c r="R2133" t="s">
        <v>243</v>
      </c>
    </row>
    <row r="2134" spans="1:18" x14ac:dyDescent="0.3">
      <c r="A2134" t="s">
        <v>259</v>
      </c>
      <c r="B2134" t="s">
        <v>48</v>
      </c>
      <c r="C2134" t="s">
        <v>276</v>
      </c>
      <c r="D2134" s="8">
        <v>1.2052971179999901E-5</v>
      </c>
      <c r="E2134" s="8">
        <v>1.419967909E-5</v>
      </c>
      <c r="F2134" s="8">
        <v>1.6743254330000001E-5</v>
      </c>
      <c r="G2134" s="8">
        <v>1.6307771970000001E-5</v>
      </c>
      <c r="H2134" s="8">
        <v>2.2405071869999999E-5</v>
      </c>
      <c r="I2134" s="8">
        <v>2.33639475099999E-5</v>
      </c>
      <c r="J2134" s="8">
        <v>2.3168610859999901E-5</v>
      </c>
      <c r="K2134" s="8">
        <v>2.3050960405999999E-5</v>
      </c>
      <c r="L2134" s="8">
        <v>2.2881748319999899E-5</v>
      </c>
      <c r="M2134" s="8">
        <v>2.244205619E-5</v>
      </c>
      <c r="N2134" s="8">
        <v>2.1955336293000001E-5</v>
      </c>
      <c r="O2134">
        <v>0</v>
      </c>
      <c r="P2134">
        <v>0</v>
      </c>
      <c r="Q2134">
        <v>0</v>
      </c>
      <c r="R2134" t="s">
        <v>243</v>
      </c>
    </row>
    <row r="2135" spans="1:18" x14ac:dyDescent="0.3">
      <c r="A2135" t="s">
        <v>259</v>
      </c>
      <c r="B2135" t="s">
        <v>48</v>
      </c>
      <c r="C2135" t="s">
        <v>277</v>
      </c>
      <c r="D2135" s="8">
        <v>1.298664288E-5</v>
      </c>
      <c r="E2135" s="8">
        <v>1.493594984E-5</v>
      </c>
      <c r="F2135" s="8">
        <v>1.7459946180000001E-5</v>
      </c>
      <c r="G2135" s="8">
        <v>1.6952734719999998E-5</v>
      </c>
      <c r="H2135" s="8">
        <v>2.304044886E-5</v>
      </c>
      <c r="I2135" s="8">
        <v>2.396389666E-5</v>
      </c>
      <c r="J2135" s="8">
        <v>2.369551199E-5</v>
      </c>
      <c r="K2135" s="8">
        <v>2.3509187864999901E-5</v>
      </c>
      <c r="L2135" s="8">
        <v>2.3265832790000001E-5</v>
      </c>
      <c r="M2135" s="8">
        <v>2.27889153E-5</v>
      </c>
      <c r="N2135" s="8">
        <v>2.2273050434999999E-5</v>
      </c>
      <c r="O2135">
        <v>0</v>
      </c>
      <c r="P2135">
        <v>0</v>
      </c>
      <c r="Q2135">
        <v>0</v>
      </c>
      <c r="R2135" t="s">
        <v>243</v>
      </c>
    </row>
    <row r="2136" spans="1:18" x14ac:dyDescent="0.3">
      <c r="A2136" t="s">
        <v>259</v>
      </c>
      <c r="B2136" t="s">
        <v>48</v>
      </c>
      <c r="C2136" t="s">
        <v>278</v>
      </c>
      <c r="D2136" s="8">
        <v>1.3585473749999901E-5</v>
      </c>
      <c r="E2136" s="8">
        <v>1.5330602190000001E-5</v>
      </c>
      <c r="F2136" s="8">
        <v>1.7904489210000001E-5</v>
      </c>
      <c r="G2136" s="8">
        <v>1.7394783359999999E-5</v>
      </c>
      <c r="H2136" s="8">
        <v>2.3446248549999899E-5</v>
      </c>
      <c r="I2136" s="8">
        <v>2.4339552289999899E-5</v>
      </c>
      <c r="J2136" s="8">
        <v>2.404104395E-5</v>
      </c>
      <c r="K2136" s="8">
        <v>2.3832964661000001E-5</v>
      </c>
      <c r="L2136" s="8">
        <v>2.35653334E-5</v>
      </c>
      <c r="M2136" s="8">
        <v>2.3041463359999999E-5</v>
      </c>
      <c r="N2136" s="8">
        <v>2.2502216854E-5</v>
      </c>
      <c r="O2136">
        <v>0</v>
      </c>
      <c r="P2136">
        <v>0</v>
      </c>
      <c r="Q2136">
        <v>0</v>
      </c>
      <c r="R2136" t="s">
        <v>243</v>
      </c>
    </row>
    <row r="2137" spans="1:18" x14ac:dyDescent="0.3">
      <c r="A2137" t="s">
        <v>259</v>
      </c>
      <c r="B2137" t="s">
        <v>48</v>
      </c>
      <c r="C2137" t="s">
        <v>279</v>
      </c>
      <c r="D2137" s="8">
        <v>1.4036398099999999E-5</v>
      </c>
      <c r="E2137" s="8">
        <v>1.5644703000000001E-5</v>
      </c>
      <c r="F2137" s="8">
        <v>1.8262284830000002E-5</v>
      </c>
      <c r="G2137" s="8">
        <v>1.7739877419999999E-5</v>
      </c>
      <c r="H2137" s="8">
        <v>2.3771107389999901E-5</v>
      </c>
      <c r="I2137" s="8">
        <v>2.464498563E-5</v>
      </c>
      <c r="J2137" s="8">
        <v>2.4321324819999999E-5</v>
      </c>
      <c r="K2137" s="8">
        <v>2.4097083548E-5</v>
      </c>
      <c r="L2137" s="8">
        <v>2.38123397E-5</v>
      </c>
      <c r="M2137" s="8">
        <v>2.3254772320000001E-5</v>
      </c>
      <c r="N2137" s="8">
        <v>2.2696156135E-5</v>
      </c>
      <c r="O2137">
        <v>0</v>
      </c>
      <c r="P2137">
        <v>0</v>
      </c>
      <c r="Q2137">
        <v>0</v>
      </c>
      <c r="R2137" t="s">
        <v>243</v>
      </c>
    </row>
    <row r="2138" spans="1:18" x14ac:dyDescent="0.3">
      <c r="A2138" t="s">
        <v>259</v>
      </c>
      <c r="B2138" t="s">
        <v>48</v>
      </c>
      <c r="C2138" t="s">
        <v>280</v>
      </c>
      <c r="D2138" s="8">
        <v>1.44221757E-5</v>
      </c>
      <c r="E2138" s="8">
        <v>1.5920679499999999E-5</v>
      </c>
      <c r="F2138" s="8">
        <v>1.8599369199999999E-5</v>
      </c>
      <c r="G2138" s="8">
        <v>1.80670613999999E-5</v>
      </c>
      <c r="H2138" s="8">
        <v>2.408496009E-5</v>
      </c>
      <c r="I2138" s="8">
        <v>2.4930921120000001E-5</v>
      </c>
      <c r="J2138" s="8">
        <v>2.45852105299999E-5</v>
      </c>
      <c r="K2138" s="8">
        <v>2.4345317655999999E-5</v>
      </c>
      <c r="L2138" s="8">
        <v>2.4032529269999999E-5</v>
      </c>
      <c r="M2138" s="8">
        <v>2.3457188539999899E-5</v>
      </c>
      <c r="N2138" s="8">
        <v>2.2880473355000001E-5</v>
      </c>
      <c r="O2138">
        <v>0</v>
      </c>
      <c r="P2138">
        <v>0</v>
      </c>
      <c r="Q2138">
        <v>0</v>
      </c>
      <c r="R2138" t="s">
        <v>243</v>
      </c>
    </row>
    <row r="2139" spans="1:18" x14ac:dyDescent="0.3">
      <c r="A2139" t="s">
        <v>259</v>
      </c>
      <c r="B2139" t="s">
        <v>48</v>
      </c>
      <c r="C2139" t="s">
        <v>281</v>
      </c>
      <c r="D2139" s="8">
        <v>1.4785437E-5</v>
      </c>
      <c r="E2139" s="8">
        <v>1.6203360199999999E-5</v>
      </c>
      <c r="F2139" s="8">
        <v>1.89170428E-5</v>
      </c>
      <c r="G2139" s="8">
        <v>1.8375034599999999E-5</v>
      </c>
      <c r="H2139" s="8">
        <v>2.438520552E-5</v>
      </c>
      <c r="I2139" s="8">
        <v>2.5228948330000001E-5</v>
      </c>
      <c r="J2139" s="8">
        <v>2.4862000170000001E-5</v>
      </c>
      <c r="K2139" s="8">
        <v>2.4588670724000001E-5</v>
      </c>
      <c r="L2139" s="8">
        <v>2.4247527329999999E-5</v>
      </c>
      <c r="M2139" s="8">
        <v>2.3665015650000001E-5</v>
      </c>
      <c r="N2139" s="8">
        <v>2.3069701650999999E-5</v>
      </c>
      <c r="O2139">
        <v>0</v>
      </c>
      <c r="P2139">
        <v>0</v>
      </c>
      <c r="Q2139">
        <v>0</v>
      </c>
      <c r="R2139" t="s">
        <v>243</v>
      </c>
    </row>
    <row r="2140" spans="1:18" x14ac:dyDescent="0.3">
      <c r="A2140" t="s">
        <v>259</v>
      </c>
      <c r="B2140" t="s">
        <v>48</v>
      </c>
      <c r="C2140" t="s">
        <v>282</v>
      </c>
      <c r="D2140" s="8">
        <v>1.5163208700000001E-5</v>
      </c>
      <c r="E2140" s="8">
        <v>1.65375739E-5</v>
      </c>
      <c r="F2140" s="8">
        <v>1.92744382E-5</v>
      </c>
      <c r="G2140" s="8">
        <v>1.8736037699999899E-5</v>
      </c>
      <c r="H2140" s="8">
        <v>2.474327822E-5</v>
      </c>
      <c r="I2140" s="8">
        <v>2.5540726019999998E-5</v>
      </c>
      <c r="J2140" s="8">
        <v>2.51259562299999E-5</v>
      </c>
      <c r="K2140" s="8">
        <v>2.4846027081999999E-5</v>
      </c>
      <c r="L2140" s="8">
        <v>2.4502995399999998E-5</v>
      </c>
      <c r="M2140" s="8">
        <v>2.3898719200000001E-5</v>
      </c>
      <c r="N2140" s="8">
        <v>2.3281304528000001E-5</v>
      </c>
      <c r="O2140">
        <v>0</v>
      </c>
      <c r="P2140">
        <v>0</v>
      </c>
      <c r="Q2140">
        <v>0</v>
      </c>
      <c r="R2140" t="s">
        <v>243</v>
      </c>
    </row>
    <row r="2141" spans="1:18" x14ac:dyDescent="0.3">
      <c r="A2141" t="s">
        <v>259</v>
      </c>
      <c r="B2141" t="s">
        <v>48</v>
      </c>
      <c r="C2141" t="s">
        <v>283</v>
      </c>
      <c r="D2141" s="8">
        <v>1.5631946000000001E-5</v>
      </c>
      <c r="E2141" s="8">
        <v>1.6951638599999999E-5</v>
      </c>
      <c r="F2141" s="8">
        <v>1.9732088400000001E-5</v>
      </c>
      <c r="G2141" s="8">
        <v>1.91878919E-5</v>
      </c>
      <c r="H2141" s="8">
        <v>2.5129472099999999E-5</v>
      </c>
      <c r="I2141" s="8">
        <v>2.5933066979999899E-5</v>
      </c>
      <c r="J2141" s="8">
        <v>2.5505498589999999E-5</v>
      </c>
      <c r="K2141" s="8">
        <v>2.5206935142000001E-5</v>
      </c>
      <c r="L2141" s="8">
        <v>2.4835104670000002E-5</v>
      </c>
      <c r="M2141" s="8">
        <v>2.4197777519999999E-5</v>
      </c>
      <c r="N2141" s="8">
        <v>2.3549728985999899E-5</v>
      </c>
      <c r="O2141">
        <v>0</v>
      </c>
      <c r="P2141">
        <v>0</v>
      </c>
      <c r="Q2141">
        <v>0</v>
      </c>
      <c r="R2141" t="s">
        <v>243</v>
      </c>
    </row>
    <row r="2142" spans="1:18" x14ac:dyDescent="0.3">
      <c r="A2142" t="s">
        <v>259</v>
      </c>
      <c r="B2142" t="s">
        <v>48</v>
      </c>
      <c r="C2142" t="s">
        <v>334</v>
      </c>
      <c r="D2142" s="8">
        <v>2.10471E-5</v>
      </c>
      <c r="E2142" s="8">
        <v>2.2538400000000002E-6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243</v>
      </c>
    </row>
    <row r="2143" spans="1:18" x14ac:dyDescent="0.3">
      <c r="A2143" t="s">
        <v>259</v>
      </c>
      <c r="B2143" t="s">
        <v>48</v>
      </c>
      <c r="C2143" t="s">
        <v>335</v>
      </c>
      <c r="D2143" s="8">
        <v>7.6091499999999998E-7</v>
      </c>
      <c r="E2143" s="8">
        <v>9.8687300000000005E-8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243</v>
      </c>
    </row>
    <row r="2144" spans="1:18" x14ac:dyDescent="0.3">
      <c r="A2144" t="s">
        <v>259</v>
      </c>
      <c r="B2144" t="s">
        <v>48</v>
      </c>
      <c r="C2144" t="s">
        <v>336</v>
      </c>
      <c r="D2144" s="8">
        <v>1.0751799999999999E-5</v>
      </c>
      <c r="E2144" s="8">
        <v>1.25391E-6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243</v>
      </c>
    </row>
    <row r="2145" spans="1:18" x14ac:dyDescent="0.3">
      <c r="A2145" t="s">
        <v>259</v>
      </c>
      <c r="B2145" t="s">
        <v>48</v>
      </c>
      <c r="C2145" t="s">
        <v>337</v>
      </c>
      <c r="D2145" s="8">
        <v>7.8529400000000001E-6</v>
      </c>
      <c r="E2145" s="8">
        <v>8.6496499999999996E-7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243</v>
      </c>
    </row>
    <row r="2146" spans="1:18" x14ac:dyDescent="0.3">
      <c r="A2146" t="s">
        <v>259</v>
      </c>
      <c r="B2146" t="s">
        <v>48</v>
      </c>
      <c r="C2146" t="s">
        <v>338</v>
      </c>
      <c r="D2146" s="8">
        <v>6.18483E-6</v>
      </c>
      <c r="E2146" s="8">
        <v>6.8645699999999999E-7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243</v>
      </c>
    </row>
    <row r="2147" spans="1:18" x14ac:dyDescent="0.3">
      <c r="A2147" t="s">
        <v>259</v>
      </c>
      <c r="B2147" t="s">
        <v>48</v>
      </c>
      <c r="C2147" t="s">
        <v>339</v>
      </c>
      <c r="D2147" s="8">
        <v>5.0205599999999996E-6</v>
      </c>
      <c r="E2147" s="8">
        <v>5.63098E-7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243</v>
      </c>
    </row>
    <row r="2148" spans="1:18" x14ac:dyDescent="0.3">
      <c r="A2148" t="s">
        <v>259</v>
      </c>
      <c r="B2148" t="s">
        <v>48</v>
      </c>
      <c r="C2148" t="s">
        <v>340</v>
      </c>
      <c r="D2148" s="8">
        <v>4.0926899999999999E-6</v>
      </c>
      <c r="E2148" s="8">
        <v>4.68765E-7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243</v>
      </c>
    </row>
    <row r="2149" spans="1:18" x14ac:dyDescent="0.3">
      <c r="A2149" t="s">
        <v>259</v>
      </c>
      <c r="B2149" t="s">
        <v>48</v>
      </c>
      <c r="C2149" t="s">
        <v>341</v>
      </c>
      <c r="D2149" s="8">
        <v>3.2918800000000001E-6</v>
      </c>
      <c r="E2149" s="8">
        <v>3.8749300000000001E-7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243</v>
      </c>
    </row>
    <row r="2150" spans="1:18" x14ac:dyDescent="0.3">
      <c r="A2150" t="s">
        <v>259</v>
      </c>
      <c r="B2150" t="s">
        <v>48</v>
      </c>
      <c r="C2150" t="s">
        <v>342</v>
      </c>
      <c r="D2150" s="8">
        <v>2.5590399999999998E-6</v>
      </c>
      <c r="E2150" s="8">
        <v>3.0622100000000003E-7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243</v>
      </c>
    </row>
    <row r="2151" spans="1:18" x14ac:dyDescent="0.3">
      <c r="A2151" t="s">
        <v>259</v>
      </c>
      <c r="B2151" t="s">
        <v>48</v>
      </c>
      <c r="C2151" t="s">
        <v>343</v>
      </c>
      <c r="D2151" s="8">
        <v>1.82176E-6</v>
      </c>
      <c r="E2151" s="8">
        <v>2.2785099999999999E-7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243</v>
      </c>
    </row>
    <row r="2152" spans="1:18" x14ac:dyDescent="0.3">
      <c r="A2152" t="s">
        <v>259</v>
      </c>
      <c r="B2152" t="s">
        <v>48</v>
      </c>
      <c r="C2152" t="s">
        <v>284</v>
      </c>
      <c r="D2152">
        <v>3.0007454910000002E-3</v>
      </c>
      <c r="E2152">
        <v>3.8201399599999998E-3</v>
      </c>
      <c r="F2152">
        <v>4.6913402699999898E-3</v>
      </c>
      <c r="G2152">
        <v>4.0963178099999997E-3</v>
      </c>
      <c r="H2152">
        <v>4.0032348659999996E-3</v>
      </c>
      <c r="I2152">
        <v>4.3428924279890002E-3</v>
      </c>
      <c r="J2152">
        <v>4.2607573852999903E-3</v>
      </c>
      <c r="K2152">
        <v>4.0293951142099998E-3</v>
      </c>
      <c r="L2152">
        <v>4.1300801932499997E-3</v>
      </c>
      <c r="M2152">
        <v>4.1838024052690001E-3</v>
      </c>
      <c r="N2152">
        <v>4.2335352794399999E-3</v>
      </c>
      <c r="O2152">
        <v>0</v>
      </c>
      <c r="P2152">
        <v>0</v>
      </c>
      <c r="Q2152">
        <v>0</v>
      </c>
      <c r="R2152" t="s">
        <v>243</v>
      </c>
    </row>
    <row r="2153" spans="1:18" x14ac:dyDescent="0.3">
      <c r="A2153" t="s">
        <v>259</v>
      </c>
      <c r="B2153" t="s">
        <v>48</v>
      </c>
      <c r="C2153" t="s">
        <v>285</v>
      </c>
      <c r="D2153">
        <v>1.823510221E-2</v>
      </c>
      <c r="E2153">
        <v>1.547655413E-2</v>
      </c>
      <c r="F2153">
        <v>1.70818422999999E-2</v>
      </c>
      <c r="G2153">
        <v>1.5031773700000001E-2</v>
      </c>
      <c r="H2153">
        <v>1.34494705699999E-2</v>
      </c>
      <c r="I2153">
        <v>1.2939871726596001E-2</v>
      </c>
      <c r="J2153">
        <v>1.17663873021999E-2</v>
      </c>
      <c r="K2153">
        <v>9.9120474125479908E-3</v>
      </c>
      <c r="L2153">
        <v>9.4373053309399994E-3</v>
      </c>
      <c r="M2153">
        <v>8.9486227268199894E-3</v>
      </c>
      <c r="N2153">
        <v>8.4891025120299897E-3</v>
      </c>
      <c r="O2153">
        <v>0</v>
      </c>
      <c r="P2153">
        <v>0</v>
      </c>
      <c r="Q2153">
        <v>0</v>
      </c>
      <c r="R2153" t="s">
        <v>243</v>
      </c>
    </row>
    <row r="2154" spans="1:18" x14ac:dyDescent="0.3">
      <c r="A2154" t="s">
        <v>259</v>
      </c>
      <c r="B2154" t="s">
        <v>48</v>
      </c>
      <c r="C2154" t="s">
        <v>286</v>
      </c>
      <c r="D2154">
        <v>4.8475009439999999E-3</v>
      </c>
      <c r="E2154">
        <v>5.6031737999999998E-3</v>
      </c>
      <c r="F2154">
        <v>6.6782587000000001E-3</v>
      </c>
      <c r="G2154">
        <v>5.8862415699999998E-3</v>
      </c>
      <c r="H2154">
        <v>5.5962270700000002E-3</v>
      </c>
      <c r="I2154">
        <v>5.9845757878529996E-3</v>
      </c>
      <c r="J2154">
        <v>5.8135324897239998E-3</v>
      </c>
      <c r="K2154">
        <v>5.4416292571099903E-3</v>
      </c>
      <c r="L2154">
        <v>5.5678892236700004E-3</v>
      </c>
      <c r="M2154">
        <v>5.5997037606569898E-3</v>
      </c>
      <c r="N2154">
        <v>5.5838760106300001E-3</v>
      </c>
      <c r="O2154">
        <v>0</v>
      </c>
      <c r="P2154">
        <v>0</v>
      </c>
      <c r="Q2154">
        <v>0</v>
      </c>
      <c r="R2154" t="s">
        <v>243</v>
      </c>
    </row>
    <row r="2155" spans="1:18" x14ac:dyDescent="0.3">
      <c r="A2155" t="s">
        <v>259</v>
      </c>
      <c r="B2155" t="s">
        <v>48</v>
      </c>
      <c r="C2155" t="s">
        <v>287</v>
      </c>
      <c r="D2155">
        <v>5.9786587100000002E-3</v>
      </c>
      <c r="E2155">
        <v>6.9783150599999899E-3</v>
      </c>
      <c r="F2155">
        <v>8.0865603000000001E-3</v>
      </c>
      <c r="G2155">
        <v>7.0393462999999998E-3</v>
      </c>
      <c r="H2155">
        <v>6.7453470400000003E-3</v>
      </c>
      <c r="I2155">
        <v>7.087220361754E-3</v>
      </c>
      <c r="J2155">
        <v>6.7924992498360004E-3</v>
      </c>
      <c r="K2155">
        <v>6.2426268978100002E-3</v>
      </c>
      <c r="L2155">
        <v>6.2669243176000002E-3</v>
      </c>
      <c r="M2155">
        <v>6.2465197926799996E-3</v>
      </c>
      <c r="N2155">
        <v>6.1822425639200002E-3</v>
      </c>
      <c r="O2155">
        <v>0</v>
      </c>
      <c r="P2155">
        <v>0</v>
      </c>
      <c r="Q2155">
        <v>0</v>
      </c>
      <c r="R2155" t="s">
        <v>243</v>
      </c>
    </row>
    <row r="2156" spans="1:18" x14ac:dyDescent="0.3">
      <c r="A2156" t="s">
        <v>259</v>
      </c>
      <c r="B2156" t="s">
        <v>48</v>
      </c>
      <c r="C2156" t="s">
        <v>288</v>
      </c>
      <c r="D2156">
        <v>6.9612540299999904E-3</v>
      </c>
      <c r="E2156">
        <v>7.9182712499999992E-3</v>
      </c>
      <c r="F2156">
        <v>9.1551902999999994E-3</v>
      </c>
      <c r="G2156">
        <v>7.9997352000000001E-3</v>
      </c>
      <c r="H2156">
        <v>7.5796689200000001E-3</v>
      </c>
      <c r="I2156">
        <v>7.8981119489810007E-3</v>
      </c>
      <c r="J2156">
        <v>7.5199780493849996E-3</v>
      </c>
      <c r="K2156">
        <v>6.8426671193099996E-3</v>
      </c>
      <c r="L2156">
        <v>6.8178735141899999E-3</v>
      </c>
      <c r="M2156">
        <v>6.7138740853999899E-3</v>
      </c>
      <c r="N2156">
        <v>6.6005882586999904E-3</v>
      </c>
      <c r="O2156">
        <v>0</v>
      </c>
      <c r="P2156">
        <v>0</v>
      </c>
      <c r="Q2156">
        <v>0</v>
      </c>
      <c r="R2156" t="s">
        <v>243</v>
      </c>
    </row>
    <row r="2157" spans="1:18" x14ac:dyDescent="0.3">
      <c r="A2157" t="s">
        <v>259</v>
      </c>
      <c r="B2157" t="s">
        <v>48</v>
      </c>
      <c r="C2157" t="s">
        <v>289</v>
      </c>
      <c r="D2157">
        <v>7.9061179800000003E-3</v>
      </c>
      <c r="E2157">
        <v>8.7631131299999998E-3</v>
      </c>
      <c r="F2157">
        <v>1.01079208E-2</v>
      </c>
      <c r="G2157">
        <v>8.8327019999999996E-3</v>
      </c>
      <c r="H2157">
        <v>8.3371878700000002E-3</v>
      </c>
      <c r="I2157">
        <v>8.5908375906239998E-3</v>
      </c>
      <c r="J2157">
        <v>8.1317615770839895E-3</v>
      </c>
      <c r="K2157">
        <v>7.3337635168120004E-3</v>
      </c>
      <c r="L2157">
        <v>7.2622131921300003E-3</v>
      </c>
      <c r="M2157">
        <v>7.0923179809800002E-3</v>
      </c>
      <c r="N2157">
        <v>6.9342400276999902E-3</v>
      </c>
      <c r="O2157">
        <v>0</v>
      </c>
      <c r="P2157">
        <v>0</v>
      </c>
      <c r="Q2157">
        <v>0</v>
      </c>
      <c r="R2157" t="s">
        <v>243</v>
      </c>
    </row>
    <row r="2158" spans="1:18" x14ac:dyDescent="0.3">
      <c r="A2158" t="s">
        <v>259</v>
      </c>
      <c r="B2158" t="s">
        <v>48</v>
      </c>
      <c r="C2158" t="s">
        <v>290</v>
      </c>
      <c r="D2158">
        <v>8.9077732199999999E-3</v>
      </c>
      <c r="E2158">
        <v>9.5601137600000007E-3</v>
      </c>
      <c r="F2158">
        <v>1.1060581099999999E-2</v>
      </c>
      <c r="G2158">
        <v>9.6698934000000007E-3</v>
      </c>
      <c r="H2158">
        <v>9.0810745999999904E-3</v>
      </c>
      <c r="I2158">
        <v>9.2506141100599897E-3</v>
      </c>
      <c r="J2158">
        <v>8.70898274484499E-3</v>
      </c>
      <c r="K2158">
        <v>7.7815853581099997E-3</v>
      </c>
      <c r="L2158">
        <v>7.6428579367700004E-3</v>
      </c>
      <c r="M2158">
        <v>7.4290425901500003E-3</v>
      </c>
      <c r="N2158">
        <v>7.2265562531899996E-3</v>
      </c>
      <c r="O2158">
        <v>0</v>
      </c>
      <c r="P2158">
        <v>0</v>
      </c>
      <c r="Q2158">
        <v>0</v>
      </c>
      <c r="R2158" t="s">
        <v>243</v>
      </c>
    </row>
    <row r="2159" spans="1:18" x14ac:dyDescent="0.3">
      <c r="A2159" t="s">
        <v>259</v>
      </c>
      <c r="B2159" t="s">
        <v>48</v>
      </c>
      <c r="C2159" t="s">
        <v>291</v>
      </c>
      <c r="D2159">
        <v>1.00453239299999E-2</v>
      </c>
      <c r="E2159">
        <v>1.0408863040000001E-2</v>
      </c>
      <c r="F2159">
        <v>1.1984211200000001E-2</v>
      </c>
      <c r="G2159">
        <v>1.04828966E-2</v>
      </c>
      <c r="H2159">
        <v>9.8010663399999906E-3</v>
      </c>
      <c r="I2159">
        <v>9.9184368319529901E-3</v>
      </c>
      <c r="J2159">
        <v>9.2906980338649994E-3</v>
      </c>
      <c r="K2159">
        <v>8.2015618056859897E-3</v>
      </c>
      <c r="L2159">
        <v>7.9929837963199999E-3</v>
      </c>
      <c r="M2159">
        <v>7.7450448902799899E-3</v>
      </c>
      <c r="N2159">
        <v>7.4966901650899897E-3</v>
      </c>
      <c r="O2159">
        <v>0</v>
      </c>
      <c r="P2159">
        <v>0</v>
      </c>
      <c r="Q2159">
        <v>0</v>
      </c>
      <c r="R2159" t="s">
        <v>243</v>
      </c>
    </row>
    <row r="2160" spans="1:18" x14ac:dyDescent="0.3">
      <c r="A2160" t="s">
        <v>259</v>
      </c>
      <c r="B2160" t="s">
        <v>48</v>
      </c>
      <c r="C2160" t="s">
        <v>292</v>
      </c>
      <c r="D2160">
        <v>1.144064461E-2</v>
      </c>
      <c r="E2160">
        <v>1.1429105009999999E-2</v>
      </c>
      <c r="F2160">
        <v>1.3029194399999999E-2</v>
      </c>
      <c r="G2160">
        <v>1.1441996499999999E-2</v>
      </c>
      <c r="H2160">
        <v>1.0643662979999999E-2</v>
      </c>
      <c r="I2160">
        <v>1.06065884070099E-2</v>
      </c>
      <c r="J2160">
        <v>9.8391993442750007E-3</v>
      </c>
      <c r="K2160">
        <v>8.6094783173349902E-3</v>
      </c>
      <c r="L2160">
        <v>8.3619917520600003E-3</v>
      </c>
      <c r="M2160">
        <v>8.0601574214199997E-3</v>
      </c>
      <c r="N2160">
        <v>7.7612573540699996E-3</v>
      </c>
      <c r="O2160">
        <v>0</v>
      </c>
      <c r="P2160">
        <v>0</v>
      </c>
      <c r="Q2160">
        <v>0</v>
      </c>
      <c r="R2160" t="s">
        <v>243</v>
      </c>
    </row>
    <row r="2161" spans="1:18" x14ac:dyDescent="0.3">
      <c r="A2161" t="s">
        <v>259</v>
      </c>
      <c r="B2161" t="s">
        <v>48</v>
      </c>
      <c r="C2161" t="s">
        <v>293</v>
      </c>
      <c r="D2161">
        <v>1.340770933E-2</v>
      </c>
      <c r="E2161">
        <v>1.266788843E-2</v>
      </c>
      <c r="F2161">
        <v>1.43337746E-2</v>
      </c>
      <c r="G2161">
        <v>1.2612292799999999E-2</v>
      </c>
      <c r="H2161">
        <v>1.154294281E-2</v>
      </c>
      <c r="I2161">
        <v>1.14081928983139E-2</v>
      </c>
      <c r="J2161">
        <v>1.053479509718E-2</v>
      </c>
      <c r="K2161">
        <v>9.1050405057169909E-3</v>
      </c>
      <c r="L2161">
        <v>8.7742630471100008E-3</v>
      </c>
      <c r="M2161">
        <v>8.3988384890199899E-3</v>
      </c>
      <c r="N2161">
        <v>8.0375675463099996E-3</v>
      </c>
      <c r="O2161">
        <v>0</v>
      </c>
      <c r="P2161">
        <v>0</v>
      </c>
      <c r="Q2161">
        <v>0</v>
      </c>
      <c r="R2161" t="s">
        <v>243</v>
      </c>
    </row>
    <row r="2162" spans="1:18" x14ac:dyDescent="0.3">
      <c r="A2162" t="s">
        <v>259</v>
      </c>
      <c r="B2162" t="s">
        <v>48</v>
      </c>
      <c r="C2162" t="s">
        <v>344</v>
      </c>
      <c r="D2162" s="8">
        <v>1.76613E-5</v>
      </c>
      <c r="E2162" s="8">
        <v>1.89967E-6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243</v>
      </c>
    </row>
    <row r="2163" spans="1:18" x14ac:dyDescent="0.3">
      <c r="A2163" t="s">
        <v>259</v>
      </c>
      <c r="B2163" t="s">
        <v>48</v>
      </c>
      <c r="C2163" t="s">
        <v>345</v>
      </c>
      <c r="D2163" s="8">
        <v>1.1914599999999999E-6</v>
      </c>
      <c r="E2163" s="8">
        <v>1.4837900000000001E-7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243</v>
      </c>
    </row>
    <row r="2164" spans="1:18" x14ac:dyDescent="0.3">
      <c r="A2164" t="s">
        <v>259</v>
      </c>
      <c r="B2164" t="s">
        <v>48</v>
      </c>
      <c r="C2164" t="s">
        <v>346</v>
      </c>
      <c r="D2164" s="8">
        <v>1.02593E-5</v>
      </c>
      <c r="E2164" s="8">
        <v>1.18285E-6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243</v>
      </c>
    </row>
    <row r="2165" spans="1:18" x14ac:dyDescent="0.3">
      <c r="A2165" t="s">
        <v>259</v>
      </c>
      <c r="B2165" t="s">
        <v>48</v>
      </c>
      <c r="C2165" t="s">
        <v>347</v>
      </c>
      <c r="D2165" s="8">
        <v>7.9551200000000008E-6</v>
      </c>
      <c r="E2165" s="8">
        <v>8.7564600000000003E-7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243</v>
      </c>
    </row>
    <row r="2166" spans="1:18" x14ac:dyDescent="0.3">
      <c r="A2166" t="s">
        <v>259</v>
      </c>
      <c r="B2166" t="s">
        <v>48</v>
      </c>
      <c r="C2166" t="s">
        <v>348</v>
      </c>
      <c r="D2166" s="8">
        <v>6.5551600000000001E-6</v>
      </c>
      <c r="E2166" s="8">
        <v>7.2517699999999996E-7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243</v>
      </c>
    </row>
    <row r="2167" spans="1:18" x14ac:dyDescent="0.3">
      <c r="A2167" t="s">
        <v>259</v>
      </c>
      <c r="B2167" t="s">
        <v>48</v>
      </c>
      <c r="C2167" t="s">
        <v>349</v>
      </c>
      <c r="D2167" s="8">
        <v>5.5338999999999997E-6</v>
      </c>
      <c r="E2167" s="8">
        <v>6.1650499999999997E-7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243</v>
      </c>
    </row>
    <row r="2168" spans="1:18" x14ac:dyDescent="0.3">
      <c r="A2168" t="s">
        <v>259</v>
      </c>
      <c r="B2168" t="s">
        <v>48</v>
      </c>
      <c r="C2168" t="s">
        <v>350</v>
      </c>
      <c r="D2168" s="8">
        <v>4.6871200000000001E-6</v>
      </c>
      <c r="E2168" s="8">
        <v>5.3082100000000001E-7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243</v>
      </c>
    </row>
    <row r="2169" spans="1:18" x14ac:dyDescent="0.3">
      <c r="A2169" t="s">
        <v>259</v>
      </c>
      <c r="B2169" t="s">
        <v>48</v>
      </c>
      <c r="C2169" t="s">
        <v>351</v>
      </c>
      <c r="D2169" s="8">
        <v>3.9275600000000001E-6</v>
      </c>
      <c r="E2169" s="8">
        <v>4.5558699999999999E-7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t="s">
        <v>243</v>
      </c>
    </row>
    <row r="2170" spans="1:18" x14ac:dyDescent="0.3">
      <c r="A2170" t="s">
        <v>259</v>
      </c>
      <c r="B2170" t="s">
        <v>48</v>
      </c>
      <c r="C2170" t="s">
        <v>352</v>
      </c>
      <c r="D2170" s="8">
        <v>3.2020500000000001E-6</v>
      </c>
      <c r="E2170" s="8">
        <v>3.7617299999999999E-7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243</v>
      </c>
    </row>
    <row r="2171" spans="1:18" x14ac:dyDescent="0.3">
      <c r="A2171" t="s">
        <v>259</v>
      </c>
      <c r="B2171" t="s">
        <v>48</v>
      </c>
      <c r="C2171" t="s">
        <v>353</v>
      </c>
      <c r="D2171" s="8">
        <v>2.4275999999999998E-6</v>
      </c>
      <c r="E2171" s="8">
        <v>2.9675800000000002E-7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243</v>
      </c>
    </row>
    <row r="2172" spans="1:18" x14ac:dyDescent="0.3">
      <c r="A2172" t="s">
        <v>259</v>
      </c>
      <c r="B2172" t="s">
        <v>48</v>
      </c>
      <c r="C2172" t="s">
        <v>294</v>
      </c>
      <c r="D2172" s="8">
        <v>8.5443623000000003E-4</v>
      </c>
      <c r="E2172">
        <v>1.2379304999999899E-3</v>
      </c>
      <c r="F2172">
        <v>1.5694207E-3</v>
      </c>
      <c r="G2172">
        <v>1.5100255999999999E-3</v>
      </c>
      <c r="H2172">
        <v>1.7051671899999999E-3</v>
      </c>
      <c r="I2172">
        <v>1.8813095199999999E-3</v>
      </c>
      <c r="J2172">
        <v>1.9514306499999899E-3</v>
      </c>
      <c r="K2172">
        <v>2.0991669899999999E-3</v>
      </c>
      <c r="L2172">
        <v>2.2372752799999901E-3</v>
      </c>
      <c r="M2172">
        <v>2.3571335699999999E-3</v>
      </c>
      <c r="N2172">
        <v>2.4646500799999898E-3</v>
      </c>
      <c r="O2172">
        <v>0</v>
      </c>
      <c r="P2172">
        <v>0</v>
      </c>
      <c r="Q2172">
        <v>0</v>
      </c>
      <c r="R2172" t="s">
        <v>243</v>
      </c>
    </row>
    <row r="2173" spans="1:18" x14ac:dyDescent="0.3">
      <c r="A2173" t="s">
        <v>259</v>
      </c>
      <c r="B2173" t="s">
        <v>48</v>
      </c>
      <c r="C2173" t="s">
        <v>295</v>
      </c>
      <c r="D2173">
        <v>2.7571448999999999E-3</v>
      </c>
      <c r="E2173">
        <v>2.6874848999999998E-3</v>
      </c>
      <c r="F2173">
        <v>3.0930699999999998E-3</v>
      </c>
      <c r="G2173">
        <v>3.0222415999999999E-3</v>
      </c>
      <c r="H2173">
        <v>3.1270793999999898E-3</v>
      </c>
      <c r="I2173">
        <v>3.2293355999999901E-3</v>
      </c>
      <c r="J2173">
        <v>3.3115472199999902E-3</v>
      </c>
      <c r="K2173">
        <v>3.4012442800000001E-3</v>
      </c>
      <c r="L2173">
        <v>3.4867486699999999E-3</v>
      </c>
      <c r="M2173">
        <v>3.5541215000000001E-3</v>
      </c>
      <c r="N2173">
        <v>3.6097232999999901E-3</v>
      </c>
      <c r="O2173">
        <v>0</v>
      </c>
      <c r="P2173">
        <v>0</v>
      </c>
      <c r="Q2173">
        <v>0</v>
      </c>
      <c r="R2173" t="s">
        <v>243</v>
      </c>
    </row>
    <row r="2174" spans="1:18" x14ac:dyDescent="0.3">
      <c r="A2174" t="s">
        <v>259</v>
      </c>
      <c r="B2174" t="s">
        <v>48</v>
      </c>
      <c r="C2174" t="s">
        <v>296</v>
      </c>
      <c r="D2174">
        <v>1.2726651999999999E-3</v>
      </c>
      <c r="E2174">
        <v>1.6351676999999999E-3</v>
      </c>
      <c r="F2174">
        <v>2.0029111E-3</v>
      </c>
      <c r="G2174">
        <v>1.9454695E-3</v>
      </c>
      <c r="H2174">
        <v>2.1244018E-3</v>
      </c>
      <c r="I2174">
        <v>2.30330051999999E-3</v>
      </c>
      <c r="J2174">
        <v>2.3891550299999999E-3</v>
      </c>
      <c r="K2174">
        <v>2.5383612400000002E-3</v>
      </c>
      <c r="L2174">
        <v>2.6791817999999999E-3</v>
      </c>
      <c r="M2174">
        <v>2.7892539999999902E-3</v>
      </c>
      <c r="N2174">
        <v>2.8740236299999999E-3</v>
      </c>
      <c r="O2174">
        <v>0</v>
      </c>
      <c r="P2174">
        <v>0</v>
      </c>
      <c r="Q2174">
        <v>0</v>
      </c>
      <c r="R2174" t="s">
        <v>243</v>
      </c>
    </row>
    <row r="2175" spans="1:18" x14ac:dyDescent="0.3">
      <c r="A2175" t="s">
        <v>259</v>
      </c>
      <c r="B2175" t="s">
        <v>48</v>
      </c>
      <c r="C2175" t="s">
        <v>297</v>
      </c>
      <c r="D2175">
        <v>1.4948639E-3</v>
      </c>
      <c r="E2175">
        <v>1.8805864E-3</v>
      </c>
      <c r="F2175">
        <v>2.247583E-3</v>
      </c>
      <c r="G2175">
        <v>2.1708735E-3</v>
      </c>
      <c r="H2175">
        <v>2.3604353999999998E-3</v>
      </c>
      <c r="I2175">
        <v>2.5216730999999899E-3</v>
      </c>
      <c r="J2175">
        <v>2.6009890299999901E-3</v>
      </c>
      <c r="K2175">
        <v>2.72775795E-3</v>
      </c>
      <c r="L2175">
        <v>2.8420771300000001E-3</v>
      </c>
      <c r="M2175">
        <v>2.9390245999999999E-3</v>
      </c>
      <c r="N2175">
        <v>3.0133115399999999E-3</v>
      </c>
      <c r="O2175">
        <v>0</v>
      </c>
      <c r="P2175">
        <v>0</v>
      </c>
      <c r="Q2175">
        <v>0</v>
      </c>
      <c r="R2175" t="s">
        <v>243</v>
      </c>
    </row>
    <row r="2176" spans="1:18" x14ac:dyDescent="0.3">
      <c r="A2176" t="s">
        <v>259</v>
      </c>
      <c r="B2176" t="s">
        <v>48</v>
      </c>
      <c r="C2176" t="s">
        <v>298</v>
      </c>
      <c r="D2176">
        <v>1.6687984999999999E-3</v>
      </c>
      <c r="E2176">
        <v>2.0218711999999998E-3</v>
      </c>
      <c r="F2176">
        <v>2.4036488999999999E-3</v>
      </c>
      <c r="G2176">
        <v>2.3301947000000001E-3</v>
      </c>
      <c r="H2176">
        <v>2.5008179000000001E-3</v>
      </c>
      <c r="I2176">
        <v>2.6518157199999998E-3</v>
      </c>
      <c r="J2176">
        <v>2.7317380299999999E-3</v>
      </c>
      <c r="K2176">
        <v>2.8482429500000001E-3</v>
      </c>
      <c r="L2176">
        <v>2.9525747499999999E-3</v>
      </c>
      <c r="M2176">
        <v>3.0337953999999899E-3</v>
      </c>
      <c r="N2176">
        <v>3.10071965999999E-3</v>
      </c>
      <c r="O2176">
        <v>0</v>
      </c>
      <c r="P2176">
        <v>0</v>
      </c>
      <c r="Q2176">
        <v>0</v>
      </c>
      <c r="R2176" t="s">
        <v>243</v>
      </c>
    </row>
    <row r="2177" spans="1:18" x14ac:dyDescent="0.3">
      <c r="A2177" t="s">
        <v>259</v>
      </c>
      <c r="B2177" t="s">
        <v>48</v>
      </c>
      <c r="C2177" t="s">
        <v>299</v>
      </c>
      <c r="D2177">
        <v>1.8204496E-3</v>
      </c>
      <c r="E2177">
        <v>2.1326265E-3</v>
      </c>
      <c r="F2177">
        <v>2.5239838999999999E-3</v>
      </c>
      <c r="G2177">
        <v>2.4499134999999999E-3</v>
      </c>
      <c r="H2177">
        <v>2.6101473999999999E-3</v>
      </c>
      <c r="I2177">
        <v>2.7478897099999901E-3</v>
      </c>
      <c r="J2177">
        <v>2.8275291100000001E-3</v>
      </c>
      <c r="K2177">
        <v>2.9357368999999999E-3</v>
      </c>
      <c r="L2177">
        <v>3.0333573699999998E-3</v>
      </c>
      <c r="M2177">
        <v>3.1053633E-3</v>
      </c>
      <c r="N2177">
        <v>3.16753141E-3</v>
      </c>
      <c r="O2177">
        <v>0</v>
      </c>
      <c r="P2177">
        <v>0</v>
      </c>
      <c r="Q2177">
        <v>0</v>
      </c>
      <c r="R2177" t="s">
        <v>243</v>
      </c>
    </row>
    <row r="2178" spans="1:18" x14ac:dyDescent="0.3">
      <c r="A2178" t="s">
        <v>259</v>
      </c>
      <c r="B2178" t="s">
        <v>48</v>
      </c>
      <c r="C2178" t="s">
        <v>300</v>
      </c>
      <c r="D2178">
        <v>1.9656156000000002E-3</v>
      </c>
      <c r="E2178">
        <v>2.2245284000000001E-3</v>
      </c>
      <c r="F2178">
        <v>2.6288127000000001E-3</v>
      </c>
      <c r="G2178">
        <v>2.5550459999999901E-3</v>
      </c>
      <c r="H2178">
        <v>2.7038267999999902E-3</v>
      </c>
      <c r="I2178">
        <v>2.8282834200000001E-3</v>
      </c>
      <c r="J2178">
        <v>2.9080277199999998E-3</v>
      </c>
      <c r="K2178">
        <v>3.0090977099999998E-3</v>
      </c>
      <c r="L2178">
        <v>3.0987389000000001E-3</v>
      </c>
      <c r="M2178">
        <v>3.1673871999999999E-3</v>
      </c>
      <c r="N2178">
        <v>3.22641419E-3</v>
      </c>
      <c r="O2178">
        <v>0</v>
      </c>
      <c r="P2178">
        <v>0</v>
      </c>
      <c r="Q2178">
        <v>0</v>
      </c>
      <c r="R2178" t="s">
        <v>243</v>
      </c>
    </row>
    <row r="2179" spans="1:18" x14ac:dyDescent="0.3">
      <c r="A2179" t="s">
        <v>259</v>
      </c>
      <c r="B2179" t="s">
        <v>48</v>
      </c>
      <c r="C2179" t="s">
        <v>301</v>
      </c>
      <c r="D2179">
        <v>2.1124182000000001E-3</v>
      </c>
      <c r="E2179">
        <v>2.3105669999999999E-3</v>
      </c>
      <c r="F2179">
        <v>2.7177460000000001E-3</v>
      </c>
      <c r="G2179">
        <v>2.6444767E-3</v>
      </c>
      <c r="H2179">
        <v>2.7837575000000002E-3</v>
      </c>
      <c r="I2179">
        <v>2.9027543000000001E-3</v>
      </c>
      <c r="J2179">
        <v>2.9828147899999902E-3</v>
      </c>
      <c r="K2179">
        <v>3.07420412E-3</v>
      </c>
      <c r="L2179">
        <v>3.1579133200000001E-3</v>
      </c>
      <c r="M2179">
        <v>3.2268011000000001E-3</v>
      </c>
      <c r="N2179">
        <v>3.2837637599999999E-3</v>
      </c>
      <c r="O2179">
        <v>0</v>
      </c>
      <c r="P2179">
        <v>0</v>
      </c>
      <c r="Q2179">
        <v>0</v>
      </c>
      <c r="R2179" t="s">
        <v>243</v>
      </c>
    </row>
    <row r="2180" spans="1:18" x14ac:dyDescent="0.3">
      <c r="A2180" t="s">
        <v>259</v>
      </c>
      <c r="B2180" t="s">
        <v>48</v>
      </c>
      <c r="C2180" t="s">
        <v>302</v>
      </c>
      <c r="D2180">
        <v>2.2686046999999998E-3</v>
      </c>
      <c r="E2180">
        <v>2.4003155999999999E-3</v>
      </c>
      <c r="F2180">
        <v>2.8059424999999998E-3</v>
      </c>
      <c r="G2180">
        <v>2.7366406E-3</v>
      </c>
      <c r="H2180">
        <v>2.867142E-3</v>
      </c>
      <c r="I2180">
        <v>2.9722870000000001E-3</v>
      </c>
      <c r="J2180">
        <v>3.04770759999999E-3</v>
      </c>
      <c r="K2180">
        <v>3.1378550599999999E-3</v>
      </c>
      <c r="L2180">
        <v>3.2229716599999998E-3</v>
      </c>
      <c r="M2180">
        <v>3.2901751999999999E-3</v>
      </c>
      <c r="N2180">
        <v>3.3459027400000001E-3</v>
      </c>
      <c r="O2180">
        <v>0</v>
      </c>
      <c r="P2180">
        <v>0</v>
      </c>
      <c r="Q2180">
        <v>0</v>
      </c>
      <c r="R2180" t="s">
        <v>243</v>
      </c>
    </row>
    <row r="2181" spans="1:18" x14ac:dyDescent="0.3">
      <c r="A2181" t="s">
        <v>259</v>
      </c>
      <c r="B2181" t="s">
        <v>48</v>
      </c>
      <c r="C2181" t="s">
        <v>303</v>
      </c>
      <c r="D2181">
        <v>2.4496809E-3</v>
      </c>
      <c r="E2181">
        <v>2.4939158E-3</v>
      </c>
      <c r="F2181">
        <v>2.9024294999999999E-3</v>
      </c>
      <c r="G2181">
        <v>2.834526E-3</v>
      </c>
      <c r="H2181">
        <v>2.9461393000000001E-3</v>
      </c>
      <c r="I2181">
        <v>3.051331E-3</v>
      </c>
      <c r="J2181">
        <v>3.1313531600000001E-3</v>
      </c>
      <c r="K2181">
        <v>3.2197543999999902E-3</v>
      </c>
      <c r="L2181">
        <v>3.3032869200000001E-3</v>
      </c>
      <c r="M2181">
        <v>3.3691913000000002E-3</v>
      </c>
      <c r="N2181">
        <v>3.4240868599999899E-3</v>
      </c>
      <c r="O2181">
        <v>0</v>
      </c>
      <c r="P2181">
        <v>0</v>
      </c>
      <c r="Q2181">
        <v>0</v>
      </c>
      <c r="R2181" t="s">
        <v>243</v>
      </c>
    </row>
    <row r="2182" spans="1:18" x14ac:dyDescent="0.3">
      <c r="A2182" t="s">
        <v>259</v>
      </c>
      <c r="B2182" t="s">
        <v>48</v>
      </c>
      <c r="C2182" t="s">
        <v>304</v>
      </c>
      <c r="D2182">
        <v>1.8982599999999999E-3</v>
      </c>
      <c r="E2182">
        <v>2.48161E-3</v>
      </c>
      <c r="F2182">
        <v>2.98388E-3</v>
      </c>
      <c r="G2182">
        <v>2.8905900000000002E-3</v>
      </c>
      <c r="H2182">
        <v>3.05559E-3</v>
      </c>
      <c r="I2182">
        <v>3.1982059999999999E-3</v>
      </c>
      <c r="J2182">
        <v>3.283832E-3</v>
      </c>
      <c r="K2182">
        <v>3.4037270000000001E-3</v>
      </c>
      <c r="L2182">
        <v>3.5142929999999999E-3</v>
      </c>
      <c r="M2182">
        <v>3.6036200000000001E-3</v>
      </c>
      <c r="N2182">
        <v>3.6810179999999999E-3</v>
      </c>
      <c r="O2182">
        <v>0</v>
      </c>
      <c r="P2182">
        <v>0</v>
      </c>
      <c r="Q2182">
        <v>0</v>
      </c>
      <c r="R2182" t="s">
        <v>243</v>
      </c>
    </row>
    <row r="2183" spans="1:18" x14ac:dyDescent="0.3">
      <c r="A2183" t="s">
        <v>259</v>
      </c>
      <c r="B2183" t="s">
        <v>48</v>
      </c>
      <c r="C2183" t="s">
        <v>305</v>
      </c>
      <c r="D2183">
        <v>3.2746699999999999E-3</v>
      </c>
      <c r="E2183">
        <v>3.5437099999999998E-3</v>
      </c>
      <c r="F2183">
        <v>4.0902500000000001E-3</v>
      </c>
      <c r="G2183">
        <v>3.9792400000000002E-3</v>
      </c>
      <c r="H2183">
        <v>4.12510999999999E-3</v>
      </c>
      <c r="I2183">
        <v>4.2636100000000001E-3</v>
      </c>
      <c r="J2183">
        <v>4.3674320000000001E-3</v>
      </c>
      <c r="K2183">
        <v>4.4879489999999998E-3</v>
      </c>
      <c r="L2183">
        <v>4.6010599999999997E-3</v>
      </c>
      <c r="M2183">
        <v>4.6920199999999999E-3</v>
      </c>
      <c r="N2183">
        <v>4.7699439999999999E-3</v>
      </c>
      <c r="O2183">
        <v>0</v>
      </c>
      <c r="P2183">
        <v>0</v>
      </c>
      <c r="Q2183">
        <v>0</v>
      </c>
      <c r="R2183" t="s">
        <v>243</v>
      </c>
    </row>
    <row r="2184" spans="1:18" x14ac:dyDescent="0.3">
      <c r="A2184" t="s">
        <v>259</v>
      </c>
      <c r="B2184" t="s">
        <v>48</v>
      </c>
      <c r="C2184" t="s">
        <v>306</v>
      </c>
      <c r="D2184">
        <v>2.3717500000000002E-3</v>
      </c>
      <c r="E2184">
        <v>2.7852599999999999E-3</v>
      </c>
      <c r="F2184">
        <v>3.28452E-3</v>
      </c>
      <c r="G2184">
        <v>3.1960500000000002E-3</v>
      </c>
      <c r="H2184">
        <v>3.3290999999999898E-3</v>
      </c>
      <c r="I2184">
        <v>3.454567E-3</v>
      </c>
      <c r="J2184">
        <v>3.5503659999999901E-3</v>
      </c>
      <c r="K2184">
        <v>3.6646040000000001E-3</v>
      </c>
      <c r="L2184">
        <v>3.7778439999999998E-3</v>
      </c>
      <c r="M2184">
        <v>3.8680059999999998E-3</v>
      </c>
      <c r="N2184">
        <v>3.9417929999999999E-3</v>
      </c>
      <c r="O2184">
        <v>0</v>
      </c>
      <c r="P2184">
        <v>0</v>
      </c>
      <c r="Q2184">
        <v>0</v>
      </c>
      <c r="R2184" t="s">
        <v>243</v>
      </c>
    </row>
    <row r="2185" spans="1:18" x14ac:dyDescent="0.3">
      <c r="A2185" t="s">
        <v>259</v>
      </c>
      <c r="B2185" t="s">
        <v>48</v>
      </c>
      <c r="C2185" t="s">
        <v>307</v>
      </c>
      <c r="D2185">
        <v>2.5499199999999998E-3</v>
      </c>
      <c r="E2185">
        <v>2.9281200000000002E-3</v>
      </c>
      <c r="F2185">
        <v>3.42312E-3</v>
      </c>
      <c r="G2185">
        <v>3.3236199999999998E-3</v>
      </c>
      <c r="H2185">
        <v>3.4527E-3</v>
      </c>
      <c r="I2185">
        <v>3.582895E-3</v>
      </c>
      <c r="J2185">
        <v>3.6758440000000002E-3</v>
      </c>
      <c r="K2185">
        <v>3.7838029999999901E-3</v>
      </c>
      <c r="L2185">
        <v>3.8884900000000001E-3</v>
      </c>
      <c r="M2185">
        <v>3.9788949999999997E-3</v>
      </c>
      <c r="N2185">
        <v>4.0536529999999999E-3</v>
      </c>
      <c r="O2185">
        <v>0</v>
      </c>
      <c r="P2185">
        <v>0</v>
      </c>
      <c r="Q2185">
        <v>0</v>
      </c>
      <c r="R2185" t="s">
        <v>243</v>
      </c>
    </row>
    <row r="2186" spans="1:18" x14ac:dyDescent="0.3">
      <c r="A2186" t="s">
        <v>259</v>
      </c>
      <c r="B2186" t="s">
        <v>48</v>
      </c>
      <c r="C2186" t="s">
        <v>308</v>
      </c>
      <c r="D2186">
        <v>2.6638899999999999E-3</v>
      </c>
      <c r="E2186">
        <v>3.0049299999999998E-3</v>
      </c>
      <c r="F2186">
        <v>3.5095600000000001E-3</v>
      </c>
      <c r="G2186">
        <v>3.4108099999999998E-3</v>
      </c>
      <c r="H2186">
        <v>3.5368800000000001E-3</v>
      </c>
      <c r="I2186">
        <v>3.6669319999999999E-3</v>
      </c>
      <c r="J2186">
        <v>3.7613730000000001E-3</v>
      </c>
      <c r="K2186">
        <v>3.8704779999999901E-3</v>
      </c>
      <c r="L2186">
        <v>3.9756990000000001E-3</v>
      </c>
      <c r="M2186">
        <v>4.0609029999999898E-3</v>
      </c>
      <c r="N2186">
        <v>4.1357949999999899E-3</v>
      </c>
      <c r="O2186">
        <v>0</v>
      </c>
      <c r="P2186">
        <v>0</v>
      </c>
      <c r="Q2186">
        <v>0</v>
      </c>
      <c r="R2186" t="s">
        <v>243</v>
      </c>
    </row>
    <row r="2187" spans="1:18" x14ac:dyDescent="0.3">
      <c r="A2187" t="s">
        <v>259</v>
      </c>
      <c r="B2187" t="s">
        <v>48</v>
      </c>
      <c r="C2187" t="s">
        <v>309</v>
      </c>
      <c r="D2187">
        <v>2.74961E-3</v>
      </c>
      <c r="E2187">
        <v>3.0662599999999999E-3</v>
      </c>
      <c r="F2187">
        <v>3.5793299999999999E-3</v>
      </c>
      <c r="G2187">
        <v>3.4787300000000002E-3</v>
      </c>
      <c r="H2187">
        <v>3.6058599999999998E-3</v>
      </c>
      <c r="I2187">
        <v>3.7365689999999999E-3</v>
      </c>
      <c r="J2187">
        <v>3.8318789999999998E-3</v>
      </c>
      <c r="K2187">
        <v>3.94232E-3</v>
      </c>
      <c r="L2187">
        <v>4.0487170000000003E-3</v>
      </c>
      <c r="M2187">
        <v>4.1310169999999998E-3</v>
      </c>
      <c r="N2187">
        <v>4.2061900000000003E-3</v>
      </c>
      <c r="O2187">
        <v>0</v>
      </c>
      <c r="P2187">
        <v>0</v>
      </c>
      <c r="Q2187">
        <v>0</v>
      </c>
      <c r="R2187" t="s">
        <v>243</v>
      </c>
    </row>
    <row r="2188" spans="1:18" x14ac:dyDescent="0.3">
      <c r="A2188" t="s">
        <v>259</v>
      </c>
      <c r="B2188" t="s">
        <v>48</v>
      </c>
      <c r="C2188" t="s">
        <v>310</v>
      </c>
      <c r="D2188">
        <v>2.8232499999999998E-3</v>
      </c>
      <c r="E2188">
        <v>3.1202500000000002E-3</v>
      </c>
      <c r="F2188">
        <v>3.64526E-3</v>
      </c>
      <c r="G2188">
        <v>3.5429699999999999E-3</v>
      </c>
      <c r="H2188">
        <v>3.67323E-3</v>
      </c>
      <c r="I2188">
        <v>3.8022160000000002E-3</v>
      </c>
      <c r="J2188">
        <v>3.898735E-3</v>
      </c>
      <c r="K2188">
        <v>4.0103499999999898E-3</v>
      </c>
      <c r="L2188">
        <v>4.1148590000000002E-3</v>
      </c>
      <c r="M2188">
        <v>4.1981369999999898E-3</v>
      </c>
      <c r="N2188">
        <v>4.2737180000000001E-3</v>
      </c>
      <c r="O2188">
        <v>0</v>
      </c>
      <c r="P2188">
        <v>0</v>
      </c>
      <c r="Q2188">
        <v>0</v>
      </c>
      <c r="R2188" t="s">
        <v>243</v>
      </c>
    </row>
    <row r="2189" spans="1:18" x14ac:dyDescent="0.3">
      <c r="A2189" t="s">
        <v>259</v>
      </c>
      <c r="B2189" t="s">
        <v>48</v>
      </c>
      <c r="C2189" t="s">
        <v>311</v>
      </c>
      <c r="D2189">
        <v>2.89281E-3</v>
      </c>
      <c r="E2189">
        <v>3.1755400000000001E-3</v>
      </c>
      <c r="F2189">
        <v>3.7074199999999999E-3</v>
      </c>
      <c r="G2189">
        <v>3.6034299999999999E-3</v>
      </c>
      <c r="H2189">
        <v>3.73822E-3</v>
      </c>
      <c r="I2189">
        <v>3.8710699999999999E-3</v>
      </c>
      <c r="J2189">
        <v>3.9690230000000003E-3</v>
      </c>
      <c r="K2189">
        <v>4.0777490000000003E-3</v>
      </c>
      <c r="L2189">
        <v>4.1804859999999998E-3</v>
      </c>
      <c r="M2189">
        <v>4.2676950000000002E-3</v>
      </c>
      <c r="N2189">
        <v>4.3437129999999999E-3</v>
      </c>
      <c r="O2189">
        <v>0</v>
      </c>
      <c r="P2189">
        <v>0</v>
      </c>
      <c r="Q2189">
        <v>0</v>
      </c>
      <c r="R2189" t="s">
        <v>243</v>
      </c>
    </row>
    <row r="2190" spans="1:18" x14ac:dyDescent="0.3">
      <c r="A2190" t="s">
        <v>259</v>
      </c>
      <c r="B2190" t="s">
        <v>48</v>
      </c>
      <c r="C2190" t="s">
        <v>312</v>
      </c>
      <c r="D2190">
        <v>2.96577E-3</v>
      </c>
      <c r="E2190">
        <v>3.2410300000000002E-3</v>
      </c>
      <c r="F2190">
        <v>3.7774000000000002E-3</v>
      </c>
      <c r="G2190">
        <v>3.6742300000000001E-3</v>
      </c>
      <c r="H2190">
        <v>3.8158300000000001E-3</v>
      </c>
      <c r="I2190">
        <v>3.9433899999999997E-3</v>
      </c>
      <c r="J2190">
        <v>4.0373839999999998E-3</v>
      </c>
      <c r="K2190">
        <v>4.1501690000000004E-3</v>
      </c>
      <c r="L2190">
        <v>4.2583480000000003E-3</v>
      </c>
      <c r="M2190">
        <v>4.3464109999999997E-3</v>
      </c>
      <c r="N2190">
        <v>4.422825E-3</v>
      </c>
      <c r="O2190">
        <v>0</v>
      </c>
      <c r="P2190">
        <v>0</v>
      </c>
      <c r="Q2190">
        <v>0</v>
      </c>
      <c r="R2190" t="s">
        <v>243</v>
      </c>
    </row>
    <row r="2191" spans="1:18" x14ac:dyDescent="0.3">
      <c r="A2191" t="s">
        <v>259</v>
      </c>
      <c r="B2191" t="s">
        <v>48</v>
      </c>
      <c r="C2191" t="s">
        <v>313</v>
      </c>
      <c r="D2191">
        <v>3.0568700000000002E-3</v>
      </c>
      <c r="E2191">
        <v>3.3221499999999998E-3</v>
      </c>
      <c r="F2191">
        <v>3.8671199999999999E-3</v>
      </c>
      <c r="G2191">
        <v>3.7628800000000001E-3</v>
      </c>
      <c r="H2191">
        <v>3.9000199999999902E-3</v>
      </c>
      <c r="I2191">
        <v>4.0350999999999998E-3</v>
      </c>
      <c r="J2191">
        <v>4.1353240000000001E-3</v>
      </c>
      <c r="K2191">
        <v>4.251052E-3</v>
      </c>
      <c r="L2191">
        <v>4.36021699999999E-3</v>
      </c>
      <c r="M2191">
        <v>4.4484640000000001E-3</v>
      </c>
      <c r="N2191">
        <v>4.5249139999999997E-3</v>
      </c>
      <c r="O2191">
        <v>0</v>
      </c>
      <c r="P2191">
        <v>0</v>
      </c>
      <c r="Q2191">
        <v>0</v>
      </c>
      <c r="R2191" t="s">
        <v>243</v>
      </c>
    </row>
    <row r="2192" spans="1:18" x14ac:dyDescent="0.3">
      <c r="A2192" t="s">
        <v>259</v>
      </c>
      <c r="B2192" t="s">
        <v>48</v>
      </c>
      <c r="C2192" t="s">
        <v>416</v>
      </c>
      <c r="D2192" s="8">
        <v>5.2182200000000003E-5</v>
      </c>
      <c r="E2192" s="8">
        <v>5.5798999999999997E-6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">
        <v>243</v>
      </c>
    </row>
    <row r="2193" spans="1:18" x14ac:dyDescent="0.3">
      <c r="A2193" t="s">
        <v>259</v>
      </c>
      <c r="B2193" t="s">
        <v>48</v>
      </c>
      <c r="C2193" t="s">
        <v>417</v>
      </c>
      <c r="D2193" s="8">
        <v>2.6595100000000001E-9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243</v>
      </c>
    </row>
    <row r="2194" spans="1:18" x14ac:dyDescent="0.3">
      <c r="A2194" t="s">
        <v>259</v>
      </c>
      <c r="B2194" t="s">
        <v>48</v>
      </c>
      <c r="C2194" t="s">
        <v>418</v>
      </c>
      <c r="D2194" s="8">
        <v>6.3828199999999998E-6</v>
      </c>
      <c r="E2194" s="8">
        <v>8.9602199999999995E-7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243</v>
      </c>
    </row>
    <row r="2195" spans="1:18" x14ac:dyDescent="0.3">
      <c r="A2195" t="s">
        <v>259</v>
      </c>
      <c r="B2195" t="s">
        <v>48</v>
      </c>
      <c r="C2195" t="s">
        <v>419</v>
      </c>
      <c r="D2195" s="8">
        <v>2.40154E-6</v>
      </c>
      <c r="E2195" s="8">
        <v>2.8213E-7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243</v>
      </c>
    </row>
    <row r="2196" spans="1:18" x14ac:dyDescent="0.3">
      <c r="A2196" t="s">
        <v>259</v>
      </c>
      <c r="B2196" t="s">
        <v>48</v>
      </c>
      <c r="C2196" t="s">
        <v>420</v>
      </c>
      <c r="D2196" s="8">
        <v>1.1435900000000001E-6</v>
      </c>
      <c r="E2196" s="8">
        <v>1.38452E-7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">
        <v>243</v>
      </c>
    </row>
    <row r="2197" spans="1:18" x14ac:dyDescent="0.3">
      <c r="A2197" t="s">
        <v>259</v>
      </c>
      <c r="B2197" t="s">
        <v>48</v>
      </c>
      <c r="C2197" t="s">
        <v>421</v>
      </c>
      <c r="D2197" s="8">
        <v>6.0104900000000002E-7</v>
      </c>
      <c r="E2197" s="8">
        <v>7.5756999999999995E-8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243</v>
      </c>
    </row>
    <row r="2198" spans="1:18" x14ac:dyDescent="0.3">
      <c r="A2198" t="s">
        <v>259</v>
      </c>
      <c r="B2198" t="s">
        <v>48</v>
      </c>
      <c r="C2198" t="s">
        <v>422</v>
      </c>
      <c r="D2198" s="8">
        <v>3.1914100000000001E-7</v>
      </c>
      <c r="E2198" s="8">
        <v>4.1797E-8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243</v>
      </c>
    </row>
    <row r="2199" spans="1:18" x14ac:dyDescent="0.3">
      <c r="A2199" t="s">
        <v>259</v>
      </c>
      <c r="B2199" t="s">
        <v>48</v>
      </c>
      <c r="C2199" t="s">
        <v>423</v>
      </c>
      <c r="D2199" s="8">
        <v>1.6222999999999999E-7</v>
      </c>
      <c r="E2199" s="8">
        <v>2.35108E-8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">
        <v>243</v>
      </c>
    </row>
    <row r="2200" spans="1:18" x14ac:dyDescent="0.3">
      <c r="A2200" t="s">
        <v>259</v>
      </c>
      <c r="B2200" t="s">
        <v>48</v>
      </c>
      <c r="C2200" t="s">
        <v>424</v>
      </c>
      <c r="D2200" s="8">
        <v>7.4466199999999997E-8</v>
      </c>
      <c r="E2200" s="8">
        <v>1.0449200000000001E-8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243</v>
      </c>
    </row>
    <row r="2201" spans="1:18" x14ac:dyDescent="0.3">
      <c r="A2201" t="s">
        <v>259</v>
      </c>
      <c r="B2201" t="s">
        <v>48</v>
      </c>
      <c r="C2201" t="s">
        <v>425</v>
      </c>
      <c r="D2201" s="8">
        <v>2.65951E-8</v>
      </c>
      <c r="E2201" s="8">
        <v>5.2246200000000001E-9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243</v>
      </c>
    </row>
    <row r="2202" spans="1:18" x14ac:dyDescent="0.3">
      <c r="A2202" t="s">
        <v>259</v>
      </c>
      <c r="B2202" t="s">
        <v>48</v>
      </c>
      <c r="C2202" t="s">
        <v>314</v>
      </c>
      <c r="D2202" s="8">
        <v>4.7714499999999999E-5</v>
      </c>
      <c r="E2202" s="8">
        <v>6.9508499999999994E-5</v>
      </c>
      <c r="F2202" s="8">
        <v>8.7597300000000002E-5</v>
      </c>
      <c r="G2202" s="8">
        <v>8.4615000000000002E-5</v>
      </c>
      <c r="H2202" s="8">
        <v>9.6423199999999995E-5</v>
      </c>
      <c r="I2202" s="8">
        <v>1.06673E-4</v>
      </c>
      <c r="J2202" s="8">
        <v>1.10493E-4</v>
      </c>
      <c r="K2202" s="8">
        <v>1.19438E-4</v>
      </c>
      <c r="L2202" s="8">
        <v>1.2778099999999999E-4</v>
      </c>
      <c r="M2202" s="8">
        <v>1.3513899999999999E-4</v>
      </c>
      <c r="N2202" s="8">
        <v>1.4171400000000001E-4</v>
      </c>
      <c r="O2202">
        <v>0</v>
      </c>
      <c r="P2202">
        <v>0</v>
      </c>
      <c r="Q2202">
        <v>0</v>
      </c>
      <c r="R2202" t="s">
        <v>243</v>
      </c>
    </row>
    <row r="2203" spans="1:18" x14ac:dyDescent="0.3">
      <c r="A2203" t="s">
        <v>259</v>
      </c>
      <c r="B2203" t="s">
        <v>48</v>
      </c>
      <c r="C2203" t="s">
        <v>315</v>
      </c>
      <c r="D2203" s="8">
        <v>2.0078699999999999E-4</v>
      </c>
      <c r="E2203" s="8">
        <v>1.8766799999999999E-4</v>
      </c>
      <c r="F2203" s="8">
        <v>2.11599E-4</v>
      </c>
      <c r="G2203" s="8">
        <v>2.0657100000000001E-4</v>
      </c>
      <c r="H2203" s="8">
        <v>2.10781E-4</v>
      </c>
      <c r="I2203" s="8">
        <v>2.1428500000000001E-4</v>
      </c>
      <c r="J2203" s="8">
        <v>2.1720499999999999E-4</v>
      </c>
      <c r="K2203" s="8">
        <v>2.20836E-4</v>
      </c>
      <c r="L2203" s="8">
        <v>2.24076E-4</v>
      </c>
      <c r="M2203" s="8">
        <v>2.2641299999999999E-4</v>
      </c>
      <c r="N2203" s="8">
        <v>2.2783999999999999E-4</v>
      </c>
      <c r="O2203">
        <v>0</v>
      </c>
      <c r="P2203">
        <v>0</v>
      </c>
      <c r="Q2203">
        <v>0</v>
      </c>
      <c r="R2203" t="s">
        <v>243</v>
      </c>
    </row>
    <row r="2204" spans="1:18" x14ac:dyDescent="0.3">
      <c r="A2204" t="s">
        <v>259</v>
      </c>
      <c r="B2204" t="s">
        <v>48</v>
      </c>
      <c r="C2204" t="s">
        <v>316</v>
      </c>
      <c r="D2204" s="8">
        <v>7.3953499999999996E-5</v>
      </c>
      <c r="E2204" s="8">
        <v>9.6152999999999999E-5</v>
      </c>
      <c r="F2204" s="8">
        <v>1.17077E-4</v>
      </c>
      <c r="G2204" s="8">
        <v>1.14082E-4</v>
      </c>
      <c r="H2204" s="8">
        <v>1.2542400000000001E-4</v>
      </c>
      <c r="I2204" s="8">
        <v>1.3663400000000001E-4</v>
      </c>
      <c r="J2204" s="8">
        <v>1.4129299999999999E-4</v>
      </c>
      <c r="K2204" s="8">
        <v>1.5114600000000001E-4</v>
      </c>
      <c r="L2204" s="8">
        <v>1.60414E-4</v>
      </c>
      <c r="M2204" s="8">
        <v>1.67653E-4</v>
      </c>
      <c r="N2204" s="8">
        <v>1.72926E-4</v>
      </c>
      <c r="O2204">
        <v>0</v>
      </c>
      <c r="P2204">
        <v>0</v>
      </c>
      <c r="Q2204">
        <v>0</v>
      </c>
      <c r="R2204" t="s">
        <v>243</v>
      </c>
    </row>
    <row r="2205" spans="1:18" x14ac:dyDescent="0.3">
      <c r="A2205" t="s">
        <v>259</v>
      </c>
      <c r="B2205" t="s">
        <v>48</v>
      </c>
      <c r="C2205" t="s">
        <v>317</v>
      </c>
      <c r="D2205" s="8">
        <v>8.8927700000000006E-5</v>
      </c>
      <c r="E2205" s="8">
        <v>1.1437100000000001E-4</v>
      </c>
      <c r="F2205" s="8">
        <v>1.3547200000000001E-4</v>
      </c>
      <c r="G2205" s="8">
        <v>1.3085500000000001E-4</v>
      </c>
      <c r="H2205" s="8">
        <v>1.4374900000000001E-4</v>
      </c>
      <c r="I2205" s="8">
        <v>1.53936E-4</v>
      </c>
      <c r="J2205" s="8">
        <v>1.57899E-4</v>
      </c>
      <c r="K2205" s="8">
        <v>1.66374E-4</v>
      </c>
      <c r="L2205" s="8">
        <v>1.73742E-4</v>
      </c>
      <c r="M2205" s="8">
        <v>1.8005500000000001E-4</v>
      </c>
      <c r="N2205" s="8">
        <v>1.8446599999999999E-4</v>
      </c>
      <c r="O2205">
        <v>0</v>
      </c>
      <c r="P2205">
        <v>0</v>
      </c>
      <c r="Q2205">
        <v>0</v>
      </c>
      <c r="R2205" t="s">
        <v>243</v>
      </c>
    </row>
    <row r="2206" spans="1:18" x14ac:dyDescent="0.3">
      <c r="A2206" t="s">
        <v>259</v>
      </c>
      <c r="B2206" t="s">
        <v>48</v>
      </c>
      <c r="C2206" t="s">
        <v>318</v>
      </c>
      <c r="D2206" s="8">
        <v>1.01271E-4</v>
      </c>
      <c r="E2206" s="8">
        <v>1.25687E-4</v>
      </c>
      <c r="F2206" s="8">
        <v>1.48097E-4</v>
      </c>
      <c r="G2206" s="8">
        <v>1.4355100000000001E-4</v>
      </c>
      <c r="H2206" s="8">
        <v>1.5533800000000001E-4</v>
      </c>
      <c r="I2206" s="8">
        <v>1.6500299999999999E-4</v>
      </c>
      <c r="J2206" s="8">
        <v>1.6886700000000001E-4</v>
      </c>
      <c r="K2206" s="8">
        <v>1.76639E-4</v>
      </c>
      <c r="L2206" s="8">
        <v>1.83191E-4</v>
      </c>
      <c r="M2206" s="8">
        <v>1.88123E-4</v>
      </c>
      <c r="N2206" s="8">
        <v>1.91793E-4</v>
      </c>
      <c r="O2206">
        <v>0</v>
      </c>
      <c r="P2206">
        <v>0</v>
      </c>
      <c r="Q2206">
        <v>0</v>
      </c>
      <c r="R2206" t="s">
        <v>243</v>
      </c>
    </row>
    <row r="2207" spans="1:18" x14ac:dyDescent="0.3">
      <c r="A2207" t="s">
        <v>259</v>
      </c>
      <c r="B2207" t="s">
        <v>48</v>
      </c>
      <c r="C2207" t="s">
        <v>319</v>
      </c>
      <c r="D2207" s="8">
        <v>1.1256600000000001E-4</v>
      </c>
      <c r="E2207" s="8">
        <v>1.3508899999999999E-4</v>
      </c>
      <c r="F2207" s="8">
        <v>1.5841499999999999E-4</v>
      </c>
      <c r="G2207" s="8">
        <v>1.5364999999999999E-4</v>
      </c>
      <c r="H2207" s="8">
        <v>1.6492699999999999E-4</v>
      </c>
      <c r="I2207" s="8">
        <v>1.7355499999999999E-4</v>
      </c>
      <c r="J2207" s="8">
        <v>1.77262E-4</v>
      </c>
      <c r="K2207" s="8">
        <v>1.8433100000000001E-4</v>
      </c>
      <c r="L2207" s="8">
        <v>1.9020800000000001E-4</v>
      </c>
      <c r="M2207" s="8">
        <v>1.94212E-4</v>
      </c>
      <c r="N2207" s="8">
        <v>1.9730299999999999E-4</v>
      </c>
      <c r="O2207">
        <v>0</v>
      </c>
      <c r="P2207">
        <v>0</v>
      </c>
      <c r="Q2207">
        <v>0</v>
      </c>
      <c r="R2207" t="s">
        <v>243</v>
      </c>
    </row>
    <row r="2208" spans="1:18" x14ac:dyDescent="0.3">
      <c r="A2208" t="s">
        <v>259</v>
      </c>
      <c r="B2208" t="s">
        <v>48</v>
      </c>
      <c r="C2208" t="s">
        <v>320</v>
      </c>
      <c r="D2208" s="8">
        <v>1.23929E-4</v>
      </c>
      <c r="E2208" s="8">
        <v>1.4330300000000001E-4</v>
      </c>
      <c r="F2208" s="8">
        <v>1.6787700000000001E-4</v>
      </c>
      <c r="G2208" s="8">
        <v>1.62974E-4</v>
      </c>
      <c r="H2208" s="8">
        <v>1.7346199999999999E-4</v>
      </c>
      <c r="I2208" s="8">
        <v>1.8092E-4</v>
      </c>
      <c r="J2208" s="8">
        <v>1.8450300000000001E-4</v>
      </c>
      <c r="K2208" s="8">
        <v>1.9083899999999999E-4</v>
      </c>
      <c r="L2208" s="8">
        <v>1.9583900000000001E-4</v>
      </c>
      <c r="M2208" s="8">
        <v>1.9937199999999999E-4</v>
      </c>
      <c r="N2208" s="8">
        <v>2.01986E-4</v>
      </c>
      <c r="O2208">
        <v>0</v>
      </c>
      <c r="P2208">
        <v>0</v>
      </c>
      <c r="Q2208">
        <v>0</v>
      </c>
      <c r="R2208" t="s">
        <v>243</v>
      </c>
    </row>
    <row r="2209" spans="1:18" x14ac:dyDescent="0.3">
      <c r="A2209" t="s">
        <v>259</v>
      </c>
      <c r="B2209" t="s">
        <v>48</v>
      </c>
      <c r="C2209" t="s">
        <v>321</v>
      </c>
      <c r="D2209" s="8">
        <v>1.36076E-4</v>
      </c>
      <c r="E2209" s="8">
        <v>1.5137199999999999E-4</v>
      </c>
      <c r="F2209" s="8">
        <v>1.7626299999999999E-4</v>
      </c>
      <c r="G2209" s="8">
        <v>1.7126199999999999E-4</v>
      </c>
      <c r="H2209" s="8">
        <v>1.80958E-4</v>
      </c>
      <c r="I2209" s="8">
        <v>1.87815E-4</v>
      </c>
      <c r="J2209" s="8">
        <v>1.9128E-4</v>
      </c>
      <c r="K2209" s="8">
        <v>1.96536E-4</v>
      </c>
      <c r="L2209" s="8">
        <v>2.0079000000000001E-4</v>
      </c>
      <c r="M2209" s="8">
        <v>2.04112E-4</v>
      </c>
      <c r="N2209" s="8">
        <v>2.0632499999999999E-4</v>
      </c>
      <c r="O2209">
        <v>0</v>
      </c>
      <c r="P2209">
        <v>0</v>
      </c>
      <c r="Q2209">
        <v>0</v>
      </c>
      <c r="R2209" t="s">
        <v>243</v>
      </c>
    </row>
    <row r="2210" spans="1:18" x14ac:dyDescent="0.3">
      <c r="A2210" t="s">
        <v>259</v>
      </c>
      <c r="B2210" t="s">
        <v>48</v>
      </c>
      <c r="C2210" t="s">
        <v>322</v>
      </c>
      <c r="D2210" s="8">
        <v>1.49887E-4</v>
      </c>
      <c r="E2210" s="8">
        <v>1.60175E-4</v>
      </c>
      <c r="F2210" s="8">
        <v>1.8486800000000001E-4</v>
      </c>
      <c r="G2210" s="8">
        <v>1.8011899999999999E-4</v>
      </c>
      <c r="H2210" s="8">
        <v>1.88853E-4</v>
      </c>
      <c r="I2210" s="8">
        <v>1.9415599999999999E-4</v>
      </c>
      <c r="J2210" s="8">
        <v>1.97054E-4</v>
      </c>
      <c r="K2210" s="8">
        <v>2.0190200000000001E-4</v>
      </c>
      <c r="L2210" s="8">
        <v>2.0596199999999999E-4</v>
      </c>
      <c r="M2210" s="8">
        <v>2.0887299999999999E-4</v>
      </c>
      <c r="N2210" s="8">
        <v>2.1075299999999999E-4</v>
      </c>
      <c r="O2210">
        <v>0</v>
      </c>
      <c r="P2210">
        <v>0</v>
      </c>
      <c r="Q2210">
        <v>0</v>
      </c>
      <c r="R2210" t="s">
        <v>243</v>
      </c>
    </row>
    <row r="2211" spans="1:18" x14ac:dyDescent="0.3">
      <c r="A2211" t="s">
        <v>259</v>
      </c>
      <c r="B2211" t="s">
        <v>48</v>
      </c>
      <c r="C2211" t="s">
        <v>323</v>
      </c>
      <c r="D2211" s="8">
        <v>1.6734599999999999E-4</v>
      </c>
      <c r="E2211" s="8">
        <v>1.6964399999999999E-4</v>
      </c>
      <c r="F2211" s="8">
        <v>1.9441400000000001E-4</v>
      </c>
      <c r="G2211" s="8">
        <v>1.8969500000000001E-4</v>
      </c>
      <c r="H2211" s="8">
        <v>1.96162E-4</v>
      </c>
      <c r="I2211" s="8">
        <v>2.0099399999999999E-4</v>
      </c>
      <c r="J2211" s="8">
        <v>2.0409700000000001E-4</v>
      </c>
      <c r="K2211" s="8">
        <v>2.0831699999999999E-4</v>
      </c>
      <c r="L2211" s="8">
        <v>2.1186800000000001E-4</v>
      </c>
      <c r="M2211" s="8">
        <v>2.14398E-4</v>
      </c>
      <c r="N2211" s="8">
        <v>2.1599799999999999E-4</v>
      </c>
      <c r="O2211">
        <v>0</v>
      </c>
      <c r="P2211">
        <v>0</v>
      </c>
      <c r="Q2211">
        <v>0</v>
      </c>
      <c r="R2211" t="s">
        <v>243</v>
      </c>
    </row>
    <row r="2212" spans="1:18" x14ac:dyDescent="0.3">
      <c r="A2212" t="s">
        <v>259</v>
      </c>
      <c r="B2212" t="s">
        <v>50</v>
      </c>
      <c r="C2212" t="s">
        <v>261</v>
      </c>
      <c r="D2212">
        <v>2.4260595000000001E-3</v>
      </c>
      <c r="E2212">
        <v>4.62235899999999E-3</v>
      </c>
      <c r="F2212">
        <v>6.1310000000000002E-3</v>
      </c>
      <c r="G2212">
        <v>6.3653210000000002E-3</v>
      </c>
      <c r="H2212">
        <v>6.8761673000000004E-3</v>
      </c>
      <c r="I2212">
        <v>7.4653721999999997E-3</v>
      </c>
      <c r="J2212">
        <v>7.6170106399999996E-3</v>
      </c>
      <c r="K2212">
        <v>7.6702379299999996E-3</v>
      </c>
      <c r="L2212">
        <v>7.5143053000000003E-3</v>
      </c>
      <c r="M2212">
        <v>7.17981272999999E-3</v>
      </c>
      <c r="N2212">
        <v>6.8274125500000001E-3</v>
      </c>
      <c r="O2212">
        <v>0</v>
      </c>
      <c r="P2212">
        <v>0</v>
      </c>
      <c r="Q2212">
        <v>0</v>
      </c>
      <c r="R2212" t="s">
        <v>243</v>
      </c>
    </row>
    <row r="2213" spans="1:18" x14ac:dyDescent="0.3">
      <c r="A2213" t="s">
        <v>259</v>
      </c>
      <c r="B2213" t="s">
        <v>50</v>
      </c>
      <c r="C2213" t="s">
        <v>262</v>
      </c>
      <c r="D2213">
        <v>0.14680325037099901</v>
      </c>
      <c r="E2213">
        <v>0.13244248989999999</v>
      </c>
      <c r="F2213">
        <v>0.17839356271999901</v>
      </c>
      <c r="G2213">
        <v>0.13996115506000001</v>
      </c>
      <c r="H2213">
        <v>0.13584720881999901</v>
      </c>
      <c r="I2213">
        <v>0.14187145337000001</v>
      </c>
      <c r="J2213">
        <v>0.142798854</v>
      </c>
      <c r="K2213">
        <v>0.12836092909999999</v>
      </c>
      <c r="L2213">
        <v>0.11388914192500001</v>
      </c>
      <c r="M2213">
        <v>0.105523097190999</v>
      </c>
      <c r="N2213">
        <v>9.7101589139999903E-2</v>
      </c>
      <c r="O2213">
        <v>0</v>
      </c>
      <c r="P2213">
        <v>0</v>
      </c>
      <c r="Q2213">
        <v>0</v>
      </c>
      <c r="R2213" t="s">
        <v>243</v>
      </c>
    </row>
    <row r="2214" spans="1:18" x14ac:dyDescent="0.3">
      <c r="A2214" t="s">
        <v>259</v>
      </c>
      <c r="B2214" t="s">
        <v>50</v>
      </c>
      <c r="C2214" t="s">
        <v>263</v>
      </c>
      <c r="D2214">
        <v>7.7212619999999996E-2</v>
      </c>
      <c r="E2214">
        <v>0.13354350000000001</v>
      </c>
      <c r="F2214">
        <v>0.1762415</v>
      </c>
      <c r="G2214">
        <v>0.17262479999999999</v>
      </c>
      <c r="H2214">
        <v>0.18978130799999901</v>
      </c>
      <c r="I2214">
        <v>0.214638813519999</v>
      </c>
      <c r="J2214">
        <v>0.235224720999999</v>
      </c>
      <c r="K2214">
        <v>0.244372279</v>
      </c>
      <c r="L2214">
        <v>0.247597129</v>
      </c>
      <c r="M2214">
        <v>0.24624940400000001</v>
      </c>
      <c r="N2214">
        <v>0.24300195099999999</v>
      </c>
      <c r="O2214">
        <v>0</v>
      </c>
      <c r="P2214">
        <v>0</v>
      </c>
      <c r="Q2214">
        <v>0</v>
      </c>
      <c r="R2214" t="s">
        <v>243</v>
      </c>
    </row>
    <row r="2215" spans="1:18" x14ac:dyDescent="0.3">
      <c r="A2215" t="s">
        <v>259</v>
      </c>
      <c r="B2215" t="s">
        <v>50</v>
      </c>
      <c r="C2215" t="s">
        <v>324</v>
      </c>
      <c r="D2215">
        <v>1.1705299999999999E-3</v>
      </c>
      <c r="E2215">
        <v>1.08796E-3</v>
      </c>
      <c r="F2215">
        <v>1.37331E-3</v>
      </c>
      <c r="G2215">
        <v>1.0734900000000001E-3</v>
      </c>
      <c r="H2215">
        <v>1.1695500000000001E-3</v>
      </c>
      <c r="I2215">
        <v>1.2348699999999899E-3</v>
      </c>
      <c r="J2215">
        <v>1.2538200000000001E-3</v>
      </c>
      <c r="K2215">
        <v>1.261655E-3</v>
      </c>
      <c r="L2215">
        <v>1.255801E-3</v>
      </c>
      <c r="M2215">
        <v>1.236137E-3</v>
      </c>
      <c r="N2215">
        <v>1.2134170000000001E-3</v>
      </c>
      <c r="O2215">
        <v>0</v>
      </c>
      <c r="P2215">
        <v>0</v>
      </c>
      <c r="Q2215">
        <v>0</v>
      </c>
      <c r="R2215" t="s">
        <v>243</v>
      </c>
    </row>
    <row r="2216" spans="1:18" x14ac:dyDescent="0.3">
      <c r="A2216" t="s">
        <v>259</v>
      </c>
      <c r="B2216" t="s">
        <v>50</v>
      </c>
      <c r="C2216" t="s">
        <v>325</v>
      </c>
      <c r="D2216" s="8">
        <v>8.8499599999999995E-5</v>
      </c>
      <c r="E2216" s="8">
        <v>5.3616699999999998E-5</v>
      </c>
      <c r="F2216" s="8">
        <v>7.9830600000000001E-5</v>
      </c>
      <c r="G2216" s="8">
        <v>6.6626300000000003E-5</v>
      </c>
      <c r="H2216" s="8">
        <v>6.9059199999999896E-5</v>
      </c>
      <c r="I2216" s="8">
        <v>7.1182599999999998E-5</v>
      </c>
      <c r="J2216" s="8">
        <v>7.0642590000000006E-5</v>
      </c>
      <c r="K2216" s="8">
        <v>7.0114179999999904E-5</v>
      </c>
      <c r="L2216" s="8">
        <v>6.9284700000000004E-5</v>
      </c>
      <c r="M2216" s="8">
        <v>6.7984799999999993E-5</v>
      </c>
      <c r="N2216" s="8">
        <v>6.6683500000000006E-5</v>
      </c>
      <c r="O2216">
        <v>0</v>
      </c>
      <c r="P2216">
        <v>0</v>
      </c>
      <c r="Q2216">
        <v>0</v>
      </c>
      <c r="R2216" t="s">
        <v>243</v>
      </c>
    </row>
    <row r="2217" spans="1:18" x14ac:dyDescent="0.3">
      <c r="A2217" t="s">
        <v>259</v>
      </c>
      <c r="B2217" t="s">
        <v>50</v>
      </c>
      <c r="C2217" t="s">
        <v>326</v>
      </c>
      <c r="D2217" s="8">
        <v>6.9976599999999999E-4</v>
      </c>
      <c r="E2217" s="8">
        <v>6.1125999999999997E-4</v>
      </c>
      <c r="F2217" s="8">
        <v>7.5794600000000001E-4</v>
      </c>
      <c r="G2217" s="8">
        <v>5.9579700000000001E-4</v>
      </c>
      <c r="H2217" s="8">
        <v>6.2967100000000005E-4</v>
      </c>
      <c r="I2217" s="8">
        <v>6.5836699999999998E-4</v>
      </c>
      <c r="J2217" s="8">
        <v>6.6440170000000003E-4</v>
      </c>
      <c r="K2217" s="8">
        <v>6.6650780000000005E-4</v>
      </c>
      <c r="L2217" s="8">
        <v>6.6265699999999998E-4</v>
      </c>
      <c r="M2217" s="8">
        <v>6.5250799999999999E-4</v>
      </c>
      <c r="N2217" s="8">
        <v>6.4130199999999995E-4</v>
      </c>
      <c r="O2217">
        <v>0</v>
      </c>
      <c r="P2217">
        <v>0</v>
      </c>
      <c r="Q2217">
        <v>0</v>
      </c>
      <c r="R2217" t="s">
        <v>243</v>
      </c>
    </row>
    <row r="2218" spans="1:18" x14ac:dyDescent="0.3">
      <c r="A2218" t="s">
        <v>259</v>
      </c>
      <c r="B2218" t="s">
        <v>50</v>
      </c>
      <c r="C2218" t="s">
        <v>327</v>
      </c>
      <c r="D2218" s="8">
        <v>5.0870799999999997E-4</v>
      </c>
      <c r="E2218" s="8">
        <v>4.3562400000000002E-4</v>
      </c>
      <c r="F2218" s="8">
        <v>5.5432099999999998E-4</v>
      </c>
      <c r="G2218" s="8">
        <v>4.3354899999999998E-4</v>
      </c>
      <c r="H2218" s="8">
        <v>4.5270800000000002E-4</v>
      </c>
      <c r="I2218" s="8">
        <v>4.7237499999999998E-4</v>
      </c>
      <c r="J2218" s="8">
        <v>4.7459299999999901E-4</v>
      </c>
      <c r="K2218" s="8">
        <v>4.7493010000000002E-4</v>
      </c>
      <c r="L2218" s="8">
        <v>4.714702E-4</v>
      </c>
      <c r="M2218" s="8">
        <v>4.6361029999999998E-4</v>
      </c>
      <c r="N2218" s="8">
        <v>4.5513349999999999E-4</v>
      </c>
      <c r="O2218">
        <v>0</v>
      </c>
      <c r="P2218">
        <v>0</v>
      </c>
      <c r="Q2218">
        <v>0</v>
      </c>
      <c r="R2218" t="s">
        <v>243</v>
      </c>
    </row>
    <row r="2219" spans="1:18" x14ac:dyDescent="0.3">
      <c r="A2219" t="s">
        <v>259</v>
      </c>
      <c r="B2219" t="s">
        <v>50</v>
      </c>
      <c r="C2219" t="s">
        <v>328</v>
      </c>
      <c r="D2219" s="8">
        <v>4.1826199999999997E-4</v>
      </c>
      <c r="E2219" s="8">
        <v>3.3886700000000002E-4</v>
      </c>
      <c r="F2219" s="8">
        <v>4.36322E-4</v>
      </c>
      <c r="G2219" s="8">
        <v>3.4383900000000003E-4</v>
      </c>
      <c r="H2219" s="8">
        <v>3.5642999999999997E-4</v>
      </c>
      <c r="I2219" s="8">
        <v>3.7045939999999999E-4</v>
      </c>
      <c r="J2219" s="8">
        <v>3.7154620000000001E-4</v>
      </c>
      <c r="K2219" s="8">
        <v>3.7141840000000001E-4</v>
      </c>
      <c r="L2219" s="8">
        <v>3.6851439999999999E-4</v>
      </c>
      <c r="M2219" s="8">
        <v>3.6256830000000001E-4</v>
      </c>
      <c r="N2219" s="8">
        <v>3.562309E-4</v>
      </c>
      <c r="O2219">
        <v>0</v>
      </c>
      <c r="P2219">
        <v>0</v>
      </c>
      <c r="Q2219">
        <v>0</v>
      </c>
      <c r="R2219" t="s">
        <v>243</v>
      </c>
    </row>
    <row r="2220" spans="1:18" x14ac:dyDescent="0.3">
      <c r="A2220" t="s">
        <v>259</v>
      </c>
      <c r="B2220" t="s">
        <v>50</v>
      </c>
      <c r="C2220" t="s">
        <v>329</v>
      </c>
      <c r="D2220" s="8">
        <v>3.502E-4</v>
      </c>
      <c r="E2220" s="8">
        <v>2.6964699999999997E-4</v>
      </c>
      <c r="F2220" s="8">
        <v>3.5716200000000001E-4</v>
      </c>
      <c r="G2220" s="8">
        <v>2.8085000000000002E-4</v>
      </c>
      <c r="H2220" s="8">
        <v>2.8917100000000001E-4</v>
      </c>
      <c r="I2220" s="8">
        <v>3.0035869999999999E-4</v>
      </c>
      <c r="J2220" s="8">
        <v>3.0084859999999998E-4</v>
      </c>
      <c r="K2220" s="8">
        <v>3.004773E-4</v>
      </c>
      <c r="L2220" s="8">
        <v>2.9795009999999999E-4</v>
      </c>
      <c r="M2220" s="8">
        <v>2.9284869999999998E-4</v>
      </c>
      <c r="N2220" s="8">
        <v>2.876291E-4</v>
      </c>
      <c r="O2220">
        <v>0</v>
      </c>
      <c r="P2220">
        <v>0</v>
      </c>
      <c r="Q2220">
        <v>0</v>
      </c>
      <c r="R2220" t="s">
        <v>243</v>
      </c>
    </row>
    <row r="2221" spans="1:18" x14ac:dyDescent="0.3">
      <c r="A2221" t="s">
        <v>259</v>
      </c>
      <c r="B2221" t="s">
        <v>50</v>
      </c>
      <c r="C2221" t="s">
        <v>330</v>
      </c>
      <c r="D2221" s="8">
        <v>2.9162399999999998E-4</v>
      </c>
      <c r="E2221" s="8">
        <v>2.18712E-4</v>
      </c>
      <c r="F2221" s="8">
        <v>2.9839899999999997E-4</v>
      </c>
      <c r="G2221" s="8">
        <v>2.3476599999999999E-4</v>
      </c>
      <c r="H2221" s="8">
        <v>2.413211E-4</v>
      </c>
      <c r="I2221" s="8">
        <v>2.5040839999999898E-4</v>
      </c>
      <c r="J2221" s="8">
        <v>2.50435799999999E-4</v>
      </c>
      <c r="K2221" s="8">
        <v>2.4971329999999998E-4</v>
      </c>
      <c r="L2221" s="8">
        <v>2.473234E-4</v>
      </c>
      <c r="M2221" s="8">
        <v>2.4304639999999999E-4</v>
      </c>
      <c r="N2221" s="8">
        <v>2.38649199999999E-4</v>
      </c>
      <c r="O2221">
        <v>0</v>
      </c>
      <c r="P2221">
        <v>0</v>
      </c>
      <c r="Q2221">
        <v>0</v>
      </c>
      <c r="R2221" t="s">
        <v>243</v>
      </c>
    </row>
    <row r="2222" spans="1:18" x14ac:dyDescent="0.3">
      <c r="A2222" t="s">
        <v>259</v>
      </c>
      <c r="B2222" t="s">
        <v>50</v>
      </c>
      <c r="C2222" t="s">
        <v>331</v>
      </c>
      <c r="D2222" s="8">
        <v>2.40654E-4</v>
      </c>
      <c r="E2222" s="8">
        <v>1.7884800000000001E-4</v>
      </c>
      <c r="F2222" s="8">
        <v>2.4922799999999999E-4</v>
      </c>
      <c r="G2222" s="8">
        <v>1.99617E-4</v>
      </c>
      <c r="H2222" s="8">
        <v>2.059707E-4</v>
      </c>
      <c r="I2222" s="8">
        <v>2.1316299999999999E-4</v>
      </c>
      <c r="J2222" s="8">
        <v>2.128035E-4</v>
      </c>
      <c r="K2222" s="8">
        <v>2.122189E-4</v>
      </c>
      <c r="L2222" s="8">
        <v>2.102824E-4</v>
      </c>
      <c r="M2222" s="8">
        <v>2.066561E-4</v>
      </c>
      <c r="N2222" s="8">
        <v>2.0291579999999999E-4</v>
      </c>
      <c r="O2222">
        <v>0</v>
      </c>
      <c r="P2222">
        <v>0</v>
      </c>
      <c r="Q2222">
        <v>0</v>
      </c>
      <c r="R2222" t="s">
        <v>243</v>
      </c>
    </row>
    <row r="2223" spans="1:18" x14ac:dyDescent="0.3">
      <c r="A2223" t="s">
        <v>259</v>
      </c>
      <c r="B2223" t="s">
        <v>50</v>
      </c>
      <c r="C2223" t="s">
        <v>332</v>
      </c>
      <c r="D2223" s="8">
        <v>1.9724E-4</v>
      </c>
      <c r="E2223" s="8">
        <v>1.43146E-4</v>
      </c>
      <c r="F2223" s="8">
        <v>2.0423699999999999E-4</v>
      </c>
      <c r="G2223" s="8">
        <v>1.6229100000000001E-4</v>
      </c>
      <c r="H2223" s="8">
        <v>1.6699020000000001E-4</v>
      </c>
      <c r="I2223" s="8">
        <v>1.728473E-4</v>
      </c>
      <c r="J2223" s="8">
        <v>1.7238649999999999E-4</v>
      </c>
      <c r="K2223" s="8">
        <v>1.7168229999999901E-4</v>
      </c>
      <c r="L2223" s="8">
        <v>1.69987E-4</v>
      </c>
      <c r="M2223" s="8">
        <v>1.6696349999999999E-4</v>
      </c>
      <c r="N2223" s="8">
        <v>1.638918E-4</v>
      </c>
      <c r="O2223">
        <v>0</v>
      </c>
      <c r="P2223">
        <v>0</v>
      </c>
      <c r="Q2223">
        <v>0</v>
      </c>
      <c r="R2223" t="s">
        <v>243</v>
      </c>
    </row>
    <row r="2224" spans="1:18" x14ac:dyDescent="0.3">
      <c r="A2224" t="s">
        <v>259</v>
      </c>
      <c r="B2224" t="s">
        <v>50</v>
      </c>
      <c r="C2224" t="s">
        <v>333</v>
      </c>
      <c r="D2224" s="8">
        <v>1.4403699999999999E-4</v>
      </c>
      <c r="E2224" s="8">
        <v>1.09318E-4</v>
      </c>
      <c r="F2224" s="8">
        <v>1.53797E-4</v>
      </c>
      <c r="G2224" s="8">
        <v>1.2542799999999999E-4</v>
      </c>
      <c r="H2224" s="8">
        <v>1.2949429999999901E-4</v>
      </c>
      <c r="I2224" s="8">
        <v>1.336846E-4</v>
      </c>
      <c r="J2224" s="8">
        <v>1.3306080000000001E-4</v>
      </c>
      <c r="K2224" s="8">
        <v>1.3241769999999901E-4</v>
      </c>
      <c r="L2224" s="8">
        <v>1.31006E-4</v>
      </c>
      <c r="M2224" s="8">
        <v>1.2858450000000001E-4</v>
      </c>
      <c r="N2224" s="8">
        <v>1.26135299999999E-4</v>
      </c>
      <c r="O2224">
        <v>0</v>
      </c>
      <c r="P2224">
        <v>0</v>
      </c>
      <c r="Q2224">
        <v>0</v>
      </c>
      <c r="R2224" t="s">
        <v>243</v>
      </c>
    </row>
    <row r="2225" spans="1:18" x14ac:dyDescent="0.3">
      <c r="A2225" t="s">
        <v>259</v>
      </c>
      <c r="B2225" t="s">
        <v>50</v>
      </c>
      <c r="C2225" t="s">
        <v>264</v>
      </c>
      <c r="D2225">
        <v>1.7880582E-3</v>
      </c>
      <c r="E2225">
        <v>6.8627719999999996E-3</v>
      </c>
      <c r="F2225">
        <v>7.1678940000000002E-3</v>
      </c>
      <c r="G2225">
        <v>6.91678E-3</v>
      </c>
      <c r="H2225">
        <v>7.3739139999999996E-3</v>
      </c>
      <c r="I2225">
        <v>8.1039079999999999E-3</v>
      </c>
      <c r="J2225">
        <v>8.3668670000000001E-3</v>
      </c>
      <c r="K2225">
        <v>8.4417169999999996E-3</v>
      </c>
      <c r="L2225">
        <v>8.2462459999999901E-3</v>
      </c>
      <c r="M2225">
        <v>7.9088200000000004E-3</v>
      </c>
      <c r="N2225">
        <v>7.5965750000000004E-3</v>
      </c>
      <c r="O2225">
        <v>0</v>
      </c>
      <c r="P2225">
        <v>0</v>
      </c>
      <c r="Q2225">
        <v>0</v>
      </c>
      <c r="R2225" t="s">
        <v>243</v>
      </c>
    </row>
    <row r="2226" spans="1:18" x14ac:dyDescent="0.3">
      <c r="A2226" t="s">
        <v>259</v>
      </c>
      <c r="B2226" t="s">
        <v>50</v>
      </c>
      <c r="C2226" t="s">
        <v>265</v>
      </c>
      <c r="D2226">
        <v>4.9630379999999899E-3</v>
      </c>
      <c r="E2226">
        <v>1.7512469999999999E-2</v>
      </c>
      <c r="F2226">
        <v>1.6911849999999999E-2</v>
      </c>
      <c r="G2226">
        <v>1.533053E-2</v>
      </c>
      <c r="H2226">
        <v>1.5347892E-2</v>
      </c>
      <c r="I2226">
        <v>1.591658E-2</v>
      </c>
      <c r="J2226">
        <v>1.5731691999999999E-2</v>
      </c>
      <c r="K2226">
        <v>1.5572389000000001E-2</v>
      </c>
      <c r="L2226">
        <v>1.5067107E-2</v>
      </c>
      <c r="M2226">
        <v>1.4384282E-2</v>
      </c>
      <c r="N2226">
        <v>1.3797101000000001E-2</v>
      </c>
      <c r="O2226">
        <v>0</v>
      </c>
      <c r="P2226">
        <v>0</v>
      </c>
      <c r="Q2226">
        <v>0</v>
      </c>
      <c r="R2226" t="s">
        <v>243</v>
      </c>
    </row>
    <row r="2227" spans="1:18" x14ac:dyDescent="0.3">
      <c r="A2227" t="s">
        <v>259</v>
      </c>
      <c r="B2227" t="s">
        <v>50</v>
      </c>
      <c r="C2227" t="s">
        <v>266</v>
      </c>
      <c r="D2227">
        <v>2.5396300000000002E-3</v>
      </c>
      <c r="E2227">
        <v>9.508173E-3</v>
      </c>
      <c r="F2227">
        <v>9.77146099999999E-3</v>
      </c>
      <c r="G2227">
        <v>9.1192719999999994E-3</v>
      </c>
      <c r="H2227">
        <v>9.3210799999999903E-3</v>
      </c>
      <c r="I2227">
        <v>9.8917659999999998E-3</v>
      </c>
      <c r="J2227">
        <v>9.9846419999999898E-3</v>
      </c>
      <c r="K2227">
        <v>9.9939639999999993E-3</v>
      </c>
      <c r="L2227">
        <v>9.7307859999999999E-3</v>
      </c>
      <c r="M2227">
        <v>9.3246389999999992E-3</v>
      </c>
      <c r="N2227">
        <v>8.9621700000000002E-3</v>
      </c>
      <c r="O2227">
        <v>0</v>
      </c>
      <c r="P2227">
        <v>0</v>
      </c>
      <c r="Q2227">
        <v>0</v>
      </c>
      <c r="R2227" t="s">
        <v>243</v>
      </c>
    </row>
    <row r="2228" spans="1:18" x14ac:dyDescent="0.3">
      <c r="A2228" t="s">
        <v>259</v>
      </c>
      <c r="B2228" t="s">
        <v>50</v>
      </c>
      <c r="C2228" t="s">
        <v>267</v>
      </c>
      <c r="D2228">
        <v>3.01209299999999E-3</v>
      </c>
      <c r="E2228">
        <v>1.0880902E-2</v>
      </c>
      <c r="F2228">
        <v>1.09531879999999E-2</v>
      </c>
      <c r="G2228">
        <v>1.014085E-2</v>
      </c>
      <c r="H2228">
        <v>1.0228289999999999E-2</v>
      </c>
      <c r="I2228">
        <v>1.0770679E-2</v>
      </c>
      <c r="J2228">
        <v>1.0791564E-2</v>
      </c>
      <c r="K2228">
        <v>1.0769666000000001E-2</v>
      </c>
      <c r="L2228">
        <v>1.0468307E-2</v>
      </c>
      <c r="M2228">
        <v>1.00164649999999E-2</v>
      </c>
      <c r="N2228">
        <v>9.6159820000000003E-3</v>
      </c>
      <c r="O2228">
        <v>0</v>
      </c>
      <c r="P2228">
        <v>0</v>
      </c>
      <c r="Q2228">
        <v>0</v>
      </c>
      <c r="R2228" t="s">
        <v>243</v>
      </c>
    </row>
    <row r="2229" spans="1:18" x14ac:dyDescent="0.3">
      <c r="A2229" t="s">
        <v>259</v>
      </c>
      <c r="B2229" t="s">
        <v>50</v>
      </c>
      <c r="C2229" t="s">
        <v>268</v>
      </c>
      <c r="D2229">
        <v>3.2899489999999999E-3</v>
      </c>
      <c r="E2229">
        <v>1.1799794000000001E-2</v>
      </c>
      <c r="F2229">
        <v>1.17788659999999E-2</v>
      </c>
      <c r="G2229">
        <v>1.08362099999999E-2</v>
      </c>
      <c r="H2229">
        <v>1.085042E-2</v>
      </c>
      <c r="I2229">
        <v>1.1358784E-2</v>
      </c>
      <c r="J2229">
        <v>1.1350895999999999E-2</v>
      </c>
      <c r="K2229">
        <v>1.13148639999999E-2</v>
      </c>
      <c r="L2229">
        <v>1.0992185999999999E-2</v>
      </c>
      <c r="M2229">
        <v>1.05227709999999E-2</v>
      </c>
      <c r="N2229">
        <v>1.0110348999999999E-2</v>
      </c>
      <c r="O2229">
        <v>0</v>
      </c>
      <c r="P2229">
        <v>0</v>
      </c>
      <c r="Q2229">
        <v>0</v>
      </c>
      <c r="R2229" t="s">
        <v>243</v>
      </c>
    </row>
    <row r="2230" spans="1:18" x14ac:dyDescent="0.3">
      <c r="A2230" t="s">
        <v>259</v>
      </c>
      <c r="B2230" t="s">
        <v>50</v>
      </c>
      <c r="C2230" t="s">
        <v>269</v>
      </c>
      <c r="D2230">
        <v>3.5290439999999998E-3</v>
      </c>
      <c r="E2230">
        <v>1.2577743000000001E-2</v>
      </c>
      <c r="F2230">
        <v>1.2431948999999999E-2</v>
      </c>
      <c r="G2230">
        <v>1.142176E-2</v>
      </c>
      <c r="H2230">
        <v>1.1362753999999999E-2</v>
      </c>
      <c r="I2230">
        <v>1.1877728000000001E-2</v>
      </c>
      <c r="J2230">
        <v>1.1849093E-2</v>
      </c>
      <c r="K2230">
        <v>1.1800606E-2</v>
      </c>
      <c r="L2230">
        <v>1.1457024E-2</v>
      </c>
      <c r="M2230">
        <v>1.0956670999999999E-2</v>
      </c>
      <c r="N2230">
        <v>1.05235549999999E-2</v>
      </c>
      <c r="O2230">
        <v>0</v>
      </c>
      <c r="P2230">
        <v>0</v>
      </c>
      <c r="Q2230">
        <v>0</v>
      </c>
      <c r="R2230" t="s">
        <v>243</v>
      </c>
    </row>
    <row r="2231" spans="1:18" x14ac:dyDescent="0.3">
      <c r="A2231" t="s">
        <v>259</v>
      </c>
      <c r="B2231" t="s">
        <v>50</v>
      </c>
      <c r="C2231" t="s">
        <v>270</v>
      </c>
      <c r="D2231">
        <v>3.760251E-3</v>
      </c>
      <c r="E2231">
        <v>1.3256841E-2</v>
      </c>
      <c r="F2231">
        <v>1.29986999999999E-2</v>
      </c>
      <c r="G2231">
        <v>1.19295429999999E-2</v>
      </c>
      <c r="H2231">
        <v>1.1849520000000001E-2</v>
      </c>
      <c r="I2231">
        <v>1.237035E-2</v>
      </c>
      <c r="J2231">
        <v>1.2320177999999999E-2</v>
      </c>
      <c r="K2231">
        <v>1.2249759000000001E-2</v>
      </c>
      <c r="L2231">
        <v>1.1879199999999999E-2</v>
      </c>
      <c r="M2231">
        <v>1.1358050999999999E-2</v>
      </c>
      <c r="N2231">
        <v>1.09061419999999E-2</v>
      </c>
      <c r="O2231">
        <v>0</v>
      </c>
      <c r="P2231">
        <v>0</v>
      </c>
      <c r="Q2231">
        <v>0</v>
      </c>
      <c r="R2231" t="s">
        <v>243</v>
      </c>
    </row>
    <row r="2232" spans="1:18" x14ac:dyDescent="0.3">
      <c r="A2232" t="s">
        <v>259</v>
      </c>
      <c r="B2232" t="s">
        <v>50</v>
      </c>
      <c r="C2232" t="s">
        <v>271</v>
      </c>
      <c r="D2232">
        <v>3.985794E-3</v>
      </c>
      <c r="E2232">
        <v>1.3890177E-2</v>
      </c>
      <c r="F2232">
        <v>1.35538799999999E-2</v>
      </c>
      <c r="G2232">
        <v>1.2382714E-2</v>
      </c>
      <c r="H2232">
        <v>1.2343909E-2</v>
      </c>
      <c r="I2232">
        <v>1.2852196999999999E-2</v>
      </c>
      <c r="J2232">
        <v>1.27778299999999E-2</v>
      </c>
      <c r="K2232">
        <v>1.2706925000000001E-2</v>
      </c>
      <c r="L2232">
        <v>1.2328238999999901E-2</v>
      </c>
      <c r="M2232">
        <v>1.1788155E-2</v>
      </c>
      <c r="N2232">
        <v>1.1318987000000001E-2</v>
      </c>
      <c r="O2232">
        <v>0</v>
      </c>
      <c r="P2232">
        <v>0</v>
      </c>
      <c r="Q2232">
        <v>0</v>
      </c>
      <c r="R2232" t="s">
        <v>243</v>
      </c>
    </row>
    <row r="2233" spans="1:18" x14ac:dyDescent="0.3">
      <c r="A2233" t="s">
        <v>259</v>
      </c>
      <c r="B2233" t="s">
        <v>50</v>
      </c>
      <c r="C2233" t="s">
        <v>272</v>
      </c>
      <c r="D2233">
        <v>4.2022320000000002E-3</v>
      </c>
      <c r="E2233">
        <v>1.4577391E-2</v>
      </c>
      <c r="F2233">
        <v>1.415779E-2</v>
      </c>
      <c r="G2233">
        <v>1.295411E-2</v>
      </c>
      <c r="H2233">
        <v>1.2879559E-2</v>
      </c>
      <c r="I2233">
        <v>1.3410821999999999E-2</v>
      </c>
      <c r="J2233">
        <v>1.3318807E-2</v>
      </c>
      <c r="K2233">
        <v>1.3227335E-2</v>
      </c>
      <c r="L2233">
        <v>1.2823236999999999E-2</v>
      </c>
      <c r="M2233">
        <v>1.2254562E-2</v>
      </c>
      <c r="N2233">
        <v>1.1763331999999901E-2</v>
      </c>
      <c r="O2233">
        <v>0</v>
      </c>
      <c r="P2233">
        <v>0</v>
      </c>
      <c r="Q2233">
        <v>0</v>
      </c>
      <c r="R2233" t="s">
        <v>243</v>
      </c>
    </row>
    <row r="2234" spans="1:18" x14ac:dyDescent="0.3">
      <c r="A2234" t="s">
        <v>259</v>
      </c>
      <c r="B2234" t="s">
        <v>50</v>
      </c>
      <c r="C2234" t="s">
        <v>273</v>
      </c>
      <c r="D2234">
        <v>4.5160649999999997E-3</v>
      </c>
      <c r="E2234">
        <v>1.53970899999999E-2</v>
      </c>
      <c r="F2234">
        <v>1.500493E-2</v>
      </c>
      <c r="G2234">
        <v>1.3655280000000001E-2</v>
      </c>
      <c r="H2234">
        <v>1.3619816E-2</v>
      </c>
      <c r="I2234">
        <v>1.41454129999999E-2</v>
      </c>
      <c r="J2234">
        <v>1.4021057E-2</v>
      </c>
      <c r="K2234">
        <v>1.3914905999999901E-2</v>
      </c>
      <c r="L2234">
        <v>1.3479376E-2</v>
      </c>
      <c r="M2234">
        <v>1.2872445E-2</v>
      </c>
      <c r="N2234">
        <v>1.2348151999999999E-2</v>
      </c>
      <c r="O2234">
        <v>0</v>
      </c>
      <c r="P2234">
        <v>0</v>
      </c>
      <c r="Q2234">
        <v>0</v>
      </c>
      <c r="R2234" t="s">
        <v>243</v>
      </c>
    </row>
    <row r="2235" spans="1:18" x14ac:dyDescent="0.3">
      <c r="A2235" t="s">
        <v>259</v>
      </c>
      <c r="B2235" t="s">
        <v>50</v>
      </c>
      <c r="C2235" t="s">
        <v>274</v>
      </c>
      <c r="D2235" s="8">
        <v>3.2849599999999998E-8</v>
      </c>
      <c r="E2235" s="8">
        <v>2.2720699999999999E-8</v>
      </c>
      <c r="F2235" s="8">
        <v>2.3527599999999999E-8</v>
      </c>
      <c r="G2235" s="8">
        <v>2.4284800000000001E-8</v>
      </c>
      <c r="H2235" s="8">
        <v>1.967656E-8</v>
      </c>
      <c r="I2235" s="8">
        <v>1.265538E-8</v>
      </c>
      <c r="J2235" s="8">
        <v>4.3900799999999998E-9</v>
      </c>
      <c r="K2235" s="8">
        <v>4.9298000000000001E-9</v>
      </c>
      <c r="L2235" s="8">
        <v>5.2780290000000003E-9</v>
      </c>
      <c r="M2235" s="8">
        <v>5.3493599999999903E-9</v>
      </c>
      <c r="N2235" s="8">
        <v>5.3127149999999904E-9</v>
      </c>
      <c r="O2235">
        <v>0</v>
      </c>
      <c r="P2235">
        <v>0</v>
      </c>
      <c r="Q2235">
        <v>0</v>
      </c>
      <c r="R2235" t="s">
        <v>243</v>
      </c>
    </row>
    <row r="2236" spans="1:18" x14ac:dyDescent="0.3">
      <c r="A2236" t="s">
        <v>259</v>
      </c>
      <c r="B2236" t="s">
        <v>50</v>
      </c>
      <c r="C2236" t="s">
        <v>275</v>
      </c>
      <c r="D2236" s="8">
        <v>4.4346999999999999E-7</v>
      </c>
      <c r="E2236" s="8">
        <v>4.9133400000000005E-7</v>
      </c>
      <c r="F2236" s="8">
        <v>4.53944E-7</v>
      </c>
      <c r="G2236" s="8">
        <v>4.29031E-7</v>
      </c>
      <c r="H2236" s="8">
        <v>3.2315830000000002E-7</v>
      </c>
      <c r="I2236" s="8">
        <v>2.0333680000000001E-7</v>
      </c>
      <c r="J2236" s="8">
        <v>7.0269400000000001E-8</v>
      </c>
      <c r="K2236" s="8">
        <v>7.9554600000000005E-8</v>
      </c>
      <c r="L2236" s="8">
        <v>8.6246700000000002E-8</v>
      </c>
      <c r="M2236" s="8">
        <v>8.8878499999999997E-8</v>
      </c>
      <c r="N2236" s="8">
        <v>8.99479E-8</v>
      </c>
      <c r="O2236">
        <v>0</v>
      </c>
      <c r="P2236">
        <v>0</v>
      </c>
      <c r="Q2236">
        <v>0</v>
      </c>
      <c r="R2236" t="s">
        <v>243</v>
      </c>
    </row>
    <row r="2237" spans="1:18" x14ac:dyDescent="0.3">
      <c r="A2237" t="s">
        <v>259</v>
      </c>
      <c r="B2237" t="s">
        <v>50</v>
      </c>
      <c r="C2237" t="s">
        <v>276</v>
      </c>
      <c r="D2237" s="8">
        <v>5.8233500000000003E-8</v>
      </c>
      <c r="E2237" s="8">
        <v>4.4021299999999997E-8</v>
      </c>
      <c r="F2237" s="8">
        <v>4.84391E-8</v>
      </c>
      <c r="G2237" s="8">
        <v>4.8569499999999997E-8</v>
      </c>
      <c r="H2237" s="8">
        <v>3.7770750000000001E-8</v>
      </c>
      <c r="I2237" s="8">
        <v>2.3946070000000001E-8</v>
      </c>
      <c r="J2237" s="8">
        <v>8.1311799999999996E-9</v>
      </c>
      <c r="K2237" s="8">
        <v>9.1446699999999992E-9</v>
      </c>
      <c r="L2237" s="8">
        <v>9.8265000000000003E-9</v>
      </c>
      <c r="M2237" s="8">
        <v>1.00287E-8</v>
      </c>
      <c r="N2237" s="8">
        <v>1.00487799999999E-8</v>
      </c>
      <c r="O2237">
        <v>0</v>
      </c>
      <c r="P2237">
        <v>0</v>
      </c>
      <c r="Q2237">
        <v>0</v>
      </c>
      <c r="R2237" t="s">
        <v>243</v>
      </c>
    </row>
    <row r="2238" spans="1:18" x14ac:dyDescent="0.3">
      <c r="A2238" t="s">
        <v>259</v>
      </c>
      <c r="B2238" t="s">
        <v>50</v>
      </c>
      <c r="C2238" t="s">
        <v>277</v>
      </c>
      <c r="D2238" s="8">
        <v>8.0630899999999997E-8</v>
      </c>
      <c r="E2238" s="8">
        <v>6.3901900000000007E-8</v>
      </c>
      <c r="F2238" s="8">
        <v>6.9198799999999999E-8</v>
      </c>
      <c r="G2238" s="8">
        <v>7.0155999999999996E-8</v>
      </c>
      <c r="H2238" s="8">
        <v>5.3460200000000001E-8</v>
      </c>
      <c r="I2238" s="8">
        <v>3.362818E-8</v>
      </c>
      <c r="J2238" s="8">
        <v>1.1102150000000001E-8</v>
      </c>
      <c r="K2238" s="8">
        <v>1.2449199999999899E-8</v>
      </c>
      <c r="L2238" s="8">
        <v>1.335424E-8</v>
      </c>
      <c r="M2238" s="8">
        <v>1.359037E-8</v>
      </c>
      <c r="N2238" s="8">
        <v>1.358029E-8</v>
      </c>
      <c r="O2238">
        <v>0</v>
      </c>
      <c r="P2238">
        <v>0</v>
      </c>
      <c r="Q2238">
        <v>0</v>
      </c>
      <c r="R2238" t="s">
        <v>243</v>
      </c>
    </row>
    <row r="2239" spans="1:18" x14ac:dyDescent="0.3">
      <c r="A2239" t="s">
        <v>259</v>
      </c>
      <c r="B2239" t="s">
        <v>50</v>
      </c>
      <c r="C2239" t="s">
        <v>278</v>
      </c>
      <c r="D2239" s="8">
        <v>1.00042E-7</v>
      </c>
      <c r="E2239" s="8">
        <v>8.3782500000000003E-8</v>
      </c>
      <c r="F2239" s="8">
        <v>8.8574400000000005E-8</v>
      </c>
      <c r="G2239" s="8">
        <v>8.9044100000000005E-8</v>
      </c>
      <c r="H2239" s="8">
        <v>6.7159600000000005E-8</v>
      </c>
      <c r="I2239" s="8">
        <v>4.1994610000000001E-8</v>
      </c>
      <c r="J2239" s="8">
        <v>1.374542E-8</v>
      </c>
      <c r="K2239" s="8">
        <v>1.542099E-8</v>
      </c>
      <c r="L2239" s="8">
        <v>1.6556380000000002E-8</v>
      </c>
      <c r="M2239" s="8">
        <v>1.692972E-8</v>
      </c>
      <c r="N2239" s="8">
        <v>1.700847E-8</v>
      </c>
      <c r="O2239">
        <v>0</v>
      </c>
      <c r="P2239">
        <v>0</v>
      </c>
      <c r="Q2239">
        <v>0</v>
      </c>
      <c r="R2239" t="s">
        <v>243</v>
      </c>
    </row>
    <row r="2240" spans="1:18" x14ac:dyDescent="0.3">
      <c r="A2240" t="s">
        <v>259</v>
      </c>
      <c r="B2240" t="s">
        <v>50</v>
      </c>
      <c r="C2240" t="s">
        <v>279</v>
      </c>
      <c r="D2240" s="8">
        <v>1.19453E-7</v>
      </c>
      <c r="E2240" s="8">
        <v>1.06503E-7</v>
      </c>
      <c r="F2240" s="8">
        <v>1.09334E-7</v>
      </c>
      <c r="G2240" s="8">
        <v>1.09281E-7</v>
      </c>
      <c r="H2240" s="8">
        <v>8.1590500000000005E-8</v>
      </c>
      <c r="I2240" s="8">
        <v>5.0972040000000001E-8</v>
      </c>
      <c r="J2240" s="8">
        <v>1.6596749999999999E-8</v>
      </c>
      <c r="K2240" s="8">
        <v>1.8638030000000001E-8</v>
      </c>
      <c r="L2240" s="8">
        <v>2.0018310000000001E-8</v>
      </c>
      <c r="M2240" s="8">
        <v>2.041782E-8</v>
      </c>
      <c r="N2240" s="8">
        <v>2.0512920000000001E-8</v>
      </c>
      <c r="O2240">
        <v>0</v>
      </c>
      <c r="P2240">
        <v>0</v>
      </c>
      <c r="Q2240">
        <v>0</v>
      </c>
      <c r="R2240" t="s">
        <v>243</v>
      </c>
    </row>
    <row r="2241" spans="1:18" x14ac:dyDescent="0.3">
      <c r="A2241" t="s">
        <v>259</v>
      </c>
      <c r="B2241" t="s">
        <v>50</v>
      </c>
      <c r="C2241" t="s">
        <v>280</v>
      </c>
      <c r="D2241" s="8">
        <v>1.4334399999999999E-7</v>
      </c>
      <c r="E2241" s="8">
        <v>1.3206400000000001E-7</v>
      </c>
      <c r="F2241" s="8">
        <v>1.3147800000000001E-7</v>
      </c>
      <c r="G2241" s="8">
        <v>1.30868E-7</v>
      </c>
      <c r="H2241" s="8">
        <v>9.7477399999999896E-8</v>
      </c>
      <c r="I2241" s="8">
        <v>6.0949399999999994E-8</v>
      </c>
      <c r="J2241" s="8">
        <v>1.98119E-8</v>
      </c>
      <c r="K2241" s="8">
        <v>2.2175499999999999E-8</v>
      </c>
      <c r="L2241" s="8">
        <v>2.3754579999999998E-8</v>
      </c>
      <c r="M2241" s="8">
        <v>2.425534E-8</v>
      </c>
      <c r="N2241" s="8">
        <v>2.4371359999999999E-8</v>
      </c>
      <c r="O2241">
        <v>0</v>
      </c>
      <c r="P2241">
        <v>0</v>
      </c>
      <c r="Q2241">
        <v>0</v>
      </c>
      <c r="R2241" t="s">
        <v>243</v>
      </c>
    </row>
    <row r="2242" spans="1:18" x14ac:dyDescent="0.3">
      <c r="A2242" t="s">
        <v>259</v>
      </c>
      <c r="B2242" t="s">
        <v>50</v>
      </c>
      <c r="C2242" t="s">
        <v>281</v>
      </c>
      <c r="D2242" s="8">
        <v>1.73207E-7</v>
      </c>
      <c r="E2242" s="8">
        <v>1.60465E-7</v>
      </c>
      <c r="F2242" s="8">
        <v>1.5638900000000001E-7</v>
      </c>
      <c r="G2242" s="8">
        <v>1.5380399999999999E-7</v>
      </c>
      <c r="H2242" s="8">
        <v>1.1512069999999899E-7</v>
      </c>
      <c r="I2242" s="8">
        <v>7.17891999999999E-8</v>
      </c>
      <c r="J2242" s="8">
        <v>2.351687E-8</v>
      </c>
      <c r="K2242" s="8">
        <v>2.6454599999999999E-8</v>
      </c>
      <c r="L2242" s="8">
        <v>2.8489810000000001E-8</v>
      </c>
      <c r="M2242" s="8">
        <v>2.9166159999999999E-8</v>
      </c>
      <c r="N2242" s="8">
        <v>2.9355369999999999E-8</v>
      </c>
      <c r="O2242">
        <v>0</v>
      </c>
      <c r="P2242">
        <v>0</v>
      </c>
      <c r="Q2242">
        <v>0</v>
      </c>
      <c r="R2242" t="s">
        <v>243</v>
      </c>
    </row>
    <row r="2243" spans="1:18" x14ac:dyDescent="0.3">
      <c r="A2243" t="s">
        <v>259</v>
      </c>
      <c r="B2243" t="s">
        <v>50</v>
      </c>
      <c r="C2243" t="s">
        <v>282</v>
      </c>
      <c r="D2243" s="8">
        <v>2.10536E-7</v>
      </c>
      <c r="E2243" s="8">
        <v>1.9880599999999999E-7</v>
      </c>
      <c r="F2243" s="8">
        <v>1.9098899999999999E-7</v>
      </c>
      <c r="G2243" s="8">
        <v>1.8888200000000001E-7</v>
      </c>
      <c r="H2243" s="8">
        <v>1.406889E-7</v>
      </c>
      <c r="I2243" s="8">
        <v>8.7804199999999994E-8</v>
      </c>
      <c r="J2243" s="8">
        <v>2.8745649999999999E-8</v>
      </c>
      <c r="K2243" s="8">
        <v>3.2298799999999999E-8</v>
      </c>
      <c r="L2243" s="8">
        <v>3.4775829999999999E-8</v>
      </c>
      <c r="M2243" s="8">
        <v>3.5586570000000002E-8</v>
      </c>
      <c r="N2243" s="8">
        <v>3.5826150000000001E-8</v>
      </c>
      <c r="O2243">
        <v>0</v>
      </c>
      <c r="P2243">
        <v>0</v>
      </c>
      <c r="Q2243">
        <v>0</v>
      </c>
      <c r="R2243" t="s">
        <v>243</v>
      </c>
    </row>
    <row r="2244" spans="1:18" x14ac:dyDescent="0.3">
      <c r="A2244" t="s">
        <v>259</v>
      </c>
      <c r="B2244" t="s">
        <v>50</v>
      </c>
      <c r="C2244" t="s">
        <v>283</v>
      </c>
      <c r="D2244" s="8">
        <v>2.8220799999999998E-7</v>
      </c>
      <c r="E2244" s="8">
        <v>2.5702800000000002E-7</v>
      </c>
      <c r="F2244" s="8">
        <v>2.4911599999999999E-7</v>
      </c>
      <c r="G2244" s="8">
        <v>2.4014900000000002E-7</v>
      </c>
      <c r="H2244" s="8">
        <v>1.797579E-7</v>
      </c>
      <c r="I2244" s="8">
        <v>1.12309999999999E-7</v>
      </c>
      <c r="J2244" s="8">
        <v>3.7293600000000001E-8</v>
      </c>
      <c r="K2244" s="8">
        <v>4.2044599999999903E-8</v>
      </c>
      <c r="L2244" s="8">
        <v>4.5301629999999999E-8</v>
      </c>
      <c r="M2244" s="8">
        <v>4.6340129999999998E-8</v>
      </c>
      <c r="N2244" s="8">
        <v>4.6600199999999998E-8</v>
      </c>
      <c r="O2244">
        <v>0</v>
      </c>
      <c r="P2244">
        <v>0</v>
      </c>
      <c r="Q2244">
        <v>0</v>
      </c>
      <c r="R2244" t="s">
        <v>243</v>
      </c>
    </row>
    <row r="2245" spans="1:18" x14ac:dyDescent="0.3">
      <c r="A2245" t="s">
        <v>259</v>
      </c>
      <c r="B2245" t="s">
        <v>50</v>
      </c>
      <c r="C2245" t="s">
        <v>334</v>
      </c>
      <c r="D2245">
        <v>7.68234E-2</v>
      </c>
      <c r="E2245">
        <v>7.1384199999999995E-2</v>
      </c>
      <c r="F2245">
        <v>9.0104699999999996E-2</v>
      </c>
      <c r="G2245">
        <v>7.0432400000000006E-2</v>
      </c>
      <c r="H2245">
        <v>7.6674199999999998E-2</v>
      </c>
      <c r="I2245">
        <v>8.1129499999999993E-2</v>
      </c>
      <c r="J2245">
        <v>8.2295499999999994E-2</v>
      </c>
      <c r="K2245">
        <v>7.6041899999999996E-2</v>
      </c>
      <c r="L2245">
        <v>6.7521999999999999E-2</v>
      </c>
      <c r="M2245">
        <v>6.1553400000000001E-2</v>
      </c>
      <c r="N2245">
        <v>5.7303300000000001E-2</v>
      </c>
      <c r="O2245">
        <v>0</v>
      </c>
      <c r="P2245">
        <v>0</v>
      </c>
      <c r="Q2245">
        <v>0</v>
      </c>
      <c r="R2245" t="s">
        <v>243</v>
      </c>
    </row>
    <row r="2246" spans="1:18" x14ac:dyDescent="0.3">
      <c r="A2246" t="s">
        <v>259</v>
      </c>
      <c r="B2246" t="s">
        <v>50</v>
      </c>
      <c r="C2246" t="s">
        <v>335</v>
      </c>
      <c r="D2246">
        <v>5.8901600000000002E-3</v>
      </c>
      <c r="E2246">
        <v>3.5762300000000001E-3</v>
      </c>
      <c r="F2246">
        <v>5.3200699999999997E-3</v>
      </c>
      <c r="G2246">
        <v>4.4385500000000003E-3</v>
      </c>
      <c r="H2246">
        <v>4.5968199999999997E-3</v>
      </c>
      <c r="I2246">
        <v>4.7491399999999998E-3</v>
      </c>
      <c r="J2246">
        <v>4.707798E-3</v>
      </c>
      <c r="K2246">
        <v>4.6695850000000004E-3</v>
      </c>
      <c r="L2246">
        <v>4.61985E-3</v>
      </c>
      <c r="M2246">
        <v>4.5306249999999999E-3</v>
      </c>
      <c r="N2246">
        <v>4.4429639999999998E-3</v>
      </c>
      <c r="O2246">
        <v>0</v>
      </c>
      <c r="P2246">
        <v>0</v>
      </c>
      <c r="Q2246">
        <v>0</v>
      </c>
      <c r="R2246" t="s">
        <v>243</v>
      </c>
    </row>
    <row r="2247" spans="1:18" x14ac:dyDescent="0.3">
      <c r="A2247" t="s">
        <v>259</v>
      </c>
      <c r="B2247" t="s">
        <v>50</v>
      </c>
      <c r="C2247" t="s">
        <v>336</v>
      </c>
      <c r="D2247">
        <v>4.6061699999999997E-2</v>
      </c>
      <c r="E2247">
        <v>4.0243000000000001E-2</v>
      </c>
      <c r="F2247">
        <v>4.99046E-2</v>
      </c>
      <c r="G2247">
        <v>3.9227100000000001E-2</v>
      </c>
      <c r="H2247">
        <v>4.1423599999999998E-2</v>
      </c>
      <c r="I2247">
        <v>4.3408500000000003E-2</v>
      </c>
      <c r="J2247">
        <v>4.3759930000000002E-2</v>
      </c>
      <c r="K2247">
        <v>4.3871569999999999E-2</v>
      </c>
      <c r="L2247">
        <v>3.9998300000000001E-2</v>
      </c>
      <c r="M2247">
        <v>3.6292199999999997E-2</v>
      </c>
      <c r="N2247">
        <v>3.3541700000000001E-2</v>
      </c>
      <c r="O2247">
        <v>0</v>
      </c>
      <c r="P2247">
        <v>0</v>
      </c>
      <c r="Q2247">
        <v>0</v>
      </c>
      <c r="R2247" t="s">
        <v>243</v>
      </c>
    </row>
    <row r="2248" spans="1:18" x14ac:dyDescent="0.3">
      <c r="A2248" t="s">
        <v>259</v>
      </c>
      <c r="B2248" t="s">
        <v>50</v>
      </c>
      <c r="C2248" t="s">
        <v>337</v>
      </c>
      <c r="D2248">
        <v>3.3544900000000002E-2</v>
      </c>
      <c r="E2248">
        <v>2.8734900000000001E-2</v>
      </c>
      <c r="F2248">
        <v>3.6562299999999999E-2</v>
      </c>
      <c r="G2248">
        <v>2.8596400000000001E-2</v>
      </c>
      <c r="H2248">
        <v>2.98356E-2</v>
      </c>
      <c r="I2248">
        <v>3.1202529999999999E-2</v>
      </c>
      <c r="J2248">
        <v>3.1314559999999998E-2</v>
      </c>
      <c r="K2248">
        <v>3.1317589999999999E-2</v>
      </c>
      <c r="L2248">
        <v>3.1125139999999999E-2</v>
      </c>
      <c r="M2248">
        <v>2.8507560000000001E-2</v>
      </c>
      <c r="N2248">
        <v>2.648269E-2</v>
      </c>
      <c r="O2248">
        <v>0</v>
      </c>
      <c r="P2248">
        <v>0</v>
      </c>
      <c r="Q2248">
        <v>0</v>
      </c>
      <c r="R2248" t="s">
        <v>243</v>
      </c>
    </row>
    <row r="2249" spans="1:18" x14ac:dyDescent="0.3">
      <c r="A2249" t="s">
        <v>259</v>
      </c>
      <c r="B2249" t="s">
        <v>50</v>
      </c>
      <c r="C2249" t="s">
        <v>338</v>
      </c>
      <c r="D2249">
        <v>2.76104E-2</v>
      </c>
      <c r="E2249">
        <v>2.2383900000000002E-2</v>
      </c>
      <c r="F2249">
        <v>2.8817499999999999E-2</v>
      </c>
      <c r="G2249">
        <v>2.27084E-2</v>
      </c>
      <c r="H2249">
        <v>2.35203999999999E-2</v>
      </c>
      <c r="I2249">
        <v>2.4502509999999901E-2</v>
      </c>
      <c r="J2249">
        <v>2.4546720000000001E-2</v>
      </c>
      <c r="K2249">
        <v>2.4523130000000001E-2</v>
      </c>
      <c r="L2249">
        <v>2.4359869999999999E-2</v>
      </c>
      <c r="M2249">
        <v>2.3953530000000001E-2</v>
      </c>
      <c r="N2249">
        <v>2.2473529999999999E-2</v>
      </c>
      <c r="O2249">
        <v>0</v>
      </c>
      <c r="P2249">
        <v>0</v>
      </c>
      <c r="Q2249">
        <v>0</v>
      </c>
      <c r="R2249" t="s">
        <v>243</v>
      </c>
    </row>
    <row r="2250" spans="1:18" x14ac:dyDescent="0.3">
      <c r="A2250" t="s">
        <v>259</v>
      </c>
      <c r="B2250" t="s">
        <v>50</v>
      </c>
      <c r="C2250" t="s">
        <v>339</v>
      </c>
      <c r="D2250">
        <v>2.3139699999999999E-2</v>
      </c>
      <c r="E2250">
        <v>1.78338E-2</v>
      </c>
      <c r="F2250">
        <v>2.3615199999999999E-2</v>
      </c>
      <c r="G2250">
        <v>1.8568899999999999E-2</v>
      </c>
      <c r="H2250">
        <v>1.9103080000000001E-2</v>
      </c>
      <c r="I2250">
        <v>1.9888380000000001E-2</v>
      </c>
      <c r="J2250">
        <v>1.9897890000000001E-2</v>
      </c>
      <c r="K2250">
        <v>1.9861190000000001E-2</v>
      </c>
      <c r="L2250">
        <v>1.9717369999999901E-2</v>
      </c>
      <c r="M2250">
        <v>1.9368839999999998E-2</v>
      </c>
      <c r="N2250">
        <v>1.9019790000000002E-2</v>
      </c>
      <c r="O2250">
        <v>0</v>
      </c>
      <c r="P2250">
        <v>0</v>
      </c>
      <c r="Q2250">
        <v>0</v>
      </c>
      <c r="R2250" t="s">
        <v>243</v>
      </c>
    </row>
    <row r="2251" spans="1:18" x14ac:dyDescent="0.3">
      <c r="A2251" t="s">
        <v>259</v>
      </c>
      <c r="B2251" t="s">
        <v>50</v>
      </c>
      <c r="C2251" t="s">
        <v>340</v>
      </c>
      <c r="D2251">
        <v>1.9288400000000001E-2</v>
      </c>
      <c r="E2251">
        <v>1.44815E-2</v>
      </c>
      <c r="F2251">
        <v>1.9748999999999999E-2</v>
      </c>
      <c r="G2251">
        <v>1.55371E-2</v>
      </c>
      <c r="H2251">
        <v>1.5957559999999999E-2</v>
      </c>
      <c r="I2251">
        <v>1.659712E-2</v>
      </c>
      <c r="J2251">
        <v>1.6579730000000001E-2</v>
      </c>
      <c r="K2251">
        <v>1.652178E-2</v>
      </c>
      <c r="L2251">
        <v>1.6383089999999999E-2</v>
      </c>
      <c r="M2251">
        <v>1.6090549999999999E-2</v>
      </c>
      <c r="N2251">
        <v>1.5796259999999999E-2</v>
      </c>
      <c r="O2251">
        <v>0</v>
      </c>
      <c r="P2251">
        <v>0</v>
      </c>
      <c r="Q2251">
        <v>0</v>
      </c>
      <c r="R2251" t="s">
        <v>243</v>
      </c>
    </row>
    <row r="2252" spans="1:18" x14ac:dyDescent="0.3">
      <c r="A2252" t="s">
        <v>259</v>
      </c>
      <c r="B2252" t="s">
        <v>50</v>
      </c>
      <c r="C2252" t="s">
        <v>341</v>
      </c>
      <c r="D2252">
        <v>1.5933599999999999E-2</v>
      </c>
      <c r="E2252">
        <v>1.1854699999999999E-2</v>
      </c>
      <c r="F2252">
        <v>1.6510799999999999E-2</v>
      </c>
      <c r="G2252">
        <v>1.32224E-2</v>
      </c>
      <c r="H2252">
        <v>1.3631870000000001E-2</v>
      </c>
      <c r="I2252">
        <v>1.4140710000000001E-2</v>
      </c>
      <c r="J2252">
        <v>1.410074E-2</v>
      </c>
      <c r="K2252">
        <v>1.405317E-2</v>
      </c>
      <c r="L2252">
        <v>1.3941520000000001E-2</v>
      </c>
      <c r="M2252">
        <v>1.369335E-2</v>
      </c>
      <c r="N2252">
        <v>1.344275E-2</v>
      </c>
      <c r="O2252">
        <v>0</v>
      </c>
      <c r="P2252">
        <v>0</v>
      </c>
      <c r="Q2252">
        <v>0</v>
      </c>
      <c r="R2252" t="s">
        <v>243</v>
      </c>
    </row>
    <row r="2253" spans="1:18" x14ac:dyDescent="0.3">
      <c r="A2253" t="s">
        <v>259</v>
      </c>
      <c r="B2253" t="s">
        <v>50</v>
      </c>
      <c r="C2253" t="s">
        <v>342</v>
      </c>
      <c r="D2253">
        <v>1.30729E-2</v>
      </c>
      <c r="E2253">
        <v>9.4994399999999996E-3</v>
      </c>
      <c r="F2253">
        <v>1.35444E-2</v>
      </c>
      <c r="G2253">
        <v>1.0761700000000001E-2</v>
      </c>
      <c r="H2253">
        <v>1.106408E-2</v>
      </c>
      <c r="I2253">
        <v>1.14789E-2</v>
      </c>
      <c r="J2253">
        <v>1.143508E-2</v>
      </c>
      <c r="K2253">
        <v>1.13812899999999E-2</v>
      </c>
      <c r="L2253">
        <v>1.1282339999999899E-2</v>
      </c>
      <c r="M2253">
        <v>1.1075349999999999E-2</v>
      </c>
      <c r="N2253">
        <v>1.0869379999999901E-2</v>
      </c>
      <c r="O2253">
        <v>0</v>
      </c>
      <c r="P2253">
        <v>0</v>
      </c>
      <c r="Q2253">
        <v>0</v>
      </c>
      <c r="R2253" t="s">
        <v>243</v>
      </c>
    </row>
    <row r="2254" spans="1:18" x14ac:dyDescent="0.3">
      <c r="A2254" t="s">
        <v>259</v>
      </c>
      <c r="B2254" t="s">
        <v>50</v>
      </c>
      <c r="C2254" t="s">
        <v>343</v>
      </c>
      <c r="D2254">
        <v>9.5624500000000001E-3</v>
      </c>
      <c r="E2254">
        <v>7.2648900000000004E-3</v>
      </c>
      <c r="F2254">
        <v>1.02147E-2</v>
      </c>
      <c r="G2254">
        <v>8.3286699999999998E-3</v>
      </c>
      <c r="H2254">
        <v>8.5915599999999998E-3</v>
      </c>
      <c r="I2254">
        <v>8.8902200000000008E-3</v>
      </c>
      <c r="J2254">
        <v>8.8386300000000001E-3</v>
      </c>
      <c r="K2254">
        <v>8.7903400000000007E-3</v>
      </c>
      <c r="L2254">
        <v>8.7069899999999995E-3</v>
      </c>
      <c r="M2254">
        <v>8.5412300000000003E-3</v>
      </c>
      <c r="N2254">
        <v>8.3768000000000002E-3</v>
      </c>
      <c r="O2254">
        <v>0</v>
      </c>
      <c r="P2254">
        <v>0</v>
      </c>
      <c r="Q2254">
        <v>0</v>
      </c>
      <c r="R2254" t="s">
        <v>243</v>
      </c>
    </row>
    <row r="2255" spans="1:18" x14ac:dyDescent="0.3">
      <c r="A2255" t="s">
        <v>259</v>
      </c>
      <c r="B2255" t="s">
        <v>50</v>
      </c>
      <c r="C2255" t="s">
        <v>284</v>
      </c>
      <c r="D2255">
        <v>4.2048767902999997E-3</v>
      </c>
      <c r="E2255">
        <v>4.5270904209999997E-3</v>
      </c>
      <c r="F2255">
        <v>5.5443275640000003E-3</v>
      </c>
      <c r="G2255">
        <v>5.0550267369999999E-3</v>
      </c>
      <c r="H2255">
        <v>5.7818698099999996E-3</v>
      </c>
      <c r="I2255">
        <v>7.0455986779999896E-3</v>
      </c>
      <c r="J2255">
        <v>8.1798507750000006E-3</v>
      </c>
      <c r="K2255">
        <v>8.7080280842999902E-3</v>
      </c>
      <c r="L2255">
        <v>8.92500389089999E-3</v>
      </c>
      <c r="M2255">
        <v>8.8143105200000002E-3</v>
      </c>
      <c r="N2255">
        <v>8.5758735899999997E-3</v>
      </c>
      <c r="O2255">
        <v>0</v>
      </c>
      <c r="P2255">
        <v>0</v>
      </c>
      <c r="Q2255">
        <v>0</v>
      </c>
      <c r="R2255" t="s">
        <v>243</v>
      </c>
    </row>
    <row r="2256" spans="1:18" x14ac:dyDescent="0.3">
      <c r="A2256" t="s">
        <v>259</v>
      </c>
      <c r="B2256" t="s">
        <v>50</v>
      </c>
      <c r="C2256" t="s">
        <v>285</v>
      </c>
      <c r="D2256">
        <v>4.4269214396999997E-2</v>
      </c>
      <c r="E2256">
        <v>6.236692529E-2</v>
      </c>
      <c r="F2256">
        <v>6.3515523419999997E-2</v>
      </c>
      <c r="G2256">
        <v>5.3062754769999998E-2</v>
      </c>
      <c r="H2256">
        <v>5.4710246519999998E-2</v>
      </c>
      <c r="I2256">
        <v>5.9304621989999903E-2</v>
      </c>
      <c r="J2256">
        <v>6.0563398798999898E-2</v>
      </c>
      <c r="K2256">
        <v>5.8242886729999901E-2</v>
      </c>
      <c r="L2256">
        <v>5.5966120959999997E-2</v>
      </c>
      <c r="M2256">
        <v>5.2919818270000002E-2</v>
      </c>
      <c r="N2256">
        <v>4.9628807099999901E-2</v>
      </c>
      <c r="O2256">
        <v>0</v>
      </c>
      <c r="P2256">
        <v>0</v>
      </c>
      <c r="Q2256">
        <v>0</v>
      </c>
      <c r="R2256" t="s">
        <v>243</v>
      </c>
    </row>
    <row r="2257" spans="1:18" x14ac:dyDescent="0.3">
      <c r="A2257" t="s">
        <v>259</v>
      </c>
      <c r="B2257" t="s">
        <v>50</v>
      </c>
      <c r="C2257" t="s">
        <v>286</v>
      </c>
      <c r="D2257">
        <v>7.3002636513999899E-3</v>
      </c>
      <c r="E2257">
        <v>8.6638209049999994E-3</v>
      </c>
      <c r="F2257">
        <v>1.07702685109999E-2</v>
      </c>
      <c r="G2257">
        <v>9.7490316099999898E-3</v>
      </c>
      <c r="H2257">
        <v>1.046952479E-2</v>
      </c>
      <c r="I2257">
        <v>1.2483111775E-2</v>
      </c>
      <c r="J2257">
        <v>1.4324220723999999E-2</v>
      </c>
      <c r="K2257">
        <v>1.51095497159999E-2</v>
      </c>
      <c r="L2257">
        <v>1.54416420154999E-2</v>
      </c>
      <c r="M2257">
        <v>1.52603648E-2</v>
      </c>
      <c r="N2257">
        <v>1.487790233E-2</v>
      </c>
      <c r="O2257">
        <v>0</v>
      </c>
      <c r="P2257">
        <v>0</v>
      </c>
      <c r="Q2257">
        <v>0</v>
      </c>
      <c r="R2257" t="s">
        <v>243</v>
      </c>
    </row>
    <row r="2258" spans="1:18" x14ac:dyDescent="0.3">
      <c r="A2258" t="s">
        <v>259</v>
      </c>
      <c r="B2258" t="s">
        <v>50</v>
      </c>
      <c r="C2258" t="s">
        <v>287</v>
      </c>
      <c r="D2258">
        <v>1.0061378110399999E-2</v>
      </c>
      <c r="E2258">
        <v>1.2246246828999999E-2</v>
      </c>
      <c r="F2258">
        <v>1.4736999753E-2</v>
      </c>
      <c r="G2258">
        <v>1.3365000530000001E-2</v>
      </c>
      <c r="H2258">
        <v>1.394969968E-2</v>
      </c>
      <c r="I2258">
        <v>1.6559225010999899E-2</v>
      </c>
      <c r="J2258">
        <v>1.8736804746999899E-2</v>
      </c>
      <c r="K2258">
        <v>1.9566766776E-2</v>
      </c>
      <c r="L2258">
        <v>1.9871169425000001E-2</v>
      </c>
      <c r="M2258">
        <v>1.9516747899999999E-2</v>
      </c>
      <c r="N2258">
        <v>1.8915822679999899E-2</v>
      </c>
      <c r="O2258">
        <v>0</v>
      </c>
      <c r="P2258">
        <v>0</v>
      </c>
      <c r="Q2258">
        <v>0</v>
      </c>
      <c r="R2258" t="s">
        <v>243</v>
      </c>
    </row>
    <row r="2259" spans="1:18" x14ac:dyDescent="0.3">
      <c r="A2259" t="s">
        <v>259</v>
      </c>
      <c r="B2259" t="s">
        <v>50</v>
      </c>
      <c r="C2259" t="s">
        <v>288</v>
      </c>
      <c r="D2259">
        <v>1.21583113856E-2</v>
      </c>
      <c r="E2259">
        <v>1.5591938776E-2</v>
      </c>
      <c r="F2259">
        <v>1.8456506210000001E-2</v>
      </c>
      <c r="G2259">
        <v>1.656774653E-2</v>
      </c>
      <c r="H2259">
        <v>1.6979024830000002E-2</v>
      </c>
      <c r="I2259">
        <v>1.9887174170999999E-2</v>
      </c>
      <c r="J2259">
        <v>2.2347591197999901E-2</v>
      </c>
      <c r="K2259">
        <v>2.31950550149999E-2</v>
      </c>
      <c r="L2259">
        <v>2.34737641329999E-2</v>
      </c>
      <c r="M2259">
        <v>2.3061970550000001E-2</v>
      </c>
      <c r="N2259">
        <v>2.2369872029999901E-2</v>
      </c>
      <c r="O2259">
        <v>0</v>
      </c>
      <c r="P2259">
        <v>0</v>
      </c>
      <c r="Q2259">
        <v>0</v>
      </c>
      <c r="R2259" t="s">
        <v>243</v>
      </c>
    </row>
    <row r="2260" spans="1:18" x14ac:dyDescent="0.3">
      <c r="A2260" t="s">
        <v>259</v>
      </c>
      <c r="B2260" t="s">
        <v>50</v>
      </c>
      <c r="C2260" t="s">
        <v>289</v>
      </c>
      <c r="D2260">
        <v>1.4365144101800001E-2</v>
      </c>
      <c r="E2260">
        <v>1.9216433200999999E-2</v>
      </c>
      <c r="F2260">
        <v>2.2067760419999999E-2</v>
      </c>
      <c r="G2260">
        <v>1.9783372539999899E-2</v>
      </c>
      <c r="H2260">
        <v>1.98996550599999E-2</v>
      </c>
      <c r="I2260">
        <v>2.3238815693999899E-2</v>
      </c>
      <c r="J2260">
        <v>2.59490133159999E-2</v>
      </c>
      <c r="K2260">
        <v>2.6776162771999901E-2</v>
      </c>
      <c r="L2260">
        <v>2.6991335437999999E-2</v>
      </c>
      <c r="M2260">
        <v>2.6381192299999998E-2</v>
      </c>
      <c r="N2260">
        <v>2.5508167589999999E-2</v>
      </c>
      <c r="O2260">
        <v>0</v>
      </c>
      <c r="P2260">
        <v>0</v>
      </c>
      <c r="Q2260">
        <v>0</v>
      </c>
      <c r="R2260" t="s">
        <v>243</v>
      </c>
    </row>
    <row r="2261" spans="1:18" x14ac:dyDescent="0.3">
      <c r="A2261" t="s">
        <v>259</v>
      </c>
      <c r="B2261" t="s">
        <v>50</v>
      </c>
      <c r="C2261" t="s">
        <v>290</v>
      </c>
      <c r="D2261">
        <v>1.69752667275E-2</v>
      </c>
      <c r="E2261">
        <v>2.3066710293E-2</v>
      </c>
      <c r="F2261">
        <v>2.5720107919999999E-2</v>
      </c>
      <c r="G2261">
        <v>2.2969907349999999E-2</v>
      </c>
      <c r="H2261">
        <v>2.3050675279999999E-2</v>
      </c>
      <c r="I2261">
        <v>2.67805091439999E-2</v>
      </c>
      <c r="J2261">
        <v>2.9661213345E-2</v>
      </c>
      <c r="K2261">
        <v>3.0336108091999901E-2</v>
      </c>
      <c r="L2261">
        <v>3.0383713129000001E-2</v>
      </c>
      <c r="M2261">
        <v>2.9615988739999901E-2</v>
      </c>
      <c r="N2261">
        <v>2.85461885E-2</v>
      </c>
      <c r="O2261">
        <v>0</v>
      </c>
      <c r="P2261">
        <v>0</v>
      </c>
      <c r="Q2261">
        <v>0</v>
      </c>
      <c r="R2261" t="s">
        <v>243</v>
      </c>
    </row>
    <row r="2262" spans="1:18" x14ac:dyDescent="0.3">
      <c r="A2262" t="s">
        <v>259</v>
      </c>
      <c r="B2262" t="s">
        <v>50</v>
      </c>
      <c r="C2262" t="s">
        <v>291</v>
      </c>
      <c r="D2262">
        <v>2.0116565280500001E-2</v>
      </c>
      <c r="E2262">
        <v>2.7272898733999899E-2</v>
      </c>
      <c r="F2262">
        <v>2.9777306789999999E-2</v>
      </c>
      <c r="G2262">
        <v>2.6128743690000001E-2</v>
      </c>
      <c r="H2262">
        <v>2.66347514E-2</v>
      </c>
      <c r="I2262">
        <v>3.0582221369999999E-2</v>
      </c>
      <c r="J2262">
        <v>3.3534247306999901E-2</v>
      </c>
      <c r="K2262">
        <v>3.4181377795000002E-2</v>
      </c>
      <c r="L2262">
        <v>3.4170662333E-2</v>
      </c>
      <c r="M2262">
        <v>3.3228384850000001E-2</v>
      </c>
      <c r="N2262">
        <v>3.1946562399999899E-2</v>
      </c>
      <c r="O2262">
        <v>0</v>
      </c>
      <c r="P2262">
        <v>0</v>
      </c>
      <c r="Q2262">
        <v>0</v>
      </c>
      <c r="R2262" t="s">
        <v>243</v>
      </c>
    </row>
    <row r="2263" spans="1:18" x14ac:dyDescent="0.3">
      <c r="A2263" t="s">
        <v>259</v>
      </c>
      <c r="B2263" t="s">
        <v>50</v>
      </c>
      <c r="C2263" t="s">
        <v>292</v>
      </c>
      <c r="D2263">
        <v>2.3841231186400001E-2</v>
      </c>
      <c r="E2263">
        <v>3.2521951112999999E-2</v>
      </c>
      <c r="F2263">
        <v>3.4727611229999997E-2</v>
      </c>
      <c r="G2263">
        <v>3.0530797830000001E-2</v>
      </c>
      <c r="H2263">
        <v>3.089512963E-2</v>
      </c>
      <c r="I2263">
        <v>3.5332973498999998E-2</v>
      </c>
      <c r="J2263">
        <v>3.8375863139999897E-2</v>
      </c>
      <c r="K2263">
        <v>3.8716332205000002E-2</v>
      </c>
      <c r="L2263">
        <v>3.8440559079999999E-2</v>
      </c>
      <c r="M2263">
        <v>3.7183205529999999E-2</v>
      </c>
      <c r="N2263">
        <v>3.5590486230000003E-2</v>
      </c>
      <c r="O2263">
        <v>0</v>
      </c>
      <c r="P2263">
        <v>0</v>
      </c>
      <c r="Q2263">
        <v>0</v>
      </c>
      <c r="R2263" t="s">
        <v>243</v>
      </c>
    </row>
    <row r="2264" spans="1:18" x14ac:dyDescent="0.3">
      <c r="A2264" t="s">
        <v>259</v>
      </c>
      <c r="B2264" t="s">
        <v>50</v>
      </c>
      <c r="C2264" t="s">
        <v>293</v>
      </c>
      <c r="D2264">
        <v>3.07856104899999E-2</v>
      </c>
      <c r="E2264">
        <v>3.9706959822000003E-2</v>
      </c>
      <c r="F2264">
        <v>4.258397362E-2</v>
      </c>
      <c r="G2264">
        <v>3.6544331520000001E-2</v>
      </c>
      <c r="H2264">
        <v>3.7453170610000003E-2</v>
      </c>
      <c r="I2264">
        <v>4.2105900862000001E-2</v>
      </c>
      <c r="J2264">
        <v>4.4962045669E-2</v>
      </c>
      <c r="K2264">
        <v>4.4833336300999997E-2</v>
      </c>
      <c r="L2264">
        <v>4.4094274492999901E-2</v>
      </c>
      <c r="M2264">
        <v>4.2344229349999901E-2</v>
      </c>
      <c r="N2264">
        <v>4.0255437499999998E-2</v>
      </c>
      <c r="O2264">
        <v>0</v>
      </c>
      <c r="P2264">
        <v>0</v>
      </c>
      <c r="Q2264">
        <v>0</v>
      </c>
      <c r="R2264" t="s">
        <v>243</v>
      </c>
    </row>
    <row r="2265" spans="1:18" x14ac:dyDescent="0.3">
      <c r="A2265" t="s">
        <v>259</v>
      </c>
      <c r="B2265" t="s">
        <v>50</v>
      </c>
      <c r="C2265" t="s">
        <v>344</v>
      </c>
      <c r="D2265">
        <v>6.7957299999999998E-3</v>
      </c>
      <c r="E2265">
        <v>6.2183100000000003E-3</v>
      </c>
      <c r="F2265">
        <v>7.8480800000000003E-3</v>
      </c>
      <c r="G2265">
        <v>6.1345599999999998E-3</v>
      </c>
      <c r="H2265">
        <v>6.6812E-3</v>
      </c>
      <c r="I2265">
        <v>7.0606499999999999E-3</v>
      </c>
      <c r="J2265">
        <v>7.1665499999999998E-3</v>
      </c>
      <c r="K2265">
        <v>7.2094469999999999E-3</v>
      </c>
      <c r="L2265">
        <v>7.1794099999999998E-3</v>
      </c>
      <c r="M2265">
        <v>7.0653199999999999E-3</v>
      </c>
      <c r="N2265">
        <v>6.9349700000000004E-3</v>
      </c>
      <c r="O2265">
        <v>0</v>
      </c>
      <c r="P2265">
        <v>0</v>
      </c>
      <c r="Q2265">
        <v>0</v>
      </c>
      <c r="R2265" t="s">
        <v>243</v>
      </c>
    </row>
    <row r="2266" spans="1:18" x14ac:dyDescent="0.3">
      <c r="A2266" t="s">
        <v>259</v>
      </c>
      <c r="B2266" t="s">
        <v>50</v>
      </c>
      <c r="C2266" t="s">
        <v>345</v>
      </c>
      <c r="D2266" s="8">
        <v>9.0124400000000005E-4</v>
      </c>
      <c r="E2266" s="8">
        <v>5.9298900000000004E-4</v>
      </c>
      <c r="F2266" s="8">
        <v>8.5289399999999998E-4</v>
      </c>
      <c r="G2266" s="8">
        <v>7.0237999999999995E-4</v>
      </c>
      <c r="H2266" s="8">
        <v>7.2776700000000004E-4</v>
      </c>
      <c r="I2266" s="8">
        <v>7.5087400000000001E-4</v>
      </c>
      <c r="J2266" s="8">
        <v>7.4486400000000003E-4</v>
      </c>
      <c r="K2266" s="8">
        <v>7.3909270000000003E-4</v>
      </c>
      <c r="L2266" s="8">
        <v>7.3074399999999997E-4</v>
      </c>
      <c r="M2266" s="8">
        <v>7.1682699999999996E-4</v>
      </c>
      <c r="N2266" s="8">
        <v>7.03058E-4</v>
      </c>
      <c r="O2266">
        <v>0</v>
      </c>
      <c r="P2266">
        <v>0</v>
      </c>
      <c r="Q2266">
        <v>0</v>
      </c>
      <c r="R2266" t="s">
        <v>243</v>
      </c>
    </row>
    <row r="2267" spans="1:18" x14ac:dyDescent="0.3">
      <c r="A2267" t="s">
        <v>259</v>
      </c>
      <c r="B2267" t="s">
        <v>50</v>
      </c>
      <c r="C2267" t="s">
        <v>346</v>
      </c>
      <c r="D2267">
        <v>4.5705399999999997E-3</v>
      </c>
      <c r="E2267">
        <v>4.0040600000000003E-3</v>
      </c>
      <c r="F2267">
        <v>4.9869500000000004E-3</v>
      </c>
      <c r="G2267">
        <v>3.9166899999999996E-3</v>
      </c>
      <c r="H2267">
        <v>4.1379199999999998E-3</v>
      </c>
      <c r="I2267">
        <v>4.3305499999999999E-3</v>
      </c>
      <c r="J2267">
        <v>4.3685499999999997E-3</v>
      </c>
      <c r="K2267">
        <v>4.3812590000000002E-3</v>
      </c>
      <c r="L2267">
        <v>4.3581609999999897E-3</v>
      </c>
      <c r="M2267">
        <v>4.2902670000000004E-3</v>
      </c>
      <c r="N2267">
        <v>4.2163119999999998E-3</v>
      </c>
      <c r="O2267">
        <v>0</v>
      </c>
      <c r="P2267">
        <v>0</v>
      </c>
      <c r="Q2267">
        <v>0</v>
      </c>
      <c r="R2267" t="s">
        <v>243</v>
      </c>
    </row>
    <row r="2268" spans="1:18" x14ac:dyDescent="0.3">
      <c r="A2268" t="s">
        <v>259</v>
      </c>
      <c r="B2268" t="s">
        <v>50</v>
      </c>
      <c r="C2268" t="s">
        <v>347</v>
      </c>
      <c r="D2268">
        <v>3.56793E-3</v>
      </c>
      <c r="E2268">
        <v>3.0822699999999998E-3</v>
      </c>
      <c r="F2268">
        <v>3.9162900000000002E-3</v>
      </c>
      <c r="G2268">
        <v>3.0641499999999999E-3</v>
      </c>
      <c r="H2268">
        <v>3.19842E-3</v>
      </c>
      <c r="I2268">
        <v>3.3405520000000001E-3</v>
      </c>
      <c r="J2268">
        <v>3.354868E-3</v>
      </c>
      <c r="K2268">
        <v>3.356394E-3</v>
      </c>
      <c r="L2268">
        <v>3.3336590000000001E-3</v>
      </c>
      <c r="M2268">
        <v>3.2771799999999898E-3</v>
      </c>
      <c r="N2268">
        <v>3.217063E-3</v>
      </c>
      <c r="O2268">
        <v>0</v>
      </c>
      <c r="P2268">
        <v>0</v>
      </c>
      <c r="Q2268">
        <v>0</v>
      </c>
      <c r="R2268" t="s">
        <v>243</v>
      </c>
    </row>
    <row r="2269" spans="1:18" x14ac:dyDescent="0.3">
      <c r="A2269" t="s">
        <v>259</v>
      </c>
      <c r="B2269" t="s">
        <v>50</v>
      </c>
      <c r="C2269" t="s">
        <v>348</v>
      </c>
      <c r="D2269">
        <v>3.0629099999999999E-3</v>
      </c>
      <c r="E2269">
        <v>2.5358500000000001E-3</v>
      </c>
      <c r="F2269">
        <v>3.25166E-3</v>
      </c>
      <c r="G2269">
        <v>2.5591099999999999E-3</v>
      </c>
      <c r="H2269">
        <v>2.6518699999999902E-3</v>
      </c>
      <c r="I2269">
        <v>2.7589199999999898E-3</v>
      </c>
      <c r="J2269">
        <v>2.765848E-3</v>
      </c>
      <c r="K2269">
        <v>2.764182E-3</v>
      </c>
      <c r="L2269">
        <v>2.7440239999999999E-3</v>
      </c>
      <c r="M2269">
        <v>2.6989869999999999E-3</v>
      </c>
      <c r="N2269">
        <v>2.6516309999999898E-3</v>
      </c>
      <c r="O2269">
        <v>0</v>
      </c>
      <c r="P2269">
        <v>0</v>
      </c>
      <c r="Q2269">
        <v>0</v>
      </c>
      <c r="R2269" t="s">
        <v>243</v>
      </c>
    </row>
    <row r="2270" spans="1:18" x14ac:dyDescent="0.3">
      <c r="A2270" t="s">
        <v>259</v>
      </c>
      <c r="B2270" t="s">
        <v>50</v>
      </c>
      <c r="C2270" t="s">
        <v>349</v>
      </c>
      <c r="D2270">
        <v>2.6659000000000001E-3</v>
      </c>
      <c r="E2270">
        <v>2.12182E-3</v>
      </c>
      <c r="F2270">
        <v>2.7815399999999999E-3</v>
      </c>
      <c r="G2270">
        <v>2.1854399999999999E-3</v>
      </c>
      <c r="H2270">
        <v>2.2493719999999999E-3</v>
      </c>
      <c r="I2270">
        <v>2.3386800000000001E-3</v>
      </c>
      <c r="J2270">
        <v>2.3414819999999898E-3</v>
      </c>
      <c r="K2270">
        <v>2.3379949999999998E-3</v>
      </c>
      <c r="L2270">
        <v>2.31957E-3</v>
      </c>
      <c r="M2270">
        <v>2.2791869999999998E-3</v>
      </c>
      <c r="N2270">
        <v>2.23843E-3</v>
      </c>
      <c r="O2270">
        <v>0</v>
      </c>
      <c r="P2270">
        <v>0</v>
      </c>
      <c r="Q2270">
        <v>0</v>
      </c>
      <c r="R2270" t="s">
        <v>243</v>
      </c>
    </row>
    <row r="2271" spans="1:18" x14ac:dyDescent="0.3">
      <c r="A2271" t="s">
        <v>259</v>
      </c>
      <c r="B2271" t="s">
        <v>50</v>
      </c>
      <c r="C2271" t="s">
        <v>350</v>
      </c>
      <c r="D2271">
        <v>2.30978E-3</v>
      </c>
      <c r="E2271">
        <v>1.80112E-3</v>
      </c>
      <c r="F2271">
        <v>2.4165699999999998E-3</v>
      </c>
      <c r="G2271">
        <v>1.8994400000000001E-3</v>
      </c>
      <c r="H2271">
        <v>1.9517619999999999E-3</v>
      </c>
      <c r="I2271">
        <v>2.0272490000000001E-3</v>
      </c>
      <c r="J2271">
        <v>2.0265890000000001E-3</v>
      </c>
      <c r="K2271">
        <v>2.02023E-3</v>
      </c>
      <c r="L2271">
        <v>2.0019669999999999E-3</v>
      </c>
      <c r="M2271">
        <v>1.9667700000000001E-3</v>
      </c>
      <c r="N2271">
        <v>1.931063E-3</v>
      </c>
      <c r="O2271">
        <v>0</v>
      </c>
      <c r="P2271">
        <v>0</v>
      </c>
      <c r="Q2271">
        <v>0</v>
      </c>
      <c r="R2271" t="s">
        <v>243</v>
      </c>
    </row>
    <row r="2272" spans="1:18" x14ac:dyDescent="0.3">
      <c r="A2272" t="s">
        <v>259</v>
      </c>
      <c r="B2272" t="s">
        <v>50</v>
      </c>
      <c r="C2272" t="s">
        <v>351</v>
      </c>
      <c r="D2272">
        <v>1.9863900000000002E-3</v>
      </c>
      <c r="E2272">
        <v>1.5379600000000001E-3</v>
      </c>
      <c r="F2272">
        <v>2.0982100000000001E-3</v>
      </c>
      <c r="G2272">
        <v>1.6724800000000001E-3</v>
      </c>
      <c r="H2272">
        <v>1.725084E-3</v>
      </c>
      <c r="I2272">
        <v>1.7870729999999999E-3</v>
      </c>
      <c r="J2272">
        <v>1.7832970000000001E-3</v>
      </c>
      <c r="K2272">
        <v>1.777928E-3</v>
      </c>
      <c r="L2272">
        <v>1.7626549999999999E-3</v>
      </c>
      <c r="M2272">
        <v>1.731755E-3</v>
      </c>
      <c r="N2272">
        <v>1.7003000000000001E-3</v>
      </c>
      <c r="O2272">
        <v>0</v>
      </c>
      <c r="P2272">
        <v>0</v>
      </c>
      <c r="Q2272">
        <v>0</v>
      </c>
      <c r="R2272" t="s">
        <v>243</v>
      </c>
    </row>
    <row r="2273" spans="1:18" x14ac:dyDescent="0.3">
      <c r="A2273" t="s">
        <v>259</v>
      </c>
      <c r="B2273" t="s">
        <v>50</v>
      </c>
      <c r="C2273" t="s">
        <v>352</v>
      </c>
      <c r="D2273">
        <v>1.6985399999999999E-3</v>
      </c>
      <c r="E2273">
        <v>1.2907299999999999E-3</v>
      </c>
      <c r="F2273">
        <v>1.79407E-3</v>
      </c>
      <c r="G2273">
        <v>1.4211499999999999E-3</v>
      </c>
      <c r="H2273">
        <v>1.461773E-3</v>
      </c>
      <c r="I2273">
        <v>1.514531E-3</v>
      </c>
      <c r="J2273">
        <v>1.5098329999999999E-3</v>
      </c>
      <c r="K2273">
        <v>1.5032789999999999E-3</v>
      </c>
      <c r="L2273">
        <v>1.4892379999999999E-3</v>
      </c>
      <c r="M2273">
        <v>1.4623219999999901E-3</v>
      </c>
      <c r="N2273">
        <v>1.435328E-3</v>
      </c>
      <c r="O2273">
        <v>0</v>
      </c>
      <c r="P2273">
        <v>0</v>
      </c>
      <c r="Q2273">
        <v>0</v>
      </c>
      <c r="R2273" t="s">
        <v>243</v>
      </c>
    </row>
    <row r="2274" spans="1:18" x14ac:dyDescent="0.3">
      <c r="A2274" t="s">
        <v>259</v>
      </c>
      <c r="B2274" t="s">
        <v>50</v>
      </c>
      <c r="C2274" t="s">
        <v>353</v>
      </c>
      <c r="D2274">
        <v>1.3254600000000001E-3</v>
      </c>
      <c r="E2274">
        <v>1.04334E-3</v>
      </c>
      <c r="F2274">
        <v>1.43436E-3</v>
      </c>
      <c r="G2274">
        <v>1.1597599999999999E-3</v>
      </c>
      <c r="H2274">
        <v>1.1969299999999999E-3</v>
      </c>
      <c r="I2274">
        <v>1.2368699999999999E-3</v>
      </c>
      <c r="J2274">
        <v>1.230571E-3</v>
      </c>
      <c r="K2274">
        <v>1.2242989999999899E-3</v>
      </c>
      <c r="L2274">
        <v>1.2118999999999999E-3</v>
      </c>
      <c r="M2274">
        <v>1.1891549999999999E-3</v>
      </c>
      <c r="N2274">
        <v>1.166428E-3</v>
      </c>
      <c r="O2274">
        <v>0</v>
      </c>
      <c r="P2274">
        <v>0</v>
      </c>
      <c r="Q2274">
        <v>0</v>
      </c>
      <c r="R2274" t="s">
        <v>243</v>
      </c>
    </row>
    <row r="2275" spans="1:18" x14ac:dyDescent="0.3">
      <c r="A2275" t="s">
        <v>259</v>
      </c>
      <c r="B2275" t="s">
        <v>50</v>
      </c>
      <c r="C2275" t="s">
        <v>294</v>
      </c>
      <c r="D2275">
        <v>2.4022270260000002E-3</v>
      </c>
      <c r="E2275">
        <v>2.4761756699999901E-3</v>
      </c>
      <c r="F2275">
        <v>3.1177248500000002E-3</v>
      </c>
      <c r="G2275">
        <v>3.0014870999999898E-3</v>
      </c>
      <c r="H2275">
        <v>3.3545774099999902E-3</v>
      </c>
      <c r="I2275">
        <v>4.1134769200000003E-3</v>
      </c>
      <c r="J2275">
        <v>4.8065962499999997E-3</v>
      </c>
      <c r="K2275">
        <v>5.1047592200000004E-3</v>
      </c>
      <c r="L2275">
        <v>5.25410973999999E-3</v>
      </c>
      <c r="M2275">
        <v>5.2483612499999999E-3</v>
      </c>
      <c r="N2275">
        <v>5.1903409299999996E-3</v>
      </c>
      <c r="O2275">
        <v>0</v>
      </c>
      <c r="P2275">
        <v>0</v>
      </c>
      <c r="Q2275">
        <v>0</v>
      </c>
      <c r="R2275" t="s">
        <v>243</v>
      </c>
    </row>
    <row r="2276" spans="1:18" x14ac:dyDescent="0.3">
      <c r="A2276" t="s">
        <v>259</v>
      </c>
      <c r="B2276" t="s">
        <v>50</v>
      </c>
      <c r="C2276" t="s">
        <v>295</v>
      </c>
      <c r="D2276">
        <v>1.7045099710000001E-2</v>
      </c>
      <c r="E2276">
        <v>1.84068267E-2</v>
      </c>
      <c r="F2276">
        <v>1.8751732E-2</v>
      </c>
      <c r="G2276">
        <v>1.5715393899999999E-2</v>
      </c>
      <c r="H2276">
        <v>1.6081736100000001E-2</v>
      </c>
      <c r="I2276">
        <v>1.6657431800000001E-2</v>
      </c>
      <c r="J2276">
        <v>1.65949853499999E-2</v>
      </c>
      <c r="K2276">
        <v>1.6210944129999998E-2</v>
      </c>
      <c r="L2276">
        <v>1.5916705E-2</v>
      </c>
      <c r="M2276">
        <v>1.54913855E-2</v>
      </c>
      <c r="N2276">
        <v>1.5042080649999999E-2</v>
      </c>
      <c r="O2276">
        <v>0</v>
      </c>
      <c r="P2276">
        <v>0</v>
      </c>
      <c r="Q2276">
        <v>0</v>
      </c>
      <c r="R2276" t="s">
        <v>243</v>
      </c>
    </row>
    <row r="2277" spans="1:18" x14ac:dyDescent="0.3">
      <c r="A2277" t="s">
        <v>259</v>
      </c>
      <c r="B2277" t="s">
        <v>50</v>
      </c>
      <c r="C2277" t="s">
        <v>296</v>
      </c>
      <c r="D2277">
        <v>4.0115852610000001E-3</v>
      </c>
      <c r="E2277">
        <v>4.46595570999999E-3</v>
      </c>
      <c r="F2277">
        <v>5.6100908000000001E-3</v>
      </c>
      <c r="G2277">
        <v>5.2873436000000001E-3</v>
      </c>
      <c r="H2277">
        <v>5.5221617399999999E-3</v>
      </c>
      <c r="I2277">
        <v>6.5065188299999899E-3</v>
      </c>
      <c r="J2277">
        <v>7.3665460299999997E-3</v>
      </c>
      <c r="K2277">
        <v>7.7100384599999997E-3</v>
      </c>
      <c r="L2277">
        <v>7.8808772499999891E-3</v>
      </c>
      <c r="M2277">
        <v>7.8578567499999995E-3</v>
      </c>
      <c r="N2277">
        <v>7.7727077099999896E-3</v>
      </c>
      <c r="O2277">
        <v>0</v>
      </c>
      <c r="P2277">
        <v>0</v>
      </c>
      <c r="Q2277">
        <v>0</v>
      </c>
      <c r="R2277" t="s">
        <v>243</v>
      </c>
    </row>
    <row r="2278" spans="1:18" x14ac:dyDescent="0.3">
      <c r="A2278" t="s">
        <v>259</v>
      </c>
      <c r="B2278" t="s">
        <v>50</v>
      </c>
      <c r="C2278" t="s">
        <v>297</v>
      </c>
      <c r="D2278">
        <v>5.3560975740000001E-3</v>
      </c>
      <c r="E2278">
        <v>6.0263569299999998E-3</v>
      </c>
      <c r="F2278">
        <v>7.2825435000000004E-3</v>
      </c>
      <c r="G2278">
        <v>6.8053303999999898E-3</v>
      </c>
      <c r="H2278">
        <v>6.9319910999999998E-3</v>
      </c>
      <c r="I2278">
        <v>8.0375928100000008E-3</v>
      </c>
      <c r="J2278">
        <v>8.8883628099999997E-3</v>
      </c>
      <c r="K2278">
        <v>9.1851661899999999E-3</v>
      </c>
      <c r="L2278">
        <v>9.31456552E-3</v>
      </c>
      <c r="M2278">
        <v>9.2312032700000001E-3</v>
      </c>
      <c r="N2278">
        <v>9.0845399200000006E-3</v>
      </c>
      <c r="O2278">
        <v>0</v>
      </c>
      <c r="P2278">
        <v>0</v>
      </c>
      <c r="Q2278">
        <v>0</v>
      </c>
      <c r="R2278" t="s">
        <v>243</v>
      </c>
    </row>
    <row r="2279" spans="1:18" x14ac:dyDescent="0.3">
      <c r="A2279" t="s">
        <v>259</v>
      </c>
      <c r="B2279" t="s">
        <v>50</v>
      </c>
      <c r="C2279" t="s">
        <v>298</v>
      </c>
      <c r="D2279">
        <v>6.3255413200000001E-3</v>
      </c>
      <c r="E2279">
        <v>7.3652533999999997E-3</v>
      </c>
      <c r="F2279">
        <v>8.7036084E-3</v>
      </c>
      <c r="G2279">
        <v>8.0019228000000001E-3</v>
      </c>
      <c r="H2279">
        <v>8.0419340000000006E-3</v>
      </c>
      <c r="I2279">
        <v>9.1505025599999904E-3</v>
      </c>
      <c r="J2279">
        <v>9.9750120599999999E-3</v>
      </c>
      <c r="K2279">
        <v>1.022240468E-2</v>
      </c>
      <c r="L2279">
        <v>1.0314881709999999E-2</v>
      </c>
      <c r="M2279">
        <v>1.0207493600000001E-2</v>
      </c>
      <c r="N2279">
        <v>1.00383408899999E-2</v>
      </c>
      <c r="O2279">
        <v>0</v>
      </c>
      <c r="P2279">
        <v>0</v>
      </c>
      <c r="Q2279">
        <v>0</v>
      </c>
      <c r="R2279" t="s">
        <v>243</v>
      </c>
    </row>
    <row r="2280" spans="1:18" x14ac:dyDescent="0.3">
      <c r="A2280" t="s">
        <v>259</v>
      </c>
      <c r="B2280" t="s">
        <v>50</v>
      </c>
      <c r="C2280" t="s">
        <v>299</v>
      </c>
      <c r="D2280">
        <v>7.3011546299999999E-3</v>
      </c>
      <c r="E2280">
        <v>8.7001800999999997E-3</v>
      </c>
      <c r="F2280">
        <v>9.9619918999999998E-3</v>
      </c>
      <c r="G2280">
        <v>9.0811636000000008E-3</v>
      </c>
      <c r="H2280">
        <v>9.0194439000000001E-3</v>
      </c>
      <c r="I2280">
        <v>1.015801995E-2</v>
      </c>
      <c r="J2280">
        <v>1.09318840799999E-2</v>
      </c>
      <c r="K2280">
        <v>1.111702857E-2</v>
      </c>
      <c r="L2280">
        <v>1.116283539E-2</v>
      </c>
      <c r="M2280">
        <v>1.099863689E-2</v>
      </c>
      <c r="N2280">
        <v>1.0786328569999899E-2</v>
      </c>
      <c r="O2280">
        <v>0</v>
      </c>
      <c r="P2280">
        <v>0</v>
      </c>
      <c r="Q2280">
        <v>0</v>
      </c>
      <c r="R2280" t="s">
        <v>243</v>
      </c>
    </row>
    <row r="2281" spans="1:18" x14ac:dyDescent="0.3">
      <c r="A2281" t="s">
        <v>259</v>
      </c>
      <c r="B2281" t="s">
        <v>50</v>
      </c>
      <c r="C2281" t="s">
        <v>300</v>
      </c>
      <c r="D2281">
        <v>8.3996859099999995E-3</v>
      </c>
      <c r="E2281">
        <v>9.9993237999999995E-3</v>
      </c>
      <c r="F2281">
        <v>1.1125218799999999E-2</v>
      </c>
      <c r="G2281">
        <v>1.0043749699999899E-2</v>
      </c>
      <c r="H2281">
        <v>9.9803245999999998E-3</v>
      </c>
      <c r="I2281">
        <v>1.111487387E-2</v>
      </c>
      <c r="J2281">
        <v>1.1806843949999901E-2</v>
      </c>
      <c r="K2281">
        <v>1.190290927E-2</v>
      </c>
      <c r="L2281">
        <v>1.1885524220000001E-2</v>
      </c>
      <c r="M2281">
        <v>1.16809770699999E-2</v>
      </c>
      <c r="N2281">
        <v>1.142841931E-2</v>
      </c>
      <c r="O2281">
        <v>0</v>
      </c>
      <c r="P2281">
        <v>0</v>
      </c>
      <c r="Q2281">
        <v>0</v>
      </c>
      <c r="R2281" t="s">
        <v>243</v>
      </c>
    </row>
    <row r="2282" spans="1:18" x14ac:dyDescent="0.3">
      <c r="A2282" t="s">
        <v>259</v>
      </c>
      <c r="B2282" t="s">
        <v>50</v>
      </c>
      <c r="C2282" t="s">
        <v>301</v>
      </c>
      <c r="D2282">
        <v>9.64745937E-3</v>
      </c>
      <c r="E2282">
        <v>1.12920613E-2</v>
      </c>
      <c r="F2282">
        <v>1.2300918399999999E-2</v>
      </c>
      <c r="G2282">
        <v>1.0904647999999999E-2</v>
      </c>
      <c r="H2282">
        <v>1.09664056E-2</v>
      </c>
      <c r="I2282">
        <v>1.2031878500000001E-2</v>
      </c>
      <c r="J2282">
        <v>1.26141996999999E-2</v>
      </c>
      <c r="K2282">
        <v>1.2650806420000001E-2</v>
      </c>
      <c r="L2282">
        <v>1.2595999950000001E-2</v>
      </c>
      <c r="M2282">
        <v>1.23526943899999E-2</v>
      </c>
      <c r="N2282">
        <v>1.2063082120000001E-2</v>
      </c>
      <c r="O2282">
        <v>0</v>
      </c>
      <c r="P2282">
        <v>0</v>
      </c>
      <c r="Q2282">
        <v>0</v>
      </c>
      <c r="R2282" t="s">
        <v>243</v>
      </c>
    </row>
    <row r="2283" spans="1:18" x14ac:dyDescent="0.3">
      <c r="A2283" t="s">
        <v>259</v>
      </c>
      <c r="B2283" t="s">
        <v>50</v>
      </c>
      <c r="C2283" t="s">
        <v>302</v>
      </c>
      <c r="D2283">
        <v>1.1029222179999999E-2</v>
      </c>
      <c r="E2283">
        <v>1.2739414900000001E-2</v>
      </c>
      <c r="F2283">
        <v>1.3587117399999999E-2</v>
      </c>
      <c r="G2283">
        <v>1.1968616499999999E-2</v>
      </c>
      <c r="H2283">
        <v>1.20150491999999E-2</v>
      </c>
      <c r="I2283">
        <v>1.30429917999999E-2</v>
      </c>
      <c r="J2283">
        <v>1.34996356399999E-2</v>
      </c>
      <c r="K2283">
        <v>1.34288467899999E-2</v>
      </c>
      <c r="L2283">
        <v>1.3308533799999999E-2</v>
      </c>
      <c r="M2283">
        <v>1.3013586170000001E-2</v>
      </c>
      <c r="N2283">
        <v>1.2681566579999999E-2</v>
      </c>
      <c r="O2283">
        <v>0</v>
      </c>
      <c r="P2283">
        <v>0</v>
      </c>
      <c r="Q2283">
        <v>0</v>
      </c>
      <c r="R2283" t="s">
        <v>243</v>
      </c>
    </row>
    <row r="2284" spans="1:18" x14ac:dyDescent="0.3">
      <c r="A2284" t="s">
        <v>259</v>
      </c>
      <c r="B2284" t="s">
        <v>50</v>
      </c>
      <c r="C2284" t="s">
        <v>303</v>
      </c>
      <c r="D2284">
        <v>1.3349411849999999E-2</v>
      </c>
      <c r="E2284">
        <v>1.44598094999999E-2</v>
      </c>
      <c r="F2284">
        <v>1.53403261999999E-2</v>
      </c>
      <c r="G2284">
        <v>1.3206538499999899E-2</v>
      </c>
      <c r="H2284">
        <v>1.3394135499999999E-2</v>
      </c>
      <c r="I2284">
        <v>1.42658332E-2</v>
      </c>
      <c r="J2284">
        <v>1.4530100469999901E-2</v>
      </c>
      <c r="K2284">
        <v>1.4344780359999899E-2</v>
      </c>
      <c r="L2284">
        <v>1.415011052E-2</v>
      </c>
      <c r="M2284">
        <v>1.379758811E-2</v>
      </c>
      <c r="N2284">
        <v>1.3414439659999999E-2</v>
      </c>
      <c r="O2284">
        <v>0</v>
      </c>
      <c r="P2284">
        <v>0</v>
      </c>
      <c r="Q2284">
        <v>0</v>
      </c>
      <c r="R2284" t="s">
        <v>243</v>
      </c>
    </row>
    <row r="2285" spans="1:18" x14ac:dyDescent="0.3">
      <c r="A2285" t="s">
        <v>259</v>
      </c>
      <c r="B2285" t="s">
        <v>50</v>
      </c>
      <c r="C2285" t="s">
        <v>304</v>
      </c>
      <c r="D2285">
        <v>1.4283099999999999E-3</v>
      </c>
      <c r="E2285">
        <v>1.7081500000000001E-3</v>
      </c>
      <c r="F2285">
        <v>2.2723600000000002E-3</v>
      </c>
      <c r="G2285">
        <v>2.4800400000000002E-3</v>
      </c>
      <c r="H2285">
        <v>3.6511E-3</v>
      </c>
      <c r="I2285">
        <v>4.0686730000000001E-3</v>
      </c>
      <c r="J2285">
        <v>4.4249099999999998E-3</v>
      </c>
      <c r="K2285">
        <v>4.7625430000000002E-3</v>
      </c>
      <c r="L2285">
        <v>4.942419E-3</v>
      </c>
      <c r="M2285">
        <v>4.9984809999999999E-3</v>
      </c>
      <c r="N2285">
        <v>4.9927269999999998E-3</v>
      </c>
      <c r="O2285">
        <v>0</v>
      </c>
      <c r="P2285">
        <v>0</v>
      </c>
      <c r="Q2285">
        <v>0</v>
      </c>
      <c r="R2285" t="s">
        <v>243</v>
      </c>
    </row>
    <row r="2286" spans="1:18" x14ac:dyDescent="0.3">
      <c r="A2286" t="s">
        <v>259</v>
      </c>
      <c r="B2286" t="s">
        <v>50</v>
      </c>
      <c r="C2286" t="s">
        <v>305</v>
      </c>
      <c r="D2286">
        <v>8.9181499999999997E-3</v>
      </c>
      <c r="E2286">
        <v>1.0347500000000001E-2</v>
      </c>
      <c r="F2286">
        <v>1.07218E-2</v>
      </c>
      <c r="G2286">
        <v>1.0003400000000001E-2</v>
      </c>
      <c r="H2286">
        <v>1.0362039999999999E-2</v>
      </c>
      <c r="I2286">
        <v>1.06667599999999E-2</v>
      </c>
      <c r="J2286">
        <v>1.0556319999999999E-2</v>
      </c>
      <c r="K2286">
        <v>1.0474310000000001E-2</v>
      </c>
      <c r="L2286">
        <v>1.035609E-2</v>
      </c>
      <c r="M2286">
        <v>1.015888E-2</v>
      </c>
      <c r="N2286">
        <v>9.9637100000000006E-3</v>
      </c>
      <c r="O2286">
        <v>0</v>
      </c>
      <c r="P2286">
        <v>0</v>
      </c>
      <c r="Q2286">
        <v>0</v>
      </c>
      <c r="R2286" t="s">
        <v>243</v>
      </c>
    </row>
    <row r="2287" spans="1:18" x14ac:dyDescent="0.3">
      <c r="A2287" t="s">
        <v>259</v>
      </c>
      <c r="B2287" t="s">
        <v>50</v>
      </c>
      <c r="C2287" t="s">
        <v>306</v>
      </c>
      <c r="D2287">
        <v>2.3507799999999998E-3</v>
      </c>
      <c r="E2287">
        <v>2.9994399999999999E-3</v>
      </c>
      <c r="F2287">
        <v>3.9228199999999996E-3</v>
      </c>
      <c r="G2287">
        <v>4.1471199999999998E-3</v>
      </c>
      <c r="H2287">
        <v>5.3332900000000001E-3</v>
      </c>
      <c r="I2287">
        <v>5.7645999999999999E-3</v>
      </c>
      <c r="J2287">
        <v>6.0740799999999999E-3</v>
      </c>
      <c r="K2287">
        <v>6.328223E-3</v>
      </c>
      <c r="L2287">
        <v>6.4261600000000002E-3</v>
      </c>
      <c r="M2287">
        <v>6.4054000000000003E-3</v>
      </c>
      <c r="N2287">
        <v>6.3391799999999998E-3</v>
      </c>
      <c r="O2287">
        <v>0</v>
      </c>
      <c r="P2287">
        <v>0</v>
      </c>
      <c r="Q2287">
        <v>0</v>
      </c>
      <c r="R2287" t="s">
        <v>243</v>
      </c>
    </row>
    <row r="2288" spans="1:18" x14ac:dyDescent="0.3">
      <c r="A2288" t="s">
        <v>259</v>
      </c>
      <c r="B2288" t="s">
        <v>50</v>
      </c>
      <c r="C2288" t="s">
        <v>307</v>
      </c>
      <c r="D2288">
        <v>3.1024300000000002E-3</v>
      </c>
      <c r="E2288">
        <v>3.9667799999999996E-3</v>
      </c>
      <c r="F2288">
        <v>4.9568800000000003E-3</v>
      </c>
      <c r="G2288">
        <v>5.1614E-3</v>
      </c>
      <c r="H2288">
        <v>6.2257800000000002E-3</v>
      </c>
      <c r="I2288">
        <v>6.6569999999999997E-3</v>
      </c>
      <c r="J2288">
        <v>6.8804299999999999E-3</v>
      </c>
      <c r="K2288">
        <v>7.0455739999999998E-3</v>
      </c>
      <c r="L2288">
        <v>7.0780599999999997E-3</v>
      </c>
      <c r="M2288">
        <v>7.0020500000000001E-3</v>
      </c>
      <c r="N2288">
        <v>6.8945299999999899E-3</v>
      </c>
      <c r="O2288">
        <v>0</v>
      </c>
      <c r="P2288">
        <v>0</v>
      </c>
      <c r="Q2288">
        <v>0</v>
      </c>
      <c r="R2288" t="s">
        <v>243</v>
      </c>
    </row>
    <row r="2289" spans="1:18" x14ac:dyDescent="0.3">
      <c r="A2289" t="s">
        <v>259</v>
      </c>
      <c r="B2289" t="s">
        <v>50</v>
      </c>
      <c r="C2289" t="s">
        <v>308</v>
      </c>
      <c r="D2289">
        <v>3.6338899999999999E-3</v>
      </c>
      <c r="E2289">
        <v>4.7658400000000004E-3</v>
      </c>
      <c r="F2289">
        <v>5.7907699999999998E-3</v>
      </c>
      <c r="G2289">
        <v>5.9113999999999998E-3</v>
      </c>
      <c r="H2289">
        <v>6.8395599999999997E-3</v>
      </c>
      <c r="I2289">
        <v>7.2304999999999999E-3</v>
      </c>
      <c r="J2289">
        <v>7.39612E-3</v>
      </c>
      <c r="K2289">
        <v>7.5032800000000002E-3</v>
      </c>
      <c r="L2289">
        <v>7.4985399999999997E-3</v>
      </c>
      <c r="M2289">
        <v>7.4013899999999999E-3</v>
      </c>
      <c r="N2289">
        <v>7.2820000000000003E-3</v>
      </c>
      <c r="O2289">
        <v>0</v>
      </c>
      <c r="P2289">
        <v>0</v>
      </c>
      <c r="Q2289">
        <v>0</v>
      </c>
      <c r="R2289" t="s">
        <v>243</v>
      </c>
    </row>
    <row r="2290" spans="1:18" x14ac:dyDescent="0.3">
      <c r="A2290" t="s">
        <v>259</v>
      </c>
      <c r="B2290" t="s">
        <v>50</v>
      </c>
      <c r="C2290" t="s">
        <v>309</v>
      </c>
      <c r="D2290">
        <v>4.1599000000000002E-3</v>
      </c>
      <c r="E2290">
        <v>5.5342799999999999E-3</v>
      </c>
      <c r="F2290">
        <v>6.4956700000000003E-3</v>
      </c>
      <c r="G2290">
        <v>6.5520700000000001E-3</v>
      </c>
      <c r="H2290">
        <v>7.3266399999999997E-3</v>
      </c>
      <c r="I2290">
        <v>7.7062399999999996E-3</v>
      </c>
      <c r="J2290">
        <v>7.8206600000000001E-3</v>
      </c>
      <c r="K2290">
        <v>7.8815699999999992E-3</v>
      </c>
      <c r="L2290">
        <v>7.8485599999999992E-3</v>
      </c>
      <c r="M2290">
        <v>7.7258600000000002E-3</v>
      </c>
      <c r="N2290">
        <v>7.59218999999999E-3</v>
      </c>
      <c r="O2290">
        <v>0</v>
      </c>
      <c r="P2290">
        <v>0</v>
      </c>
      <c r="Q2290">
        <v>0</v>
      </c>
      <c r="R2290" t="s">
        <v>243</v>
      </c>
    </row>
    <row r="2291" spans="1:18" x14ac:dyDescent="0.3">
      <c r="A2291" t="s">
        <v>259</v>
      </c>
      <c r="B2291" t="s">
        <v>50</v>
      </c>
      <c r="C2291" t="s">
        <v>310</v>
      </c>
      <c r="D2291">
        <v>4.7415699999999996E-3</v>
      </c>
      <c r="E2291">
        <v>6.2551799999999999E-3</v>
      </c>
      <c r="F2291">
        <v>7.1199599999999998E-3</v>
      </c>
      <c r="G2291">
        <v>7.0964399999999999E-3</v>
      </c>
      <c r="H2291">
        <v>7.76694E-3</v>
      </c>
      <c r="I2291">
        <v>8.12943E-3</v>
      </c>
      <c r="J2291">
        <v>8.1948400000000001E-3</v>
      </c>
      <c r="K2291">
        <v>8.2119699999999903E-3</v>
      </c>
      <c r="L2291">
        <v>8.1533300000000003E-3</v>
      </c>
      <c r="M2291">
        <v>8.0172799999999999E-3</v>
      </c>
      <c r="N2291">
        <v>7.8732899999999998E-3</v>
      </c>
      <c r="O2291">
        <v>0</v>
      </c>
      <c r="P2291">
        <v>0</v>
      </c>
      <c r="Q2291">
        <v>0</v>
      </c>
      <c r="R2291" t="s">
        <v>243</v>
      </c>
    </row>
    <row r="2292" spans="1:18" x14ac:dyDescent="0.3">
      <c r="A2292" t="s">
        <v>259</v>
      </c>
      <c r="B2292" t="s">
        <v>50</v>
      </c>
      <c r="C2292" t="s">
        <v>311</v>
      </c>
      <c r="D2292">
        <v>5.3885699999999996E-3</v>
      </c>
      <c r="E2292">
        <v>6.94627E-3</v>
      </c>
      <c r="F2292">
        <v>7.7252099999999997E-3</v>
      </c>
      <c r="G2292">
        <v>7.5633999999999996E-3</v>
      </c>
      <c r="H2292">
        <v>8.1888799999999904E-3</v>
      </c>
      <c r="I2292">
        <v>8.5181300000000005E-3</v>
      </c>
      <c r="J2292">
        <v>8.5377500000000002E-3</v>
      </c>
      <c r="K2292">
        <v>8.5352899999999992E-3</v>
      </c>
      <c r="L2292">
        <v>8.4695099999999995E-3</v>
      </c>
      <c r="M2292">
        <v>8.3244900000000004E-3</v>
      </c>
      <c r="N2292">
        <v>8.1734000000000008E-3</v>
      </c>
      <c r="O2292">
        <v>0</v>
      </c>
      <c r="P2292">
        <v>0</v>
      </c>
      <c r="Q2292">
        <v>0</v>
      </c>
      <c r="R2292" t="s">
        <v>243</v>
      </c>
    </row>
    <row r="2293" spans="1:18" x14ac:dyDescent="0.3">
      <c r="A2293" t="s">
        <v>259</v>
      </c>
      <c r="B2293" t="s">
        <v>50</v>
      </c>
      <c r="C2293" t="s">
        <v>312</v>
      </c>
      <c r="D2293">
        <v>6.0878800000000004E-3</v>
      </c>
      <c r="E2293">
        <v>7.6894600000000004E-3</v>
      </c>
      <c r="F2293">
        <v>8.3594399999999992E-3</v>
      </c>
      <c r="G2293">
        <v>8.1178499999999994E-3</v>
      </c>
      <c r="H2293">
        <v>8.6140899999999996E-3</v>
      </c>
      <c r="I2293">
        <v>8.9390700000000003E-3</v>
      </c>
      <c r="J2293">
        <v>8.9228299999999997E-3</v>
      </c>
      <c r="K2293">
        <v>8.8931499999999903E-3</v>
      </c>
      <c r="L2293">
        <v>8.8127899999999992E-3</v>
      </c>
      <c r="M2293">
        <v>8.65491E-3</v>
      </c>
      <c r="N2293">
        <v>8.49485E-3</v>
      </c>
      <c r="O2293">
        <v>0</v>
      </c>
      <c r="P2293">
        <v>0</v>
      </c>
      <c r="Q2293">
        <v>0</v>
      </c>
      <c r="R2293" t="s">
        <v>243</v>
      </c>
    </row>
    <row r="2294" spans="1:18" x14ac:dyDescent="0.3">
      <c r="A2294" t="s">
        <v>259</v>
      </c>
      <c r="B2294" t="s">
        <v>50</v>
      </c>
      <c r="C2294" t="s">
        <v>313</v>
      </c>
      <c r="D2294">
        <v>7.2210199999999999E-3</v>
      </c>
      <c r="E2294">
        <v>8.5327500000000004E-3</v>
      </c>
      <c r="F2294">
        <v>9.1829600000000004E-3</v>
      </c>
      <c r="G2294">
        <v>8.7396399999999999E-3</v>
      </c>
      <c r="H2294">
        <v>9.1647899999999904E-3</v>
      </c>
      <c r="I2294">
        <v>9.4631400000000001E-3</v>
      </c>
      <c r="J2294">
        <v>9.4054099999999995E-3</v>
      </c>
      <c r="K2294">
        <v>9.3589199999999997E-3</v>
      </c>
      <c r="L2294">
        <v>9.2647100000000007E-3</v>
      </c>
      <c r="M2294">
        <v>9.09131E-3</v>
      </c>
      <c r="N2294">
        <v>8.9172799999999997E-3</v>
      </c>
      <c r="O2294">
        <v>0</v>
      </c>
      <c r="P2294">
        <v>0</v>
      </c>
      <c r="Q2294">
        <v>0</v>
      </c>
      <c r="R2294" t="s">
        <v>243</v>
      </c>
    </row>
    <row r="2295" spans="1:18" x14ac:dyDescent="0.3">
      <c r="A2295" t="s">
        <v>259</v>
      </c>
      <c r="B2295" t="s">
        <v>50</v>
      </c>
      <c r="C2295" t="s">
        <v>314</v>
      </c>
      <c r="D2295" s="8">
        <v>5.5825600000000003E-4</v>
      </c>
      <c r="E2295" s="8">
        <v>7.2450300000000004E-4</v>
      </c>
      <c r="F2295" s="8">
        <v>9.2657000000000004E-4</v>
      </c>
      <c r="G2295" s="8">
        <v>9.7396099999999997E-4</v>
      </c>
      <c r="H2295">
        <v>1.1341999999999999E-3</v>
      </c>
      <c r="I2295">
        <v>1.1899199999999999E-3</v>
      </c>
      <c r="J2295">
        <v>1.2150399999999999E-3</v>
      </c>
      <c r="K2295">
        <v>1.21488E-3</v>
      </c>
      <c r="L2295">
        <v>1.19877E-3</v>
      </c>
      <c r="M2295">
        <v>1.17055E-3</v>
      </c>
      <c r="N2295">
        <v>1.1374899999999999E-3</v>
      </c>
      <c r="O2295">
        <v>0</v>
      </c>
      <c r="P2295">
        <v>0</v>
      </c>
      <c r="Q2295">
        <v>0</v>
      </c>
      <c r="R2295" t="s">
        <v>243</v>
      </c>
    </row>
    <row r="2296" spans="1:18" x14ac:dyDescent="0.3">
      <c r="A2296" t="s">
        <v>259</v>
      </c>
      <c r="B2296" t="s">
        <v>50</v>
      </c>
      <c r="C2296" t="s">
        <v>315</v>
      </c>
      <c r="D2296">
        <v>1.7020900000000001E-3</v>
      </c>
      <c r="E2296">
        <v>2.0990499999999999E-3</v>
      </c>
      <c r="F2296">
        <v>2.2936300000000001E-3</v>
      </c>
      <c r="G2296">
        <v>2.2287499999999998E-3</v>
      </c>
      <c r="H2296">
        <v>2.2596000000000001E-3</v>
      </c>
      <c r="I2296">
        <v>2.2948299999999999E-3</v>
      </c>
      <c r="J2296">
        <v>2.27436E-3</v>
      </c>
      <c r="K2296">
        <v>2.2299099999999999E-3</v>
      </c>
      <c r="L2296">
        <v>2.1804300000000001E-3</v>
      </c>
      <c r="M2296">
        <v>2.12122E-3</v>
      </c>
      <c r="N2296">
        <v>2.05887E-3</v>
      </c>
      <c r="O2296">
        <v>0</v>
      </c>
      <c r="P2296">
        <v>0</v>
      </c>
      <c r="Q2296">
        <v>0</v>
      </c>
      <c r="R2296" t="s">
        <v>243</v>
      </c>
    </row>
    <row r="2297" spans="1:18" x14ac:dyDescent="0.3">
      <c r="A2297" t="s">
        <v>259</v>
      </c>
      <c r="B2297" t="s">
        <v>50</v>
      </c>
      <c r="C2297" t="s">
        <v>316</v>
      </c>
      <c r="D2297" s="8">
        <v>8.13735E-4</v>
      </c>
      <c r="E2297">
        <v>1.06481E-3</v>
      </c>
      <c r="F2297">
        <v>1.2985900000000001E-3</v>
      </c>
      <c r="G2297">
        <v>1.3118100000000001E-3</v>
      </c>
      <c r="H2297">
        <v>1.3878600000000001E-3</v>
      </c>
      <c r="I2297">
        <v>1.4319700000000001E-3</v>
      </c>
      <c r="J2297">
        <v>1.44418E-3</v>
      </c>
      <c r="K2297">
        <v>1.4319300000000001E-3</v>
      </c>
      <c r="L2297">
        <v>1.40883E-3</v>
      </c>
      <c r="M2297">
        <v>1.37528E-3</v>
      </c>
      <c r="N2297">
        <v>1.33759E-3</v>
      </c>
      <c r="O2297">
        <v>0</v>
      </c>
      <c r="P2297">
        <v>0</v>
      </c>
      <c r="Q2297">
        <v>0</v>
      </c>
      <c r="R2297" t="s">
        <v>243</v>
      </c>
    </row>
    <row r="2298" spans="1:18" x14ac:dyDescent="0.3">
      <c r="A2298" t="s">
        <v>259</v>
      </c>
      <c r="B2298" t="s">
        <v>50</v>
      </c>
      <c r="C2298" t="s">
        <v>317</v>
      </c>
      <c r="D2298" s="8">
        <v>9.8169699999999991E-4</v>
      </c>
      <c r="E2298">
        <v>1.2541099999999999E-3</v>
      </c>
      <c r="F2298">
        <v>1.47029E-3</v>
      </c>
      <c r="G2298">
        <v>1.46791E-3</v>
      </c>
      <c r="H2298">
        <v>1.51172E-3</v>
      </c>
      <c r="I2298">
        <v>1.5550399999999999E-3</v>
      </c>
      <c r="J2298">
        <v>1.5602299999999999E-3</v>
      </c>
      <c r="K2298">
        <v>1.5425E-3</v>
      </c>
      <c r="L2298">
        <v>1.5152399999999999E-3</v>
      </c>
      <c r="M2298">
        <v>1.47712E-3</v>
      </c>
      <c r="N2298">
        <v>1.4349899999999999E-3</v>
      </c>
      <c r="O2298">
        <v>0</v>
      </c>
      <c r="P2298">
        <v>0</v>
      </c>
      <c r="Q2298">
        <v>0</v>
      </c>
      <c r="R2298" t="s">
        <v>243</v>
      </c>
    </row>
    <row r="2299" spans="1:18" x14ac:dyDescent="0.3">
      <c r="A2299" t="s">
        <v>259</v>
      </c>
      <c r="B2299" t="s">
        <v>50</v>
      </c>
      <c r="C2299" t="s">
        <v>318</v>
      </c>
      <c r="D2299">
        <v>1.0832299999999999E-3</v>
      </c>
      <c r="E2299">
        <v>1.38211E-3</v>
      </c>
      <c r="F2299">
        <v>1.5890399999999999E-3</v>
      </c>
      <c r="G2299">
        <v>1.5723899999999999E-3</v>
      </c>
      <c r="H2299">
        <v>1.59951E-3</v>
      </c>
      <c r="I2299">
        <v>1.63842E-3</v>
      </c>
      <c r="J2299">
        <v>1.6409899999999999E-3</v>
      </c>
      <c r="K2299">
        <v>1.6204699999999999E-3</v>
      </c>
      <c r="L2299">
        <v>1.59096E-3</v>
      </c>
      <c r="M2299">
        <v>1.5518299999999999E-3</v>
      </c>
      <c r="N2299">
        <v>1.5087799999999999E-3</v>
      </c>
      <c r="O2299">
        <v>0</v>
      </c>
      <c r="P2299">
        <v>0</v>
      </c>
      <c r="Q2299">
        <v>0</v>
      </c>
      <c r="R2299" t="s">
        <v>243</v>
      </c>
    </row>
    <row r="2300" spans="1:18" x14ac:dyDescent="0.3">
      <c r="A2300" t="s">
        <v>259</v>
      </c>
      <c r="B2300" t="s">
        <v>50</v>
      </c>
      <c r="C2300" t="s">
        <v>319</v>
      </c>
      <c r="D2300">
        <v>1.1720999999999999E-3</v>
      </c>
      <c r="E2300">
        <v>1.4885199999999999E-3</v>
      </c>
      <c r="F2300">
        <v>1.6815000000000001E-3</v>
      </c>
      <c r="G2300">
        <v>1.6591799999999999E-3</v>
      </c>
      <c r="H2300">
        <v>1.67292E-3</v>
      </c>
      <c r="I2300">
        <v>1.71244E-3</v>
      </c>
      <c r="J2300">
        <v>1.7129700000000001E-3</v>
      </c>
      <c r="K2300">
        <v>1.68994E-3</v>
      </c>
      <c r="L2300">
        <v>1.6581899999999999E-3</v>
      </c>
      <c r="M2300">
        <v>1.6157999999999999E-3</v>
      </c>
      <c r="N2300">
        <v>1.5704200000000001E-3</v>
      </c>
      <c r="O2300">
        <v>0</v>
      </c>
      <c r="P2300">
        <v>0</v>
      </c>
      <c r="Q2300">
        <v>0</v>
      </c>
      <c r="R2300" t="s">
        <v>243</v>
      </c>
    </row>
    <row r="2301" spans="1:18" x14ac:dyDescent="0.3">
      <c r="A2301" t="s">
        <v>259</v>
      </c>
      <c r="B2301" t="s">
        <v>50</v>
      </c>
      <c r="C2301" t="s">
        <v>320</v>
      </c>
      <c r="D2301">
        <v>1.2590800000000001E-3</v>
      </c>
      <c r="E2301">
        <v>1.57851E-3</v>
      </c>
      <c r="F2301">
        <v>1.7605800000000001E-3</v>
      </c>
      <c r="G2301">
        <v>1.73376E-3</v>
      </c>
      <c r="H2301">
        <v>1.74383E-3</v>
      </c>
      <c r="I2301">
        <v>1.78319E-3</v>
      </c>
      <c r="J2301">
        <v>1.78107E-3</v>
      </c>
      <c r="K2301">
        <v>1.7541900000000001E-3</v>
      </c>
      <c r="L2301">
        <v>1.71922E-3</v>
      </c>
      <c r="M2301">
        <v>1.6750000000000001E-3</v>
      </c>
      <c r="N2301">
        <v>1.6275E-3</v>
      </c>
      <c r="O2301">
        <v>0</v>
      </c>
      <c r="P2301">
        <v>0</v>
      </c>
      <c r="Q2301">
        <v>0</v>
      </c>
      <c r="R2301" t="s">
        <v>243</v>
      </c>
    </row>
    <row r="2302" spans="1:18" x14ac:dyDescent="0.3">
      <c r="A2302" t="s">
        <v>259</v>
      </c>
      <c r="B2302" t="s">
        <v>50</v>
      </c>
      <c r="C2302" t="s">
        <v>321</v>
      </c>
      <c r="D2302">
        <v>1.34443E-3</v>
      </c>
      <c r="E2302">
        <v>1.65968E-3</v>
      </c>
      <c r="F2302">
        <v>1.8371399999999999E-3</v>
      </c>
      <c r="G2302">
        <v>1.7999699999999999E-3</v>
      </c>
      <c r="H2302">
        <v>1.8168500000000001E-3</v>
      </c>
      <c r="I2302">
        <v>1.85282E-3</v>
      </c>
      <c r="J2302">
        <v>1.84727E-3</v>
      </c>
      <c r="K2302">
        <v>1.8197199999999999E-3</v>
      </c>
      <c r="L2302">
        <v>1.7842299999999999E-3</v>
      </c>
      <c r="M2302">
        <v>1.7384200000000001E-3</v>
      </c>
      <c r="N2302">
        <v>1.6891199999999999E-3</v>
      </c>
      <c r="O2302">
        <v>0</v>
      </c>
      <c r="P2302">
        <v>0</v>
      </c>
      <c r="Q2302">
        <v>0</v>
      </c>
      <c r="R2302" t="s">
        <v>243</v>
      </c>
    </row>
    <row r="2303" spans="1:18" x14ac:dyDescent="0.3">
      <c r="A2303" t="s">
        <v>259</v>
      </c>
      <c r="B2303" t="s">
        <v>50</v>
      </c>
      <c r="C2303" t="s">
        <v>322</v>
      </c>
      <c r="D2303">
        <v>1.4261300000000001E-3</v>
      </c>
      <c r="E2303">
        <v>1.7451999999999999E-3</v>
      </c>
      <c r="F2303">
        <v>1.9197299999999999E-3</v>
      </c>
      <c r="G2303">
        <v>1.88321E-3</v>
      </c>
      <c r="H2303">
        <v>1.89526E-3</v>
      </c>
      <c r="I2303">
        <v>1.93311E-3</v>
      </c>
      <c r="J2303">
        <v>1.9254599999999999E-3</v>
      </c>
      <c r="K2303">
        <v>1.89416E-3</v>
      </c>
      <c r="L2303">
        <v>1.8558299999999999E-3</v>
      </c>
      <c r="M2303">
        <v>1.8071999999999999E-3</v>
      </c>
      <c r="N2303">
        <v>1.7554000000000001E-3</v>
      </c>
      <c r="O2303">
        <v>0</v>
      </c>
      <c r="P2303">
        <v>0</v>
      </c>
      <c r="Q2303">
        <v>0</v>
      </c>
      <c r="R2303" t="s">
        <v>243</v>
      </c>
    </row>
    <row r="2304" spans="1:18" x14ac:dyDescent="0.3">
      <c r="A2304" t="s">
        <v>259</v>
      </c>
      <c r="B2304" t="s">
        <v>50</v>
      </c>
      <c r="C2304" t="s">
        <v>323</v>
      </c>
      <c r="D2304">
        <v>1.54258E-3</v>
      </c>
      <c r="E2304">
        <v>1.84498E-3</v>
      </c>
      <c r="F2304">
        <v>2.0349399999999998E-3</v>
      </c>
      <c r="G2304">
        <v>1.9851999999999999E-3</v>
      </c>
      <c r="H2304">
        <v>2.0046399999999998E-3</v>
      </c>
      <c r="I2304">
        <v>2.0391799999999998E-3</v>
      </c>
      <c r="J2304">
        <v>2.02702E-3</v>
      </c>
      <c r="K2304">
        <v>1.9926399999999999E-3</v>
      </c>
      <c r="L2304">
        <v>1.9507299999999999E-3</v>
      </c>
      <c r="M2304">
        <v>1.8982700000000001E-3</v>
      </c>
      <c r="N2304">
        <v>1.8426499999999999E-3</v>
      </c>
      <c r="O2304">
        <v>0</v>
      </c>
      <c r="P2304">
        <v>0</v>
      </c>
      <c r="Q2304">
        <v>0</v>
      </c>
      <c r="R2304" t="s">
        <v>243</v>
      </c>
    </row>
    <row r="2305" spans="1:18" x14ac:dyDescent="0.3">
      <c r="A2305" t="s">
        <v>259</v>
      </c>
      <c r="B2305" t="s">
        <v>52</v>
      </c>
      <c r="C2305" t="s">
        <v>261</v>
      </c>
      <c r="D2305">
        <v>2.3107899900000001E-3</v>
      </c>
      <c r="E2305">
        <v>7.2895401000000002E-3</v>
      </c>
      <c r="F2305">
        <v>8.3610899999999998E-3</v>
      </c>
      <c r="G2305">
        <v>8.8013200999999992E-3</v>
      </c>
      <c r="H2305">
        <v>8.6538040999999902E-3</v>
      </c>
      <c r="I2305">
        <v>8.93439867999999E-3</v>
      </c>
      <c r="J2305">
        <v>8.5326419899999992E-3</v>
      </c>
      <c r="K2305">
        <v>8.2577286100000008E-3</v>
      </c>
      <c r="L2305">
        <v>7.9270918899999997E-3</v>
      </c>
      <c r="M2305">
        <v>7.5046214099999996E-3</v>
      </c>
      <c r="N2305">
        <v>7.0918472200000001E-3</v>
      </c>
      <c r="O2305">
        <v>0</v>
      </c>
      <c r="P2305">
        <v>0</v>
      </c>
      <c r="Q2305">
        <v>0</v>
      </c>
      <c r="R2305" t="s">
        <v>243</v>
      </c>
    </row>
    <row r="2306" spans="1:18" x14ac:dyDescent="0.3">
      <c r="A2306" t="s">
        <v>259</v>
      </c>
      <c r="B2306" t="s">
        <v>52</v>
      </c>
      <c r="C2306" t="s">
        <v>262</v>
      </c>
      <c r="D2306">
        <v>4.4828879700000001E-3</v>
      </c>
      <c r="E2306">
        <v>1.0463682E-2</v>
      </c>
      <c r="F2306">
        <v>9.8703849999999902E-3</v>
      </c>
      <c r="G2306">
        <v>1.24606418E-2</v>
      </c>
      <c r="H2306">
        <v>1.22023216E-2</v>
      </c>
      <c r="I2306">
        <v>1.2568841926999899E-2</v>
      </c>
      <c r="J2306">
        <v>1.2209059214199999E-2</v>
      </c>
      <c r="K2306">
        <v>1.14377742042E-2</v>
      </c>
      <c r="L2306">
        <v>1.00006187029E-2</v>
      </c>
      <c r="M2306">
        <v>9.2393017080000008E-3</v>
      </c>
      <c r="N2306">
        <v>8.5345710309999902E-3</v>
      </c>
      <c r="O2306">
        <v>0</v>
      </c>
      <c r="P2306">
        <v>0</v>
      </c>
      <c r="Q2306">
        <v>0</v>
      </c>
      <c r="R2306" t="s">
        <v>243</v>
      </c>
    </row>
    <row r="2307" spans="1:18" x14ac:dyDescent="0.3">
      <c r="A2307" t="s">
        <v>259</v>
      </c>
      <c r="B2307" t="s">
        <v>52</v>
      </c>
      <c r="C2307" t="s">
        <v>263</v>
      </c>
      <c r="D2307">
        <v>1.9055526400000002E-2</v>
      </c>
      <c r="E2307">
        <v>7.268645E-2</v>
      </c>
      <c r="F2307">
        <v>5.932693E-2</v>
      </c>
      <c r="G2307">
        <v>6.0369300000000001E-2</v>
      </c>
      <c r="H2307">
        <v>6.2760599E-2</v>
      </c>
      <c r="I2307">
        <v>7.1188058600000007E-2</v>
      </c>
      <c r="J2307">
        <v>7.5710887199999993E-2</v>
      </c>
      <c r="K2307">
        <v>7.9710409800000007E-2</v>
      </c>
      <c r="L2307">
        <v>8.28312561E-2</v>
      </c>
      <c r="M2307">
        <v>8.4677023399999996E-2</v>
      </c>
      <c r="N2307">
        <v>8.5448765799999896E-2</v>
      </c>
      <c r="O2307">
        <v>0</v>
      </c>
      <c r="P2307">
        <v>0</v>
      </c>
      <c r="Q2307">
        <v>0</v>
      </c>
      <c r="R2307" t="s">
        <v>243</v>
      </c>
    </row>
    <row r="2308" spans="1:18" x14ac:dyDescent="0.3">
      <c r="A2308" t="s">
        <v>259</v>
      </c>
      <c r="B2308" t="s">
        <v>52</v>
      </c>
      <c r="C2308" t="s">
        <v>324</v>
      </c>
      <c r="D2308" s="8">
        <v>2.0488900000000001E-6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243</v>
      </c>
    </row>
    <row r="2309" spans="1:18" x14ac:dyDescent="0.3">
      <c r="A2309" t="s">
        <v>259</v>
      </c>
      <c r="B2309" t="s">
        <v>52</v>
      </c>
      <c r="C2309" t="s">
        <v>325</v>
      </c>
      <c r="D2309" s="8">
        <v>1.0638E-7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243</v>
      </c>
    </row>
    <row r="2310" spans="1:18" x14ac:dyDescent="0.3">
      <c r="A2310" t="s">
        <v>259</v>
      </c>
      <c r="B2310" t="s">
        <v>52</v>
      </c>
      <c r="C2310" t="s">
        <v>326</v>
      </c>
      <c r="D2310" s="8">
        <v>1.17231E-6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243</v>
      </c>
    </row>
    <row r="2311" spans="1:18" x14ac:dyDescent="0.3">
      <c r="A2311" t="s">
        <v>259</v>
      </c>
      <c r="B2311" t="s">
        <v>52</v>
      </c>
      <c r="C2311" t="s">
        <v>327</v>
      </c>
      <c r="D2311" s="8">
        <v>8.17001E-7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243</v>
      </c>
    </row>
    <row r="2312" spans="1:18" x14ac:dyDescent="0.3">
      <c r="A2312" t="s">
        <v>259</v>
      </c>
      <c r="B2312" t="s">
        <v>52</v>
      </c>
      <c r="C2312" t="s">
        <v>328</v>
      </c>
      <c r="D2312" s="8">
        <v>6.4679199999999999E-7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243</v>
      </c>
    </row>
    <row r="2313" spans="1:18" x14ac:dyDescent="0.3">
      <c r="A2313" t="s">
        <v>259</v>
      </c>
      <c r="B2313" t="s">
        <v>52</v>
      </c>
      <c r="C2313" t="s">
        <v>329</v>
      </c>
      <c r="D2313" s="8">
        <v>5.2551899999999998E-7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243</v>
      </c>
    </row>
    <row r="2314" spans="1:18" x14ac:dyDescent="0.3">
      <c r="A2314" t="s">
        <v>259</v>
      </c>
      <c r="B2314" t="s">
        <v>52</v>
      </c>
      <c r="C2314" t="s">
        <v>330</v>
      </c>
      <c r="D2314" s="8">
        <v>4.31904E-7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243</v>
      </c>
    </row>
    <row r="2315" spans="1:18" x14ac:dyDescent="0.3">
      <c r="A2315" t="s">
        <v>259</v>
      </c>
      <c r="B2315" t="s">
        <v>52</v>
      </c>
      <c r="C2315" t="s">
        <v>331</v>
      </c>
      <c r="D2315" s="8">
        <v>3.5318300000000002E-7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243</v>
      </c>
    </row>
    <row r="2316" spans="1:18" x14ac:dyDescent="0.3">
      <c r="A2316" t="s">
        <v>259</v>
      </c>
      <c r="B2316" t="s">
        <v>52</v>
      </c>
      <c r="C2316" t="s">
        <v>332</v>
      </c>
      <c r="D2316" s="8">
        <v>2.82972E-7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243</v>
      </c>
    </row>
    <row r="2317" spans="1:18" x14ac:dyDescent="0.3">
      <c r="A2317" t="s">
        <v>259</v>
      </c>
      <c r="B2317" t="s">
        <v>52</v>
      </c>
      <c r="C2317" t="s">
        <v>333</v>
      </c>
      <c r="D2317" s="8">
        <v>2.08505E-7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243</v>
      </c>
    </row>
    <row r="2318" spans="1:18" x14ac:dyDescent="0.3">
      <c r="A2318" t="s">
        <v>259</v>
      </c>
      <c r="B2318" t="s">
        <v>52</v>
      </c>
      <c r="C2318" t="s">
        <v>264</v>
      </c>
      <c r="D2318">
        <v>4.2167061999999998E-3</v>
      </c>
      <c r="E2318">
        <v>5.4606799999999999E-3</v>
      </c>
      <c r="F2318">
        <v>4.5889879999999996E-3</v>
      </c>
      <c r="G2318">
        <v>3.6621520000000001E-3</v>
      </c>
      <c r="H2318">
        <v>3.5815194999999898E-3</v>
      </c>
      <c r="I2318">
        <v>3.6739376999999902E-3</v>
      </c>
      <c r="J2318">
        <v>3.8236378999999998E-3</v>
      </c>
      <c r="K2318">
        <v>3.9393489000000004E-3</v>
      </c>
      <c r="L2318">
        <v>3.9480753000000002E-3</v>
      </c>
      <c r="M2318">
        <v>3.8721737999999999E-3</v>
      </c>
      <c r="N2318">
        <v>3.7805971999999898E-3</v>
      </c>
      <c r="O2318">
        <v>0</v>
      </c>
      <c r="P2318">
        <v>0</v>
      </c>
      <c r="Q2318">
        <v>0</v>
      </c>
      <c r="R2318" t="s">
        <v>243</v>
      </c>
    </row>
    <row r="2319" spans="1:18" x14ac:dyDescent="0.3">
      <c r="A2319" t="s">
        <v>259</v>
      </c>
      <c r="B2319" t="s">
        <v>52</v>
      </c>
      <c r="C2319" t="s">
        <v>265</v>
      </c>
      <c r="D2319">
        <v>6.9294559E-3</v>
      </c>
      <c r="E2319">
        <v>8.975551E-3</v>
      </c>
      <c r="F2319">
        <v>7.8799130000000005E-3</v>
      </c>
      <c r="G2319">
        <v>6.4887629999999998E-3</v>
      </c>
      <c r="H2319">
        <v>6.1975329999999999E-3</v>
      </c>
      <c r="I2319">
        <v>6.3532583999999998E-3</v>
      </c>
      <c r="J2319">
        <v>6.3823111999999904E-3</v>
      </c>
      <c r="K2319">
        <v>6.4209788000000002E-3</v>
      </c>
      <c r="L2319">
        <v>6.3114876999999896E-3</v>
      </c>
      <c r="M2319">
        <v>6.0934366E-3</v>
      </c>
      <c r="N2319">
        <v>5.8642077000000004E-3</v>
      </c>
      <c r="O2319">
        <v>0</v>
      </c>
      <c r="P2319">
        <v>0</v>
      </c>
      <c r="Q2319">
        <v>0</v>
      </c>
      <c r="R2319" t="s">
        <v>243</v>
      </c>
    </row>
    <row r="2320" spans="1:18" x14ac:dyDescent="0.3">
      <c r="A2320" t="s">
        <v>259</v>
      </c>
      <c r="B2320" t="s">
        <v>52</v>
      </c>
      <c r="C2320" t="s">
        <v>266</v>
      </c>
      <c r="D2320">
        <v>4.8766833999999998E-3</v>
      </c>
      <c r="E2320">
        <v>6.3674379999999996E-3</v>
      </c>
      <c r="F2320">
        <v>5.494718E-3</v>
      </c>
      <c r="G2320">
        <v>4.4694089999999997E-3</v>
      </c>
      <c r="H2320">
        <v>4.3253859999999996E-3</v>
      </c>
      <c r="I2320">
        <v>4.4049197999999996E-3</v>
      </c>
      <c r="J2320">
        <v>4.4962958000000003E-3</v>
      </c>
      <c r="K2320">
        <v>4.5720157000000003E-3</v>
      </c>
      <c r="L2320">
        <v>4.5334844999999997E-3</v>
      </c>
      <c r="M2320">
        <v>4.4105250999999998E-3</v>
      </c>
      <c r="N2320">
        <v>4.2766758E-3</v>
      </c>
      <c r="O2320">
        <v>0</v>
      </c>
      <c r="P2320">
        <v>0</v>
      </c>
      <c r="Q2320">
        <v>0</v>
      </c>
      <c r="R2320" t="s">
        <v>243</v>
      </c>
    </row>
    <row r="2321" spans="1:18" x14ac:dyDescent="0.3">
      <c r="A2321" t="s">
        <v>259</v>
      </c>
      <c r="B2321" t="s">
        <v>52</v>
      </c>
      <c r="C2321" t="s">
        <v>267</v>
      </c>
      <c r="D2321">
        <v>5.2312102000000001E-3</v>
      </c>
      <c r="E2321">
        <v>6.7545569999999996E-3</v>
      </c>
      <c r="F2321">
        <v>5.8951699999999999E-3</v>
      </c>
      <c r="G2321">
        <v>4.8260159999999998E-3</v>
      </c>
      <c r="H2321">
        <v>4.5767389999999998E-3</v>
      </c>
      <c r="I2321">
        <v>4.7595108999999997E-3</v>
      </c>
      <c r="J2321">
        <v>4.8191357000000002E-3</v>
      </c>
      <c r="K2321">
        <v>4.8752689000000002E-3</v>
      </c>
      <c r="L2321">
        <v>4.8173944000000002E-3</v>
      </c>
      <c r="M2321">
        <v>4.6735641000000003E-3</v>
      </c>
      <c r="N2321">
        <v>4.5210507000000002E-3</v>
      </c>
      <c r="O2321">
        <v>0</v>
      </c>
      <c r="P2321">
        <v>0</v>
      </c>
      <c r="Q2321">
        <v>0</v>
      </c>
      <c r="R2321" t="s">
        <v>243</v>
      </c>
    </row>
    <row r="2322" spans="1:18" x14ac:dyDescent="0.3">
      <c r="A2322" t="s">
        <v>259</v>
      </c>
      <c r="B2322" t="s">
        <v>52</v>
      </c>
      <c r="C2322" t="s">
        <v>268</v>
      </c>
      <c r="D2322">
        <v>5.4408128999999996E-3</v>
      </c>
      <c r="E2322">
        <v>7.0172109999999998E-3</v>
      </c>
      <c r="F2322">
        <v>6.1517639999999997E-3</v>
      </c>
      <c r="G2322">
        <v>5.051865E-3</v>
      </c>
      <c r="H2322">
        <v>4.8006609999999899E-3</v>
      </c>
      <c r="I2322">
        <v>4.9692939000000004E-3</v>
      </c>
      <c r="J2322">
        <v>5.0190195999999998E-3</v>
      </c>
      <c r="K2322">
        <v>5.0716431000000003E-3</v>
      </c>
      <c r="L2322">
        <v>5.0078449999999899E-3</v>
      </c>
      <c r="M2322">
        <v>4.8559257999999999E-3</v>
      </c>
      <c r="N2322">
        <v>4.6942112999999903E-3</v>
      </c>
      <c r="O2322">
        <v>0</v>
      </c>
      <c r="P2322">
        <v>0</v>
      </c>
      <c r="Q2322">
        <v>0</v>
      </c>
      <c r="R2322" t="s">
        <v>243</v>
      </c>
    </row>
    <row r="2323" spans="1:18" x14ac:dyDescent="0.3">
      <c r="A2323" t="s">
        <v>259</v>
      </c>
      <c r="B2323" t="s">
        <v>52</v>
      </c>
      <c r="C2323" t="s">
        <v>269</v>
      </c>
      <c r="D2323">
        <v>5.6202470999999997E-3</v>
      </c>
      <c r="E2323">
        <v>7.2484089999999999E-3</v>
      </c>
      <c r="F2323">
        <v>6.3582109999999999E-3</v>
      </c>
      <c r="G2323">
        <v>5.2257570000000001E-3</v>
      </c>
      <c r="H2323">
        <v>4.9790210000000001E-3</v>
      </c>
      <c r="I2323">
        <v>5.1429053999999998E-3</v>
      </c>
      <c r="J2323">
        <v>5.1883703999999996E-3</v>
      </c>
      <c r="K2323">
        <v>5.2380622E-3</v>
      </c>
      <c r="L2323">
        <v>5.1703015000000001E-3</v>
      </c>
      <c r="M2323">
        <v>5.0108074999999997E-3</v>
      </c>
      <c r="N2323">
        <v>4.8407876999999998E-3</v>
      </c>
      <c r="O2323">
        <v>0</v>
      </c>
      <c r="P2323">
        <v>0</v>
      </c>
      <c r="Q2323">
        <v>0</v>
      </c>
      <c r="R2323" t="s">
        <v>243</v>
      </c>
    </row>
    <row r="2324" spans="1:18" x14ac:dyDescent="0.3">
      <c r="A2324" t="s">
        <v>259</v>
      </c>
      <c r="B2324" t="s">
        <v>52</v>
      </c>
      <c r="C2324" t="s">
        <v>270</v>
      </c>
      <c r="D2324">
        <v>5.786121E-3</v>
      </c>
      <c r="E2324">
        <v>7.4600889999999996E-3</v>
      </c>
      <c r="F2324">
        <v>6.5473599999999899E-3</v>
      </c>
      <c r="G2324">
        <v>5.3861450000000002E-3</v>
      </c>
      <c r="H2324">
        <v>5.1412899999999997E-3</v>
      </c>
      <c r="I2324">
        <v>5.3012762999999899E-3</v>
      </c>
      <c r="J2324">
        <v>5.3424926999999997E-3</v>
      </c>
      <c r="K2324">
        <v>5.39153929999999E-3</v>
      </c>
      <c r="L2324">
        <v>5.3176157000000002E-3</v>
      </c>
      <c r="M2324">
        <v>5.1519545E-3</v>
      </c>
      <c r="N2324">
        <v>4.9753586000000002E-3</v>
      </c>
      <c r="O2324">
        <v>0</v>
      </c>
      <c r="P2324">
        <v>0</v>
      </c>
      <c r="Q2324">
        <v>0</v>
      </c>
      <c r="R2324" t="s">
        <v>243</v>
      </c>
    </row>
    <row r="2325" spans="1:18" x14ac:dyDescent="0.3">
      <c r="A2325" t="s">
        <v>259</v>
      </c>
      <c r="B2325" t="s">
        <v>52</v>
      </c>
      <c r="C2325" t="s">
        <v>271</v>
      </c>
      <c r="D2325">
        <v>5.9573040999999997E-3</v>
      </c>
      <c r="E2325">
        <v>7.6727239999999997E-3</v>
      </c>
      <c r="F2325">
        <v>6.7380329999999896E-3</v>
      </c>
      <c r="G2325">
        <v>5.5417740000000002E-3</v>
      </c>
      <c r="H2325">
        <v>5.3028260000000001E-3</v>
      </c>
      <c r="I2325">
        <v>5.4598310000000001E-3</v>
      </c>
      <c r="J2325">
        <v>5.4984639000000002E-3</v>
      </c>
      <c r="K2325">
        <v>5.5456125999999899E-3</v>
      </c>
      <c r="L2325">
        <v>5.4669772999999897E-3</v>
      </c>
      <c r="M2325">
        <v>5.2928769000000001E-3</v>
      </c>
      <c r="N2325">
        <v>5.1069992999999998E-3</v>
      </c>
      <c r="O2325">
        <v>0</v>
      </c>
      <c r="P2325">
        <v>0</v>
      </c>
      <c r="Q2325">
        <v>0</v>
      </c>
      <c r="R2325" t="s">
        <v>243</v>
      </c>
    </row>
    <row r="2326" spans="1:18" x14ac:dyDescent="0.3">
      <c r="A2326" t="s">
        <v>259</v>
      </c>
      <c r="B2326" t="s">
        <v>52</v>
      </c>
      <c r="C2326" t="s">
        <v>272</v>
      </c>
      <c r="D2326">
        <v>6.1400569000000004E-3</v>
      </c>
      <c r="E2326">
        <v>7.913972E-3</v>
      </c>
      <c r="F2326">
        <v>6.9482160000000001E-3</v>
      </c>
      <c r="G2326">
        <v>5.7294449999999997E-3</v>
      </c>
      <c r="H2326">
        <v>5.475532E-3</v>
      </c>
      <c r="I2326">
        <v>5.6346246999999898E-3</v>
      </c>
      <c r="J2326">
        <v>5.67280239999999E-3</v>
      </c>
      <c r="K2326">
        <v>5.7177864999999996E-3</v>
      </c>
      <c r="L2326">
        <v>5.6318517999999996E-3</v>
      </c>
      <c r="M2326">
        <v>5.4482792000000004E-3</v>
      </c>
      <c r="N2326">
        <v>5.2542737999999997E-3</v>
      </c>
      <c r="O2326">
        <v>0</v>
      </c>
      <c r="P2326">
        <v>0</v>
      </c>
      <c r="Q2326">
        <v>0</v>
      </c>
      <c r="R2326" t="s">
        <v>243</v>
      </c>
    </row>
    <row r="2327" spans="1:18" x14ac:dyDescent="0.3">
      <c r="A2327" t="s">
        <v>259</v>
      </c>
      <c r="B2327" t="s">
        <v>52</v>
      </c>
      <c r="C2327" t="s">
        <v>273</v>
      </c>
      <c r="D2327">
        <v>6.3936488999999999E-3</v>
      </c>
      <c r="E2327">
        <v>8.2369220000000007E-3</v>
      </c>
      <c r="F2327">
        <v>7.2289069999999997E-3</v>
      </c>
      <c r="G2327">
        <v>5.9465430000000003E-3</v>
      </c>
      <c r="H2327">
        <v>5.6965840000000002E-3</v>
      </c>
      <c r="I2327">
        <v>5.8560951999999996E-3</v>
      </c>
      <c r="J2327">
        <v>5.8917806000000003E-3</v>
      </c>
      <c r="K2327">
        <v>5.9366126999999998E-3</v>
      </c>
      <c r="L2327">
        <v>5.8461755999999997E-3</v>
      </c>
      <c r="M2327">
        <v>5.6544573999999896E-3</v>
      </c>
      <c r="N2327">
        <v>5.4507447000000002E-3</v>
      </c>
      <c r="O2327">
        <v>0</v>
      </c>
      <c r="P2327">
        <v>0</v>
      </c>
      <c r="Q2327">
        <v>0</v>
      </c>
      <c r="R2327" t="s">
        <v>243</v>
      </c>
    </row>
    <row r="2328" spans="1:18" x14ac:dyDescent="0.3">
      <c r="A2328" t="s">
        <v>259</v>
      </c>
      <c r="B2328" t="s">
        <v>52</v>
      </c>
      <c r="C2328" t="s">
        <v>274</v>
      </c>
      <c r="D2328" s="8">
        <v>1.5327352109999998E-5</v>
      </c>
      <c r="E2328" s="8">
        <v>3.8793706710000002E-5</v>
      </c>
      <c r="F2328" s="8">
        <v>4.1558516559999999E-5</v>
      </c>
      <c r="G2328" s="8">
        <v>3.163402351E-5</v>
      </c>
      <c r="H2328" s="8">
        <v>4.9547257420000001E-5</v>
      </c>
      <c r="I2328" s="8">
        <v>5.1886731649999901E-5</v>
      </c>
      <c r="J2328" s="8">
        <v>5.4938939665999899E-5</v>
      </c>
      <c r="K2328" s="8">
        <v>5.79244470709999E-5</v>
      </c>
      <c r="L2328" s="8">
        <v>6.0747301664E-5</v>
      </c>
      <c r="M2328" s="8">
        <v>6.2342124670999998E-5</v>
      </c>
      <c r="N2328" s="8">
        <v>6.3553806107000005E-5</v>
      </c>
      <c r="O2328">
        <v>0</v>
      </c>
      <c r="P2328">
        <v>0</v>
      </c>
      <c r="Q2328">
        <v>0</v>
      </c>
      <c r="R2328" t="s">
        <v>243</v>
      </c>
    </row>
    <row r="2329" spans="1:18" x14ac:dyDescent="0.3">
      <c r="A2329" t="s">
        <v>259</v>
      </c>
      <c r="B2329" t="s">
        <v>52</v>
      </c>
      <c r="C2329" t="s">
        <v>275</v>
      </c>
      <c r="D2329" s="8">
        <v>8.0758388799999996E-5</v>
      </c>
      <c r="E2329" s="8">
        <v>1.5925403759999999E-4</v>
      </c>
      <c r="F2329" s="8">
        <v>1.738999703E-4</v>
      </c>
      <c r="G2329" s="8">
        <v>1.4688436050000001E-4</v>
      </c>
      <c r="H2329" s="8">
        <v>1.67874029329999E-4</v>
      </c>
      <c r="I2329" s="8">
        <v>1.6841109649E-4</v>
      </c>
      <c r="J2329" s="8">
        <v>1.5890319065E-4</v>
      </c>
      <c r="K2329" s="8">
        <v>1.5260036385999999E-4</v>
      </c>
      <c r="L2329" s="8">
        <v>1.4602864815999999E-4</v>
      </c>
      <c r="M2329" s="8">
        <v>1.3790304943000001E-4</v>
      </c>
      <c r="N2329" s="8">
        <v>1.3014656123999999E-4</v>
      </c>
      <c r="O2329">
        <v>0</v>
      </c>
      <c r="P2329">
        <v>0</v>
      </c>
      <c r="Q2329">
        <v>0</v>
      </c>
      <c r="R2329" t="s">
        <v>243</v>
      </c>
    </row>
    <row r="2330" spans="1:18" x14ac:dyDescent="0.3">
      <c r="A2330" t="s">
        <v>259</v>
      </c>
      <c r="B2330" t="s">
        <v>52</v>
      </c>
      <c r="C2330" t="s">
        <v>276</v>
      </c>
      <c r="D2330" s="8">
        <v>2.3639024119999999E-5</v>
      </c>
      <c r="E2330" s="8">
        <v>6.1158258939999894E-5</v>
      </c>
      <c r="F2330" s="8">
        <v>6.5883750489999999E-5</v>
      </c>
      <c r="G2330" s="8">
        <v>5.1974589099999997E-5</v>
      </c>
      <c r="H2330" s="8">
        <v>7.4283877499999997E-5</v>
      </c>
      <c r="I2330" s="8">
        <v>7.722346972E-5</v>
      </c>
      <c r="J2330" s="8">
        <v>8.006399777E-5</v>
      </c>
      <c r="K2330" s="8">
        <v>8.3144402548999995E-5</v>
      </c>
      <c r="L2330" s="8">
        <v>8.5553879070000006E-5</v>
      </c>
      <c r="M2330" s="8">
        <v>8.6165969906999902E-5</v>
      </c>
      <c r="N2330" s="8">
        <v>8.6128266288000005E-5</v>
      </c>
      <c r="O2330">
        <v>0</v>
      </c>
      <c r="P2330">
        <v>0</v>
      </c>
      <c r="Q2330">
        <v>0</v>
      </c>
      <c r="R2330" t="s">
        <v>243</v>
      </c>
    </row>
    <row r="2331" spans="1:18" x14ac:dyDescent="0.3">
      <c r="A2331" t="s">
        <v>259</v>
      </c>
      <c r="B2331" t="s">
        <v>52</v>
      </c>
      <c r="C2331" t="s">
        <v>277</v>
      </c>
      <c r="D2331" s="8">
        <v>3.0567084489999999E-5</v>
      </c>
      <c r="E2331" s="8">
        <v>7.4875140300000002E-5</v>
      </c>
      <c r="F2331" s="8">
        <v>8.209813955E-5</v>
      </c>
      <c r="G2331" s="8">
        <v>6.6123665080000001E-5</v>
      </c>
      <c r="H2331" s="8">
        <v>8.5997770239999897E-5</v>
      </c>
      <c r="I2331" s="8">
        <v>9.4778017299999994E-5</v>
      </c>
      <c r="J2331" s="8">
        <v>9.6504269989999998E-5</v>
      </c>
      <c r="K2331" s="8">
        <v>9.8697670726000003E-5</v>
      </c>
      <c r="L2331" s="8">
        <v>9.9850213159999906E-5</v>
      </c>
      <c r="M2331" s="8">
        <v>9.9011635218000004E-5</v>
      </c>
      <c r="N2331" s="8">
        <v>9.7503604394999995E-5</v>
      </c>
      <c r="O2331">
        <v>0</v>
      </c>
      <c r="P2331">
        <v>0</v>
      </c>
      <c r="Q2331">
        <v>0</v>
      </c>
      <c r="R2331" t="s">
        <v>243</v>
      </c>
    </row>
    <row r="2332" spans="1:18" x14ac:dyDescent="0.3">
      <c r="A2332" t="s">
        <v>259</v>
      </c>
      <c r="B2332" t="s">
        <v>52</v>
      </c>
      <c r="C2332" t="s">
        <v>278</v>
      </c>
      <c r="D2332" s="8">
        <v>3.5651829699999997E-5</v>
      </c>
      <c r="E2332" s="8">
        <v>8.5431503379999998E-5</v>
      </c>
      <c r="F2332" s="8">
        <v>9.4410170230000003E-5</v>
      </c>
      <c r="G2332" s="8">
        <v>7.7062083440000001E-5</v>
      </c>
      <c r="H2332" s="8">
        <v>9.8222335260000001E-5</v>
      </c>
      <c r="I2332" s="8">
        <v>1.0682915478E-4</v>
      </c>
      <c r="J2332" s="8">
        <v>1.0748299553E-4</v>
      </c>
      <c r="K2332" s="8">
        <v>1.08871070058E-4</v>
      </c>
      <c r="L2332" s="8">
        <v>1.0912889584E-4</v>
      </c>
      <c r="M2332" s="8">
        <v>1.0725589858E-4</v>
      </c>
      <c r="N2332" s="8">
        <v>1.0465487910299999E-4</v>
      </c>
      <c r="O2332">
        <v>0</v>
      </c>
      <c r="P2332">
        <v>0</v>
      </c>
      <c r="Q2332">
        <v>0</v>
      </c>
      <c r="R2332" t="s">
        <v>243</v>
      </c>
    </row>
    <row r="2333" spans="1:18" x14ac:dyDescent="0.3">
      <c r="A2333" t="s">
        <v>259</v>
      </c>
      <c r="B2333" t="s">
        <v>52</v>
      </c>
      <c r="C2333" t="s">
        <v>279</v>
      </c>
      <c r="D2333" s="8">
        <v>4.053933048E-5</v>
      </c>
      <c r="E2333" s="8">
        <v>9.5256592810000006E-5</v>
      </c>
      <c r="F2333" s="8">
        <v>1.050866507E-4</v>
      </c>
      <c r="G2333" s="8">
        <v>8.628651088E-5</v>
      </c>
      <c r="H2333" s="8">
        <v>1.0880763891E-4</v>
      </c>
      <c r="I2333" s="8">
        <v>1.1709243820999999E-4</v>
      </c>
      <c r="J2333" s="8">
        <v>1.16663603619999E-4</v>
      </c>
      <c r="K2333" s="8">
        <v>1.1706755398E-4</v>
      </c>
      <c r="L2333" s="8">
        <v>1.1639907557E-4</v>
      </c>
      <c r="M2333" s="8">
        <v>1.1348427381E-4</v>
      </c>
      <c r="N2333" s="8">
        <v>1.09884780604999E-4</v>
      </c>
      <c r="O2333">
        <v>0</v>
      </c>
      <c r="P2333">
        <v>0</v>
      </c>
      <c r="Q2333">
        <v>0</v>
      </c>
      <c r="R2333" t="s">
        <v>243</v>
      </c>
    </row>
    <row r="2334" spans="1:18" x14ac:dyDescent="0.3">
      <c r="A2334" t="s">
        <v>259</v>
      </c>
      <c r="B2334" t="s">
        <v>52</v>
      </c>
      <c r="C2334" t="s">
        <v>280</v>
      </c>
      <c r="D2334" s="8">
        <v>4.5419129499999998E-5</v>
      </c>
      <c r="E2334" s="8">
        <v>1.0444551819999999E-4</v>
      </c>
      <c r="F2334" s="8">
        <v>1.151545753E-4</v>
      </c>
      <c r="G2334" s="8">
        <v>9.5134396399999997E-5</v>
      </c>
      <c r="H2334" s="8">
        <v>1.186818802E-4</v>
      </c>
      <c r="I2334" s="8">
        <v>1.262665389E-4</v>
      </c>
      <c r="J2334" s="8">
        <v>1.2457612825E-4</v>
      </c>
      <c r="K2334" s="8">
        <v>1.2401416426000001E-4</v>
      </c>
      <c r="L2334" s="8">
        <v>1.2229058564000001E-4</v>
      </c>
      <c r="M2334" s="8">
        <v>1.184273925E-4</v>
      </c>
      <c r="N2334" s="8">
        <v>1.13979438211E-4</v>
      </c>
      <c r="O2334">
        <v>0</v>
      </c>
      <c r="P2334">
        <v>0</v>
      </c>
      <c r="Q2334">
        <v>0</v>
      </c>
      <c r="R2334" t="s">
        <v>243</v>
      </c>
    </row>
    <row r="2335" spans="1:18" x14ac:dyDescent="0.3">
      <c r="A2335" t="s">
        <v>259</v>
      </c>
      <c r="B2335" t="s">
        <v>52</v>
      </c>
      <c r="C2335" t="s">
        <v>281</v>
      </c>
      <c r="D2335" s="8">
        <v>5.0727925199999998E-5</v>
      </c>
      <c r="E2335" s="8">
        <v>1.1363944409999999E-4</v>
      </c>
      <c r="F2335" s="8">
        <v>1.25282505399999E-4</v>
      </c>
      <c r="G2335" s="8">
        <v>1.037795593E-4</v>
      </c>
      <c r="H2335" s="8">
        <v>1.2834570113000001E-4</v>
      </c>
      <c r="I2335" s="8">
        <v>1.34944902229999E-4</v>
      </c>
      <c r="J2335" s="8">
        <v>1.3192501616999901E-4</v>
      </c>
      <c r="K2335" s="8">
        <v>1.3023623246E-4</v>
      </c>
      <c r="L2335" s="8">
        <v>1.2749826083999999E-4</v>
      </c>
      <c r="M2335" s="8">
        <v>1.2263967916000001E-4</v>
      </c>
      <c r="N2335" s="8">
        <v>1.17344068254999E-4</v>
      </c>
      <c r="O2335">
        <v>0</v>
      </c>
      <c r="P2335">
        <v>0</v>
      </c>
      <c r="Q2335">
        <v>0</v>
      </c>
      <c r="R2335" t="s">
        <v>243</v>
      </c>
    </row>
    <row r="2336" spans="1:18" x14ac:dyDescent="0.3">
      <c r="A2336" t="s">
        <v>259</v>
      </c>
      <c r="B2336" t="s">
        <v>52</v>
      </c>
      <c r="C2336" t="s">
        <v>282</v>
      </c>
      <c r="D2336" s="8">
        <v>5.6587444899999998E-5</v>
      </c>
      <c r="E2336" s="8">
        <v>1.2377146430000001E-4</v>
      </c>
      <c r="F2336" s="8">
        <v>1.36101499E-4</v>
      </c>
      <c r="G2336" s="8">
        <v>1.139556927E-4</v>
      </c>
      <c r="H2336" s="8">
        <v>1.3807055861999999E-4</v>
      </c>
      <c r="I2336" s="8">
        <v>1.436216872E-4</v>
      </c>
      <c r="J2336" s="8">
        <v>1.3914879195999901E-4</v>
      </c>
      <c r="K2336" s="8">
        <v>1.3623518982000001E-4</v>
      </c>
      <c r="L2336" s="8">
        <v>1.3236121981999901E-4</v>
      </c>
      <c r="M2336" s="8">
        <v>1.2651865030999999E-4</v>
      </c>
      <c r="N2336" s="8">
        <v>1.20488089678E-4</v>
      </c>
      <c r="O2336">
        <v>0</v>
      </c>
      <c r="P2336">
        <v>0</v>
      </c>
      <c r="Q2336">
        <v>0</v>
      </c>
      <c r="R2336" t="s">
        <v>243</v>
      </c>
    </row>
    <row r="2337" spans="1:18" x14ac:dyDescent="0.3">
      <c r="A2337" t="s">
        <v>259</v>
      </c>
      <c r="B2337" t="s">
        <v>52</v>
      </c>
      <c r="C2337" t="s">
        <v>283</v>
      </c>
      <c r="D2337" s="8">
        <v>6.4793293100000001E-5</v>
      </c>
      <c r="E2337" s="8">
        <v>1.3638273440000001E-4</v>
      </c>
      <c r="F2337" s="8">
        <v>1.494787275E-4</v>
      </c>
      <c r="G2337" s="8">
        <v>1.2496091859999999E-4</v>
      </c>
      <c r="H2337" s="8">
        <v>1.49199541059999E-4</v>
      </c>
      <c r="I2337" s="8">
        <v>1.5308704549E-4</v>
      </c>
      <c r="J2337" s="8">
        <v>1.4675479564999901E-4</v>
      </c>
      <c r="K2337" s="8">
        <v>1.4249006111999901E-4</v>
      </c>
      <c r="L2337" s="8">
        <v>1.37530194669999E-4</v>
      </c>
      <c r="M2337" s="8">
        <v>1.3076833752000001E-4</v>
      </c>
      <c r="N2337" s="8">
        <v>1.2402232572700001E-4</v>
      </c>
      <c r="O2337">
        <v>0</v>
      </c>
      <c r="P2337">
        <v>0</v>
      </c>
      <c r="Q2337">
        <v>0</v>
      </c>
      <c r="R2337" t="s">
        <v>243</v>
      </c>
    </row>
    <row r="2338" spans="1:18" x14ac:dyDescent="0.3">
      <c r="A2338" t="s">
        <v>259</v>
      </c>
      <c r="B2338" t="s">
        <v>52</v>
      </c>
      <c r="C2338" t="s">
        <v>334</v>
      </c>
      <c r="D2338" s="8">
        <v>2.0552100000000001E-6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s">
        <v>243</v>
      </c>
    </row>
    <row r="2339" spans="1:18" x14ac:dyDescent="0.3">
      <c r="A2339" t="s">
        <v>259</v>
      </c>
      <c r="B2339" t="s">
        <v>52</v>
      </c>
      <c r="C2339" t="s">
        <v>335</v>
      </c>
      <c r="D2339" s="8">
        <v>1.0933500000000001E-7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243</v>
      </c>
    </row>
    <row r="2340" spans="1:18" x14ac:dyDescent="0.3">
      <c r="A2340" t="s">
        <v>259</v>
      </c>
      <c r="B2340" t="s">
        <v>52</v>
      </c>
      <c r="C2340" t="s">
        <v>336</v>
      </c>
      <c r="D2340" s="8">
        <v>1.1805299999999999E-6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243</v>
      </c>
    </row>
    <row r="2341" spans="1:18" x14ac:dyDescent="0.3">
      <c r="A2341" t="s">
        <v>259</v>
      </c>
      <c r="B2341" t="s">
        <v>52</v>
      </c>
      <c r="C2341" t="s">
        <v>337</v>
      </c>
      <c r="D2341" s="8">
        <v>8.2297000000000002E-7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s">
        <v>243</v>
      </c>
    </row>
    <row r="2342" spans="1:18" x14ac:dyDescent="0.3">
      <c r="A2342" t="s">
        <v>259</v>
      </c>
      <c r="B2342" t="s">
        <v>52</v>
      </c>
      <c r="C2342" t="s">
        <v>338</v>
      </c>
      <c r="D2342" s="8">
        <v>6.5305700000000002E-7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243</v>
      </c>
    </row>
    <row r="2343" spans="1:18" x14ac:dyDescent="0.3">
      <c r="A2343" t="s">
        <v>259</v>
      </c>
      <c r="B2343" t="s">
        <v>52</v>
      </c>
      <c r="C2343" t="s">
        <v>339</v>
      </c>
      <c r="D2343" s="8">
        <v>5.3190199999999999E-7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243</v>
      </c>
    </row>
    <row r="2344" spans="1:18" x14ac:dyDescent="0.3">
      <c r="A2344" t="s">
        <v>259</v>
      </c>
      <c r="B2344" t="s">
        <v>52</v>
      </c>
      <c r="C2344" t="s">
        <v>340</v>
      </c>
      <c r="D2344" s="8">
        <v>4.37341E-7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243</v>
      </c>
    </row>
    <row r="2345" spans="1:18" x14ac:dyDescent="0.3">
      <c r="A2345" t="s">
        <v>259</v>
      </c>
      <c r="B2345" t="s">
        <v>52</v>
      </c>
      <c r="C2345" t="s">
        <v>341</v>
      </c>
      <c r="D2345" s="8">
        <v>3.5755599999999998E-7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243</v>
      </c>
    </row>
    <row r="2346" spans="1:18" x14ac:dyDescent="0.3">
      <c r="A2346" t="s">
        <v>259</v>
      </c>
      <c r="B2346" t="s">
        <v>52</v>
      </c>
      <c r="C2346" t="s">
        <v>342</v>
      </c>
      <c r="D2346" s="8">
        <v>2.8811299999999998E-7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243</v>
      </c>
    </row>
    <row r="2347" spans="1:18" x14ac:dyDescent="0.3">
      <c r="A2347" t="s">
        <v>259</v>
      </c>
      <c r="B2347" t="s">
        <v>52</v>
      </c>
      <c r="C2347" t="s">
        <v>343</v>
      </c>
      <c r="D2347" s="8">
        <v>2.11283E-7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243</v>
      </c>
    </row>
    <row r="2348" spans="1:18" x14ac:dyDescent="0.3">
      <c r="A2348" t="s">
        <v>259</v>
      </c>
      <c r="B2348" t="s">
        <v>52</v>
      </c>
      <c r="C2348" t="s">
        <v>284</v>
      </c>
      <c r="D2348" s="8">
        <v>6.0493047699999999E-4</v>
      </c>
      <c r="E2348" s="8">
        <v>6.7292192799999905E-4</v>
      </c>
      <c r="F2348" s="8">
        <v>4.7368272000000001E-4</v>
      </c>
      <c r="G2348" s="8">
        <v>4.3040762699999999E-4</v>
      </c>
      <c r="H2348" s="8">
        <v>5.3322503599999901E-4</v>
      </c>
      <c r="I2348" s="8">
        <v>5.8108698931E-4</v>
      </c>
      <c r="J2348" s="8">
        <v>6.1969731304999998E-4</v>
      </c>
      <c r="K2348" s="8">
        <v>6.7270082070399904E-4</v>
      </c>
      <c r="L2348" s="8">
        <v>6.8899571466099897E-4</v>
      </c>
      <c r="M2348" s="8">
        <v>6.7989668017E-4</v>
      </c>
      <c r="N2348" s="8">
        <v>6.7625202390000005E-4</v>
      </c>
      <c r="O2348">
        <v>0</v>
      </c>
      <c r="P2348">
        <v>0</v>
      </c>
      <c r="Q2348">
        <v>0</v>
      </c>
      <c r="R2348" t="s">
        <v>243</v>
      </c>
    </row>
    <row r="2349" spans="1:18" x14ac:dyDescent="0.3">
      <c r="A2349" t="s">
        <v>259</v>
      </c>
      <c r="B2349" t="s">
        <v>52</v>
      </c>
      <c r="C2349" t="s">
        <v>285</v>
      </c>
      <c r="D2349">
        <v>5.1359927900000001E-3</v>
      </c>
      <c r="E2349">
        <v>5.4338859899999998E-3</v>
      </c>
      <c r="F2349">
        <v>4.1606471999999896E-3</v>
      </c>
      <c r="G2349">
        <v>4.2100415699999998E-3</v>
      </c>
      <c r="H2349">
        <v>4.3112195509999998E-3</v>
      </c>
      <c r="I2349">
        <v>4.7361387475000002E-3</v>
      </c>
      <c r="J2349">
        <v>4.49682336204E-3</v>
      </c>
      <c r="K2349">
        <v>4.5983225062599898E-3</v>
      </c>
      <c r="L2349">
        <v>4.3258741774899901E-3</v>
      </c>
      <c r="M2349">
        <v>3.9471977944000002E-3</v>
      </c>
      <c r="N2349">
        <v>3.6103716950000001E-3</v>
      </c>
      <c r="O2349">
        <v>0</v>
      </c>
      <c r="P2349">
        <v>0</v>
      </c>
      <c r="Q2349">
        <v>0</v>
      </c>
      <c r="R2349" t="s">
        <v>243</v>
      </c>
    </row>
    <row r="2350" spans="1:18" x14ac:dyDescent="0.3">
      <c r="A2350" t="s">
        <v>259</v>
      </c>
      <c r="B2350" t="s">
        <v>52</v>
      </c>
      <c r="C2350" t="s">
        <v>286</v>
      </c>
      <c r="D2350" s="8">
        <v>9.7550921399999996E-4</v>
      </c>
      <c r="E2350">
        <v>1.15027259E-3</v>
      </c>
      <c r="F2350" s="8">
        <v>8.1819786999999999E-4</v>
      </c>
      <c r="G2350" s="8">
        <v>7.68580906E-4</v>
      </c>
      <c r="H2350" s="8">
        <v>9.0870663099999998E-4</v>
      </c>
      <c r="I2350" s="8">
        <v>9.9493073223999996E-4</v>
      </c>
      <c r="J2350">
        <v>1.05202385964E-3</v>
      </c>
      <c r="K2350">
        <v>1.14043542511999E-3</v>
      </c>
      <c r="L2350">
        <v>1.157600424902E-3</v>
      </c>
      <c r="M2350">
        <v>1.1337783267E-3</v>
      </c>
      <c r="N2350">
        <v>1.11844727219999E-3</v>
      </c>
      <c r="O2350">
        <v>0</v>
      </c>
      <c r="P2350">
        <v>0</v>
      </c>
      <c r="Q2350">
        <v>0</v>
      </c>
      <c r="R2350" t="s">
        <v>243</v>
      </c>
    </row>
    <row r="2351" spans="1:18" x14ac:dyDescent="0.3">
      <c r="A2351" t="s">
        <v>259</v>
      </c>
      <c r="B2351" t="s">
        <v>52</v>
      </c>
      <c r="C2351" t="s">
        <v>287</v>
      </c>
      <c r="D2351">
        <v>1.3106733160000001E-3</v>
      </c>
      <c r="E2351">
        <v>1.4861407699999999E-3</v>
      </c>
      <c r="F2351">
        <v>1.0850955399999999E-3</v>
      </c>
      <c r="G2351">
        <v>1.040989967E-3</v>
      </c>
      <c r="H2351">
        <v>1.11256349E-3</v>
      </c>
      <c r="I2351">
        <v>1.3533510296499999E-3</v>
      </c>
      <c r="J2351">
        <v>1.4095942809900001E-3</v>
      </c>
      <c r="K2351">
        <v>1.5172563328199899E-3</v>
      </c>
      <c r="L2351">
        <v>1.5137896133500001E-3</v>
      </c>
      <c r="M2351">
        <v>1.4696174404E-3</v>
      </c>
      <c r="N2351">
        <v>1.4350415145999999E-3</v>
      </c>
      <c r="O2351">
        <v>0</v>
      </c>
      <c r="P2351">
        <v>0</v>
      </c>
      <c r="Q2351">
        <v>0</v>
      </c>
      <c r="R2351" t="s">
        <v>243</v>
      </c>
    </row>
    <row r="2352" spans="1:18" x14ac:dyDescent="0.3">
      <c r="A2352" t="s">
        <v>259</v>
      </c>
      <c r="B2352" t="s">
        <v>52</v>
      </c>
      <c r="C2352" t="s">
        <v>288</v>
      </c>
      <c r="D2352">
        <v>1.5740913339999899E-3</v>
      </c>
      <c r="E2352">
        <v>1.7729832099999899E-3</v>
      </c>
      <c r="F2352">
        <v>1.3135928E-3</v>
      </c>
      <c r="G2352">
        <v>1.2784798019999999E-3</v>
      </c>
      <c r="H2352">
        <v>1.35936629799999E-3</v>
      </c>
      <c r="I2352">
        <v>1.6397609388599901E-3</v>
      </c>
      <c r="J2352">
        <v>1.6934365871499901E-3</v>
      </c>
      <c r="K2352">
        <v>1.8164809859300001E-3</v>
      </c>
      <c r="L2352">
        <v>1.80564388761E-3</v>
      </c>
      <c r="M2352">
        <v>1.74622161769999E-3</v>
      </c>
      <c r="N2352">
        <v>1.6953587468999901E-3</v>
      </c>
      <c r="O2352">
        <v>0</v>
      </c>
      <c r="P2352">
        <v>0</v>
      </c>
      <c r="Q2352">
        <v>0</v>
      </c>
      <c r="R2352" t="s">
        <v>243</v>
      </c>
    </row>
    <row r="2353" spans="1:18" x14ac:dyDescent="0.3">
      <c r="A2353" t="s">
        <v>259</v>
      </c>
      <c r="B2353" t="s">
        <v>52</v>
      </c>
      <c r="C2353" t="s">
        <v>289</v>
      </c>
      <c r="D2353">
        <v>1.843177727E-3</v>
      </c>
      <c r="E2353">
        <v>2.0672206900000001E-3</v>
      </c>
      <c r="F2353">
        <v>1.53442675999999E-3</v>
      </c>
      <c r="G2353">
        <v>1.501594329E-3</v>
      </c>
      <c r="H2353">
        <v>1.60399945699999E-3</v>
      </c>
      <c r="I2353">
        <v>1.92277595485999E-3</v>
      </c>
      <c r="J2353">
        <v>1.9727090950000001E-3</v>
      </c>
      <c r="K2353">
        <v>2.1041526997299899E-3</v>
      </c>
      <c r="L2353">
        <v>2.0843434600599999E-3</v>
      </c>
      <c r="M2353">
        <v>2.0058310553999902E-3</v>
      </c>
      <c r="N2353">
        <v>1.935651824E-3</v>
      </c>
      <c r="O2353">
        <v>0</v>
      </c>
      <c r="P2353">
        <v>0</v>
      </c>
      <c r="Q2353">
        <v>0</v>
      </c>
      <c r="R2353" t="s">
        <v>243</v>
      </c>
    </row>
    <row r="2354" spans="1:18" x14ac:dyDescent="0.3">
      <c r="A2354" t="s">
        <v>259</v>
      </c>
      <c r="B2354" t="s">
        <v>52</v>
      </c>
      <c r="C2354" t="s">
        <v>290</v>
      </c>
      <c r="D2354">
        <v>2.12946438E-3</v>
      </c>
      <c r="E2354">
        <v>2.3715262300000001E-3</v>
      </c>
      <c r="F2354">
        <v>1.76673602E-3</v>
      </c>
      <c r="G2354">
        <v>1.740012915E-3</v>
      </c>
      <c r="H2354">
        <v>1.8650078250000001E-3</v>
      </c>
      <c r="I2354">
        <v>2.2156931754999999E-3</v>
      </c>
      <c r="J2354">
        <v>2.2542354536699899E-3</v>
      </c>
      <c r="K2354">
        <v>2.39484279245E-3</v>
      </c>
      <c r="L2354">
        <v>2.3580962057299999E-3</v>
      </c>
      <c r="M2354">
        <v>2.2592160717999901E-3</v>
      </c>
      <c r="N2354">
        <v>2.1687428162999998E-3</v>
      </c>
      <c r="O2354">
        <v>0</v>
      </c>
      <c r="P2354">
        <v>0</v>
      </c>
      <c r="Q2354">
        <v>0</v>
      </c>
      <c r="R2354" t="s">
        <v>243</v>
      </c>
    </row>
    <row r="2355" spans="1:18" x14ac:dyDescent="0.3">
      <c r="A2355" t="s">
        <v>259</v>
      </c>
      <c r="B2355" t="s">
        <v>52</v>
      </c>
      <c r="C2355" t="s">
        <v>291</v>
      </c>
      <c r="D2355">
        <v>2.4640727999999902E-3</v>
      </c>
      <c r="E2355">
        <v>2.7110793199999999E-3</v>
      </c>
      <c r="F2355">
        <v>2.0301066800000002E-3</v>
      </c>
      <c r="G2355">
        <v>2.00192139E-3</v>
      </c>
      <c r="H2355">
        <v>2.1617515969999902E-3</v>
      </c>
      <c r="I2355">
        <v>2.5407409108599999E-3</v>
      </c>
      <c r="J2355">
        <v>2.5642901079999999E-3</v>
      </c>
      <c r="K2355">
        <v>2.70752894893E-3</v>
      </c>
      <c r="L2355">
        <v>2.6523408846499999E-3</v>
      </c>
      <c r="M2355">
        <v>2.5236535166E-3</v>
      </c>
      <c r="N2355">
        <v>2.4034769301999998E-3</v>
      </c>
      <c r="O2355">
        <v>0</v>
      </c>
      <c r="P2355">
        <v>0</v>
      </c>
      <c r="Q2355">
        <v>0</v>
      </c>
      <c r="R2355" t="s">
        <v>243</v>
      </c>
    </row>
    <row r="2356" spans="1:18" x14ac:dyDescent="0.3">
      <c r="A2356" t="s">
        <v>259</v>
      </c>
      <c r="B2356" t="s">
        <v>52</v>
      </c>
      <c r="C2356" t="s">
        <v>292</v>
      </c>
      <c r="D2356">
        <v>2.8665409799999999E-3</v>
      </c>
      <c r="E2356">
        <v>3.1372323400000002E-3</v>
      </c>
      <c r="F2356">
        <v>2.35429362999999E-3</v>
      </c>
      <c r="G2356">
        <v>2.3581055099999998E-3</v>
      </c>
      <c r="H2356">
        <v>2.5132828280000001E-3</v>
      </c>
      <c r="I2356">
        <v>2.9301920630999899E-3</v>
      </c>
      <c r="J2356">
        <v>2.9324258077299999E-3</v>
      </c>
      <c r="K2356">
        <v>3.0785584805499999E-3</v>
      </c>
      <c r="L2356">
        <v>2.9906548594799999E-3</v>
      </c>
      <c r="M2356">
        <v>2.8220161829999998E-3</v>
      </c>
      <c r="N2356">
        <v>2.6682013747999999E-3</v>
      </c>
      <c r="O2356">
        <v>0</v>
      </c>
      <c r="P2356">
        <v>0</v>
      </c>
      <c r="Q2356">
        <v>0</v>
      </c>
      <c r="R2356" t="s">
        <v>243</v>
      </c>
    </row>
    <row r="2357" spans="1:18" x14ac:dyDescent="0.3">
      <c r="A2357" t="s">
        <v>259</v>
      </c>
      <c r="B2357" t="s">
        <v>52</v>
      </c>
      <c r="C2357" t="s">
        <v>293</v>
      </c>
      <c r="D2357">
        <v>3.5041794999999998E-3</v>
      </c>
      <c r="E2357">
        <v>3.7726596999999901E-3</v>
      </c>
      <c r="F2357">
        <v>2.8408862E-3</v>
      </c>
      <c r="G2357">
        <v>2.82474556E-3</v>
      </c>
      <c r="H2357">
        <v>3.0201234609999999E-3</v>
      </c>
      <c r="I2357">
        <v>3.46755193196999E-3</v>
      </c>
      <c r="J2357">
        <v>3.42362769616999E-3</v>
      </c>
      <c r="K2357">
        <v>3.5662141244900002E-3</v>
      </c>
      <c r="L2357">
        <v>3.4385129021999999E-3</v>
      </c>
      <c r="M2357">
        <v>3.21795986759999E-3</v>
      </c>
      <c r="N2357">
        <v>3.0134459629999901E-3</v>
      </c>
      <c r="O2357">
        <v>0</v>
      </c>
      <c r="P2357">
        <v>0</v>
      </c>
      <c r="Q2357">
        <v>0</v>
      </c>
      <c r="R2357" t="s">
        <v>243</v>
      </c>
    </row>
    <row r="2358" spans="1:18" x14ac:dyDescent="0.3">
      <c r="A2358" t="s">
        <v>259</v>
      </c>
      <c r="B2358" t="s">
        <v>52</v>
      </c>
      <c r="C2358" t="s">
        <v>344</v>
      </c>
      <c r="D2358" s="8">
        <v>1.7063399999999999E-6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243</v>
      </c>
    </row>
    <row r="2359" spans="1:18" x14ac:dyDescent="0.3">
      <c r="A2359" t="s">
        <v>259</v>
      </c>
      <c r="B2359" t="s">
        <v>52</v>
      </c>
      <c r="C2359" t="s">
        <v>345</v>
      </c>
      <c r="D2359" s="8">
        <v>1.61698E-7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243</v>
      </c>
    </row>
    <row r="2360" spans="1:18" x14ac:dyDescent="0.3">
      <c r="A2360" t="s">
        <v>259</v>
      </c>
      <c r="B2360" t="s">
        <v>52</v>
      </c>
      <c r="C2360" t="s">
        <v>346</v>
      </c>
      <c r="D2360" s="8">
        <v>1.09785E-6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 t="s">
        <v>243</v>
      </c>
    </row>
    <row r="2361" spans="1:18" x14ac:dyDescent="0.3">
      <c r="A2361" t="s">
        <v>259</v>
      </c>
      <c r="B2361" t="s">
        <v>52</v>
      </c>
      <c r="C2361" t="s">
        <v>347</v>
      </c>
      <c r="D2361" s="8">
        <v>8.2338400000000001E-7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">
        <v>243</v>
      </c>
    </row>
    <row r="2362" spans="1:18" x14ac:dyDescent="0.3">
      <c r="A2362" t="s">
        <v>259</v>
      </c>
      <c r="B2362" t="s">
        <v>52</v>
      </c>
      <c r="C2362" t="s">
        <v>348</v>
      </c>
      <c r="D2362" s="8">
        <v>6.8296199999999997E-7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243</v>
      </c>
    </row>
    <row r="2363" spans="1:18" x14ac:dyDescent="0.3">
      <c r="A2363" t="s">
        <v>259</v>
      </c>
      <c r="B2363" t="s">
        <v>52</v>
      </c>
      <c r="C2363" t="s">
        <v>349</v>
      </c>
      <c r="D2363" s="8">
        <v>5.78709E-7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243</v>
      </c>
    </row>
    <row r="2364" spans="1:18" x14ac:dyDescent="0.3">
      <c r="A2364" t="s">
        <v>259</v>
      </c>
      <c r="B2364" t="s">
        <v>52</v>
      </c>
      <c r="C2364" t="s">
        <v>350</v>
      </c>
      <c r="D2364" s="8">
        <v>4.9573200000000001E-7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243</v>
      </c>
    </row>
    <row r="2365" spans="1:18" x14ac:dyDescent="0.3">
      <c r="A2365" t="s">
        <v>259</v>
      </c>
      <c r="B2365" t="s">
        <v>52</v>
      </c>
      <c r="C2365" t="s">
        <v>351</v>
      </c>
      <c r="D2365" s="8">
        <v>4.2126600000000001E-7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243</v>
      </c>
    </row>
    <row r="2366" spans="1:18" x14ac:dyDescent="0.3">
      <c r="A2366" t="s">
        <v>259</v>
      </c>
      <c r="B2366" t="s">
        <v>52</v>
      </c>
      <c r="C2366" t="s">
        <v>352</v>
      </c>
      <c r="D2366" s="8">
        <v>3.5318300000000002E-7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243</v>
      </c>
    </row>
    <row r="2367" spans="1:18" x14ac:dyDescent="0.3">
      <c r="A2367" t="s">
        <v>259</v>
      </c>
      <c r="B2367" t="s">
        <v>52</v>
      </c>
      <c r="C2367" t="s">
        <v>353</v>
      </c>
      <c r="D2367" s="8">
        <v>2.7658899999999999E-7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">
        <v>243</v>
      </c>
    </row>
    <row r="2368" spans="1:18" x14ac:dyDescent="0.3">
      <c r="A2368" t="s">
        <v>259</v>
      </c>
      <c r="B2368" t="s">
        <v>52</v>
      </c>
      <c r="C2368" t="s">
        <v>294</v>
      </c>
      <c r="D2368" s="8">
        <v>1.4922266000000001E-4</v>
      </c>
      <c r="E2368" s="8">
        <v>2.9765949999999998E-4</v>
      </c>
      <c r="F2368" s="8">
        <v>3.607363E-4</v>
      </c>
      <c r="G2368" s="8">
        <v>3.2561449999999898E-4</v>
      </c>
      <c r="H2368" s="8">
        <v>3.1151828000000001E-4</v>
      </c>
      <c r="I2368" s="8">
        <v>3.2081215999999997E-4</v>
      </c>
      <c r="J2368" s="8">
        <v>3.5336999999999999E-4</v>
      </c>
      <c r="K2368" s="8">
        <v>3.7898150999999901E-4</v>
      </c>
      <c r="L2368" s="8">
        <v>4.1126001999999899E-4</v>
      </c>
      <c r="M2368" s="8">
        <v>4.3830866000000001E-4</v>
      </c>
      <c r="N2368" s="8">
        <v>4.6333938E-4</v>
      </c>
      <c r="O2368">
        <v>0</v>
      </c>
      <c r="P2368">
        <v>0</v>
      </c>
      <c r="Q2368">
        <v>0</v>
      </c>
      <c r="R2368" t="s">
        <v>243</v>
      </c>
    </row>
    <row r="2369" spans="1:18" x14ac:dyDescent="0.3">
      <c r="A2369" t="s">
        <v>259</v>
      </c>
      <c r="B2369" t="s">
        <v>52</v>
      </c>
      <c r="C2369" t="s">
        <v>295</v>
      </c>
      <c r="D2369">
        <v>1.4310777E-3</v>
      </c>
      <c r="E2369">
        <v>2.756363E-3</v>
      </c>
      <c r="F2369">
        <v>3.5638430000000001E-3</v>
      </c>
      <c r="G2369">
        <v>3.4442460000000002E-3</v>
      </c>
      <c r="H2369">
        <v>3.0833757E-3</v>
      </c>
      <c r="I2369">
        <v>3.3997187000000002E-3</v>
      </c>
      <c r="J2369">
        <v>3.5360701000000001E-3</v>
      </c>
      <c r="K2369">
        <v>3.59267597999999E-3</v>
      </c>
      <c r="L2369">
        <v>3.6817694999999998E-3</v>
      </c>
      <c r="M2369">
        <v>3.7058769000000002E-3</v>
      </c>
      <c r="N2369">
        <v>3.7045010999999998E-3</v>
      </c>
      <c r="O2369">
        <v>0</v>
      </c>
      <c r="P2369">
        <v>0</v>
      </c>
      <c r="Q2369">
        <v>0</v>
      </c>
      <c r="R2369" t="s">
        <v>243</v>
      </c>
    </row>
    <row r="2370" spans="1:18" x14ac:dyDescent="0.3">
      <c r="A2370" t="s">
        <v>259</v>
      </c>
      <c r="B2370" t="s">
        <v>52</v>
      </c>
      <c r="C2370" t="s">
        <v>296</v>
      </c>
      <c r="D2370" s="8">
        <v>2.429845E-4</v>
      </c>
      <c r="E2370" s="8">
        <v>5.152415E-4</v>
      </c>
      <c r="F2370" s="8">
        <v>6.2954959999999996E-4</v>
      </c>
      <c r="G2370" s="8">
        <v>5.8538679999999997E-4</v>
      </c>
      <c r="H2370" s="8">
        <v>5.4296558000000003E-4</v>
      </c>
      <c r="I2370" s="8">
        <v>5.65375279999999E-4</v>
      </c>
      <c r="J2370" s="8">
        <v>6.2314849999999997E-4</v>
      </c>
      <c r="K2370" s="8">
        <v>6.6768985000000003E-4</v>
      </c>
      <c r="L2370" s="8">
        <v>7.2163886999999905E-4</v>
      </c>
      <c r="M2370" s="8">
        <v>7.6686789999999897E-4</v>
      </c>
      <c r="N2370" s="8">
        <v>8.0841826000000003E-4</v>
      </c>
      <c r="O2370">
        <v>0</v>
      </c>
      <c r="P2370">
        <v>0</v>
      </c>
      <c r="Q2370">
        <v>0</v>
      </c>
      <c r="R2370" t="s">
        <v>243</v>
      </c>
    </row>
    <row r="2371" spans="1:18" x14ac:dyDescent="0.3">
      <c r="A2371" t="s">
        <v>259</v>
      </c>
      <c r="B2371" t="s">
        <v>52</v>
      </c>
      <c r="C2371" t="s">
        <v>297</v>
      </c>
      <c r="D2371" s="8">
        <v>3.2926450000000002E-4</v>
      </c>
      <c r="E2371" s="8">
        <v>6.7148040000000004E-4</v>
      </c>
      <c r="F2371" s="8">
        <v>8.4142289999999996E-4</v>
      </c>
      <c r="G2371" s="8">
        <v>7.9704519999999998E-4</v>
      </c>
      <c r="H2371" s="8">
        <v>6.7924379999999903E-4</v>
      </c>
      <c r="I2371" s="8">
        <v>7.8261525000000005E-4</v>
      </c>
      <c r="J2371" s="8">
        <v>8.5545776999999996E-4</v>
      </c>
      <c r="K2371" s="8">
        <v>9.0955685999999998E-4</v>
      </c>
      <c r="L2371" s="8">
        <v>9.7372997999999999E-4</v>
      </c>
      <c r="M2371">
        <v>1.0263224699999999E-3</v>
      </c>
      <c r="N2371">
        <v>1.0737220899999999E-3</v>
      </c>
      <c r="O2371">
        <v>0</v>
      </c>
      <c r="P2371">
        <v>0</v>
      </c>
      <c r="Q2371">
        <v>0</v>
      </c>
      <c r="R2371" t="s">
        <v>243</v>
      </c>
    </row>
    <row r="2372" spans="1:18" x14ac:dyDescent="0.3">
      <c r="A2372" t="s">
        <v>259</v>
      </c>
      <c r="B2372" t="s">
        <v>52</v>
      </c>
      <c r="C2372" t="s">
        <v>298</v>
      </c>
      <c r="D2372" s="8">
        <v>3.9807170000000003E-4</v>
      </c>
      <c r="E2372" s="8">
        <v>8.0703879999999902E-4</v>
      </c>
      <c r="F2372">
        <v>1.0253796999999999E-3</v>
      </c>
      <c r="G2372" s="8">
        <v>9.8333689999999989E-4</v>
      </c>
      <c r="H2372" s="8">
        <v>8.3913922999999998E-4</v>
      </c>
      <c r="I2372" s="8">
        <v>9.6361979999999895E-4</v>
      </c>
      <c r="J2372">
        <v>1.04877512E-3</v>
      </c>
      <c r="K2372">
        <v>1.11232341E-3</v>
      </c>
      <c r="L2372">
        <v>1.18901128E-3</v>
      </c>
      <c r="M2372">
        <v>1.2513142300000001E-3</v>
      </c>
      <c r="N2372">
        <v>1.30520197E-3</v>
      </c>
      <c r="O2372">
        <v>0</v>
      </c>
      <c r="P2372">
        <v>0</v>
      </c>
      <c r="Q2372">
        <v>0</v>
      </c>
      <c r="R2372" t="s">
        <v>243</v>
      </c>
    </row>
    <row r="2373" spans="1:18" x14ac:dyDescent="0.3">
      <c r="A2373" t="s">
        <v>259</v>
      </c>
      <c r="B2373" t="s">
        <v>52</v>
      </c>
      <c r="C2373" t="s">
        <v>299</v>
      </c>
      <c r="D2373" s="8">
        <v>4.6928539999999998E-4</v>
      </c>
      <c r="E2373" s="8">
        <v>9.4818849999999896E-4</v>
      </c>
      <c r="F2373">
        <v>1.2054809E-3</v>
      </c>
      <c r="G2373">
        <v>1.1598856E-3</v>
      </c>
      <c r="H2373" s="8">
        <v>9.9977979999999996E-4</v>
      </c>
      <c r="I2373">
        <v>1.1468410699999999E-3</v>
      </c>
      <c r="J2373">
        <v>1.24471352999999E-3</v>
      </c>
      <c r="K2373">
        <v>1.31520041E-3</v>
      </c>
      <c r="L2373">
        <v>1.4038502200000001E-3</v>
      </c>
      <c r="M2373">
        <v>1.4730233499999901E-3</v>
      </c>
      <c r="N2373">
        <v>1.5307689200000001E-3</v>
      </c>
      <c r="O2373">
        <v>0</v>
      </c>
      <c r="P2373">
        <v>0</v>
      </c>
      <c r="Q2373">
        <v>0</v>
      </c>
      <c r="R2373" t="s">
        <v>243</v>
      </c>
    </row>
    <row r="2374" spans="1:18" x14ac:dyDescent="0.3">
      <c r="A2374" t="s">
        <v>259</v>
      </c>
      <c r="B2374" t="s">
        <v>52</v>
      </c>
      <c r="C2374" t="s">
        <v>300</v>
      </c>
      <c r="D2374" s="8">
        <v>5.4610999999999896E-4</v>
      </c>
      <c r="E2374">
        <v>1.0965025E-3</v>
      </c>
      <c r="F2374">
        <v>1.3974838E-3</v>
      </c>
      <c r="G2374">
        <v>1.3502248E-3</v>
      </c>
      <c r="H2374">
        <v>1.1748709E-3</v>
      </c>
      <c r="I2374">
        <v>1.3426308999999999E-3</v>
      </c>
      <c r="J2374">
        <v>1.4503796499999999E-3</v>
      </c>
      <c r="K2374">
        <v>1.52883393E-3</v>
      </c>
      <c r="L2374">
        <v>1.6245940899999999E-3</v>
      </c>
      <c r="M2374">
        <v>1.7004502700000001E-3</v>
      </c>
      <c r="N2374">
        <v>1.762333E-3</v>
      </c>
      <c r="O2374">
        <v>0</v>
      </c>
      <c r="P2374">
        <v>0</v>
      </c>
      <c r="Q2374">
        <v>0</v>
      </c>
      <c r="R2374" t="s">
        <v>243</v>
      </c>
    </row>
    <row r="2375" spans="1:18" x14ac:dyDescent="0.3">
      <c r="A2375" t="s">
        <v>259</v>
      </c>
      <c r="B2375" t="s">
        <v>52</v>
      </c>
      <c r="C2375" t="s">
        <v>301</v>
      </c>
      <c r="D2375" s="8">
        <v>6.3732389999999995E-4</v>
      </c>
      <c r="E2375">
        <v>1.2649209E-3</v>
      </c>
      <c r="F2375">
        <v>1.6184541000000001E-3</v>
      </c>
      <c r="G2375">
        <v>1.5613928E-3</v>
      </c>
      <c r="H2375">
        <v>1.3780324999999999E-3</v>
      </c>
      <c r="I2375">
        <v>1.5671515999999999E-3</v>
      </c>
      <c r="J2375">
        <v>1.68605664999999E-3</v>
      </c>
      <c r="K2375">
        <v>1.76978013999999E-3</v>
      </c>
      <c r="L2375">
        <v>1.87421691E-3</v>
      </c>
      <c r="M2375">
        <v>1.95167884E-3</v>
      </c>
      <c r="N2375">
        <v>2.0109607199999902E-3</v>
      </c>
      <c r="O2375">
        <v>0</v>
      </c>
      <c r="P2375">
        <v>0</v>
      </c>
      <c r="Q2375">
        <v>0</v>
      </c>
      <c r="R2375" t="s">
        <v>243</v>
      </c>
    </row>
    <row r="2376" spans="1:18" x14ac:dyDescent="0.3">
      <c r="A2376" t="s">
        <v>259</v>
      </c>
      <c r="B2376" t="s">
        <v>52</v>
      </c>
      <c r="C2376" t="s">
        <v>302</v>
      </c>
      <c r="D2376" s="8">
        <v>7.4916899999999897E-4</v>
      </c>
      <c r="E2376">
        <v>1.4809456E-3</v>
      </c>
      <c r="F2376">
        <v>1.8954921E-3</v>
      </c>
      <c r="G2376">
        <v>1.8522153999999901E-3</v>
      </c>
      <c r="H2376">
        <v>1.6301471E-3</v>
      </c>
      <c r="I2376">
        <v>1.8500304E-3</v>
      </c>
      <c r="J2376">
        <v>1.9835924500000001E-3</v>
      </c>
      <c r="K2376">
        <v>2.0713020599999999E-3</v>
      </c>
      <c r="L2376">
        <v>2.1796533200000002E-3</v>
      </c>
      <c r="M2376">
        <v>2.2555543E-3</v>
      </c>
      <c r="N2376">
        <v>2.3133958399999899E-3</v>
      </c>
      <c r="O2376">
        <v>0</v>
      </c>
      <c r="P2376">
        <v>0</v>
      </c>
      <c r="Q2376">
        <v>0</v>
      </c>
      <c r="R2376" t="s">
        <v>243</v>
      </c>
    </row>
    <row r="2377" spans="1:18" x14ac:dyDescent="0.3">
      <c r="A2377" t="s">
        <v>259</v>
      </c>
      <c r="B2377" t="s">
        <v>52</v>
      </c>
      <c r="C2377" t="s">
        <v>303</v>
      </c>
      <c r="D2377" s="8">
        <v>9.3144199999999999E-4</v>
      </c>
      <c r="E2377">
        <v>1.8135554E-3</v>
      </c>
      <c r="F2377">
        <v>2.3226520000000001E-3</v>
      </c>
      <c r="G2377">
        <v>2.2399925999999999E-3</v>
      </c>
      <c r="H2377">
        <v>2.0048008E-3</v>
      </c>
      <c r="I2377">
        <v>2.2619179999999999E-3</v>
      </c>
      <c r="J2377">
        <v>2.408164E-3</v>
      </c>
      <c r="K2377">
        <v>2.5012502499999999E-3</v>
      </c>
      <c r="L2377">
        <v>2.6199866199999901E-3</v>
      </c>
      <c r="M2377">
        <v>2.6969696999999898E-3</v>
      </c>
      <c r="N2377">
        <v>2.74931859999999E-3</v>
      </c>
      <c r="O2377">
        <v>0</v>
      </c>
      <c r="P2377">
        <v>0</v>
      </c>
      <c r="Q2377">
        <v>0</v>
      </c>
      <c r="R2377" t="s">
        <v>243</v>
      </c>
    </row>
    <row r="2378" spans="1:18" x14ac:dyDescent="0.3">
      <c r="A2378" t="s">
        <v>259</v>
      </c>
      <c r="B2378" t="s">
        <v>52</v>
      </c>
      <c r="C2378" t="s">
        <v>304</v>
      </c>
      <c r="D2378" s="8">
        <v>3.3544199999999998E-4</v>
      </c>
      <c r="E2378" s="8">
        <v>8.5711800000000003E-4</v>
      </c>
      <c r="F2378" s="8">
        <v>9.1053499999999997E-4</v>
      </c>
      <c r="G2378" s="8">
        <v>6.7888400000000004E-4</v>
      </c>
      <c r="H2378" s="8">
        <v>9.0871599999999995E-4</v>
      </c>
      <c r="I2378" s="8">
        <v>9.4505100000000003E-4</v>
      </c>
      <c r="J2378">
        <v>1.0301349999999999E-3</v>
      </c>
      <c r="K2378">
        <v>1.126716E-3</v>
      </c>
      <c r="L2378">
        <v>1.22405199999999E-3</v>
      </c>
      <c r="M2378">
        <v>1.3097849999999999E-3</v>
      </c>
      <c r="N2378">
        <v>1.3917770000000001E-3</v>
      </c>
      <c r="O2378">
        <v>0</v>
      </c>
      <c r="P2378">
        <v>0</v>
      </c>
      <c r="Q2378">
        <v>0</v>
      </c>
      <c r="R2378" t="s">
        <v>243</v>
      </c>
    </row>
    <row r="2379" spans="1:18" x14ac:dyDescent="0.3">
      <c r="A2379" t="s">
        <v>259</v>
      </c>
      <c r="B2379" t="s">
        <v>52</v>
      </c>
      <c r="C2379" t="s">
        <v>305</v>
      </c>
      <c r="D2379">
        <v>1.8766399999999999E-3</v>
      </c>
      <c r="E2379">
        <v>3.6599900000000001E-3</v>
      </c>
      <c r="F2379">
        <v>4.0203000000000001E-3</v>
      </c>
      <c r="G2379">
        <v>3.4516099999999999E-3</v>
      </c>
      <c r="H2379">
        <v>3.4688799999999902E-3</v>
      </c>
      <c r="I2379">
        <v>3.5726220000000001E-3</v>
      </c>
      <c r="J2379">
        <v>3.5414169999999998E-3</v>
      </c>
      <c r="K2379">
        <v>3.5360829999999898E-3</v>
      </c>
      <c r="L2379">
        <v>3.523104E-3</v>
      </c>
      <c r="M2379">
        <v>3.4883079999999999E-3</v>
      </c>
      <c r="N2379">
        <v>3.443532E-3</v>
      </c>
      <c r="O2379">
        <v>0</v>
      </c>
      <c r="P2379">
        <v>0</v>
      </c>
      <c r="Q2379">
        <v>0</v>
      </c>
      <c r="R2379" t="s">
        <v>243</v>
      </c>
    </row>
    <row r="2380" spans="1:18" x14ac:dyDescent="0.3">
      <c r="A2380" t="s">
        <v>259</v>
      </c>
      <c r="B2380" t="s">
        <v>52</v>
      </c>
      <c r="C2380" t="s">
        <v>306</v>
      </c>
      <c r="D2380" s="8">
        <v>5.2064799999999997E-4</v>
      </c>
      <c r="E2380">
        <v>1.35943E-3</v>
      </c>
      <c r="F2380">
        <v>1.45524E-3</v>
      </c>
      <c r="G2380">
        <v>1.12985E-3</v>
      </c>
      <c r="H2380">
        <v>1.404235E-3</v>
      </c>
      <c r="I2380">
        <v>1.4564840000000001E-3</v>
      </c>
      <c r="J2380">
        <v>1.5608799999999999E-3</v>
      </c>
      <c r="K2380">
        <v>1.6860740000000001E-3</v>
      </c>
      <c r="L2380">
        <v>1.80257099999999E-3</v>
      </c>
      <c r="M2380">
        <v>1.8983469999999899E-3</v>
      </c>
      <c r="N2380">
        <v>1.982396E-3</v>
      </c>
      <c r="O2380">
        <v>0</v>
      </c>
      <c r="P2380">
        <v>0</v>
      </c>
      <c r="Q2380">
        <v>0</v>
      </c>
      <c r="R2380" t="s">
        <v>243</v>
      </c>
    </row>
    <row r="2381" spans="1:18" x14ac:dyDescent="0.3">
      <c r="A2381" t="s">
        <v>259</v>
      </c>
      <c r="B2381" t="s">
        <v>52</v>
      </c>
      <c r="C2381" t="s">
        <v>307</v>
      </c>
      <c r="D2381" s="8">
        <v>6.7686700000000005E-4</v>
      </c>
      <c r="E2381">
        <v>1.6708000000000001E-3</v>
      </c>
      <c r="F2381">
        <v>1.82369E-3</v>
      </c>
      <c r="G2381">
        <v>1.45097E-3</v>
      </c>
      <c r="H2381">
        <v>1.6441209999999999E-3</v>
      </c>
      <c r="I2381">
        <v>1.8272149999999899E-3</v>
      </c>
      <c r="J2381">
        <v>1.9265560000000001E-3</v>
      </c>
      <c r="K2381">
        <v>2.0493600000000001E-3</v>
      </c>
      <c r="L2381">
        <v>2.157773E-3</v>
      </c>
      <c r="M2381">
        <v>2.2385299999999999E-3</v>
      </c>
      <c r="N2381">
        <v>2.3038989999999999E-3</v>
      </c>
      <c r="O2381">
        <v>0</v>
      </c>
      <c r="P2381">
        <v>0</v>
      </c>
      <c r="Q2381">
        <v>0</v>
      </c>
      <c r="R2381" t="s">
        <v>243</v>
      </c>
    </row>
    <row r="2382" spans="1:18" x14ac:dyDescent="0.3">
      <c r="A2382" t="s">
        <v>259</v>
      </c>
      <c r="B2382" t="s">
        <v>52</v>
      </c>
      <c r="C2382" t="s">
        <v>308</v>
      </c>
      <c r="D2382" s="8">
        <v>7.9266000000000004E-4</v>
      </c>
      <c r="E2382">
        <v>1.9123300000000001E-3</v>
      </c>
      <c r="F2382">
        <v>2.1066800000000001E-3</v>
      </c>
      <c r="G2382">
        <v>1.70392E-3</v>
      </c>
      <c r="H2382">
        <v>1.899062E-3</v>
      </c>
      <c r="I2382">
        <v>2.0879219999999999E-3</v>
      </c>
      <c r="J2382">
        <v>2.1801609999999999E-3</v>
      </c>
      <c r="K2382">
        <v>2.298366E-3</v>
      </c>
      <c r="L2382">
        <v>2.399347E-3</v>
      </c>
      <c r="M2382">
        <v>2.4689600000000001E-3</v>
      </c>
      <c r="N2382">
        <v>2.518574E-3</v>
      </c>
      <c r="O2382">
        <v>0</v>
      </c>
      <c r="P2382">
        <v>0</v>
      </c>
      <c r="Q2382">
        <v>0</v>
      </c>
      <c r="R2382" t="s">
        <v>243</v>
      </c>
    </row>
    <row r="2383" spans="1:18" x14ac:dyDescent="0.3">
      <c r="A2383" t="s">
        <v>259</v>
      </c>
      <c r="B2383" t="s">
        <v>52</v>
      </c>
      <c r="C2383" t="s">
        <v>309</v>
      </c>
      <c r="D2383" s="8">
        <v>9.0494100000000004E-4</v>
      </c>
      <c r="E2383">
        <v>2.1387300000000001E-3</v>
      </c>
      <c r="F2383">
        <v>2.3545800000000002E-3</v>
      </c>
      <c r="G2383">
        <v>1.9207899999999999E-3</v>
      </c>
      <c r="H2383">
        <v>2.1234689999999998E-3</v>
      </c>
      <c r="I2383">
        <v>2.315522E-3</v>
      </c>
      <c r="J2383">
        <v>2.3990439999999999E-3</v>
      </c>
      <c r="K2383">
        <v>2.5062549999999898E-3</v>
      </c>
      <c r="L2383">
        <v>2.5964320000000001E-3</v>
      </c>
      <c r="M2383">
        <v>2.6512889999999998E-3</v>
      </c>
      <c r="N2383">
        <v>2.6840049999999902E-3</v>
      </c>
      <c r="O2383">
        <v>0</v>
      </c>
      <c r="P2383">
        <v>0</v>
      </c>
      <c r="Q2383">
        <v>0</v>
      </c>
      <c r="R2383" t="s">
        <v>243</v>
      </c>
    </row>
    <row r="2384" spans="1:18" x14ac:dyDescent="0.3">
      <c r="A2384" t="s">
        <v>259</v>
      </c>
      <c r="B2384" t="s">
        <v>52</v>
      </c>
      <c r="C2384" t="s">
        <v>310</v>
      </c>
      <c r="D2384">
        <v>1.0180600000000001E-3</v>
      </c>
      <c r="E2384">
        <v>2.3520199999999998E-3</v>
      </c>
      <c r="F2384">
        <v>2.5906800000000002E-3</v>
      </c>
      <c r="G2384">
        <v>2.13219E-3</v>
      </c>
      <c r="H2384">
        <v>2.3360500000000001E-3</v>
      </c>
      <c r="I2384">
        <v>2.5237549999999999E-3</v>
      </c>
      <c r="J2384">
        <v>2.593761E-3</v>
      </c>
      <c r="K2384">
        <v>2.6887809999999999E-3</v>
      </c>
      <c r="L2384">
        <v>2.7625639999999999E-3</v>
      </c>
      <c r="M2384">
        <v>2.802709E-3</v>
      </c>
      <c r="N2384">
        <v>2.8202460000000002E-3</v>
      </c>
      <c r="O2384">
        <v>0</v>
      </c>
      <c r="P2384">
        <v>0</v>
      </c>
      <c r="Q2384">
        <v>0</v>
      </c>
      <c r="R2384" t="s">
        <v>243</v>
      </c>
    </row>
    <row r="2385" spans="1:18" x14ac:dyDescent="0.3">
      <c r="A2385" t="s">
        <v>259</v>
      </c>
      <c r="B2385" t="s">
        <v>52</v>
      </c>
      <c r="C2385" t="s">
        <v>311</v>
      </c>
      <c r="D2385">
        <v>1.14237E-3</v>
      </c>
      <c r="E2385">
        <v>2.5670599999999999E-3</v>
      </c>
      <c r="F2385">
        <v>2.8306799999999999E-3</v>
      </c>
      <c r="G2385">
        <v>2.3423099999999998E-3</v>
      </c>
      <c r="H2385">
        <v>2.5476700000000001E-3</v>
      </c>
      <c r="I2385">
        <v>2.7258479999999999E-3</v>
      </c>
      <c r="J2385">
        <v>2.7808009999999998E-3</v>
      </c>
      <c r="K2385">
        <v>2.858626E-3</v>
      </c>
      <c r="L2385">
        <v>2.91574E-3</v>
      </c>
      <c r="M2385">
        <v>2.9381759999999998E-3</v>
      </c>
      <c r="N2385">
        <v>2.9386489999999898E-3</v>
      </c>
      <c r="O2385">
        <v>0</v>
      </c>
      <c r="P2385">
        <v>0</v>
      </c>
      <c r="Q2385">
        <v>0</v>
      </c>
      <c r="R2385" t="s">
        <v>243</v>
      </c>
    </row>
    <row r="2386" spans="1:18" x14ac:dyDescent="0.3">
      <c r="A2386" t="s">
        <v>259</v>
      </c>
      <c r="B2386" t="s">
        <v>52</v>
      </c>
      <c r="C2386" t="s">
        <v>312</v>
      </c>
      <c r="D2386">
        <v>1.2812100000000001E-3</v>
      </c>
      <c r="E2386">
        <v>2.80606E-3</v>
      </c>
      <c r="F2386">
        <v>3.0900599999999999E-3</v>
      </c>
      <c r="G2386">
        <v>2.5946200000000002E-3</v>
      </c>
      <c r="H2386">
        <v>2.7646099999999998E-3</v>
      </c>
      <c r="I2386">
        <v>2.933841E-3</v>
      </c>
      <c r="J2386">
        <v>2.9722079999999901E-3</v>
      </c>
      <c r="K2386">
        <v>3.0293E-3</v>
      </c>
      <c r="L2386">
        <v>3.065576E-3</v>
      </c>
      <c r="M2386">
        <v>3.0696730000000002E-3</v>
      </c>
      <c r="N2386">
        <v>3.0554529999999901E-3</v>
      </c>
      <c r="O2386">
        <v>0</v>
      </c>
      <c r="P2386">
        <v>0</v>
      </c>
      <c r="Q2386">
        <v>0</v>
      </c>
      <c r="R2386" t="s">
        <v>243</v>
      </c>
    </row>
    <row r="2387" spans="1:18" x14ac:dyDescent="0.3">
      <c r="A2387" t="s">
        <v>259</v>
      </c>
      <c r="B2387" t="s">
        <v>52</v>
      </c>
      <c r="C2387" t="s">
        <v>313</v>
      </c>
      <c r="D2387">
        <v>1.4789099999999999E-3</v>
      </c>
      <c r="E2387">
        <v>3.1067999999999998E-3</v>
      </c>
      <c r="F2387">
        <v>3.4154200000000002E-3</v>
      </c>
      <c r="G2387">
        <v>2.8742899999999998E-3</v>
      </c>
      <c r="H2387">
        <v>3.0194200000000001E-3</v>
      </c>
      <c r="I2387">
        <v>3.1690540000000001E-3</v>
      </c>
      <c r="J2387">
        <v>3.1826329999999998E-3</v>
      </c>
      <c r="K2387">
        <v>3.21573E-3</v>
      </c>
      <c r="L2387">
        <v>3.2321629999999902E-3</v>
      </c>
      <c r="M2387">
        <v>3.2197630000000001E-3</v>
      </c>
      <c r="N2387">
        <v>3.1915770000000001E-3</v>
      </c>
      <c r="O2387">
        <v>0</v>
      </c>
      <c r="P2387">
        <v>0</v>
      </c>
      <c r="Q2387">
        <v>0</v>
      </c>
      <c r="R2387" t="s">
        <v>243</v>
      </c>
    </row>
    <row r="2388" spans="1:18" x14ac:dyDescent="0.3">
      <c r="A2388" t="s">
        <v>259</v>
      </c>
      <c r="B2388" t="s">
        <v>52</v>
      </c>
      <c r="C2388" t="s">
        <v>416</v>
      </c>
      <c r="D2388" s="8">
        <v>5.2525299999999997E-6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243</v>
      </c>
    </row>
    <row r="2389" spans="1:18" x14ac:dyDescent="0.3">
      <c r="A2389" t="s">
        <v>259</v>
      </c>
      <c r="B2389" t="s">
        <v>52</v>
      </c>
      <c r="C2389" t="s">
        <v>418</v>
      </c>
      <c r="D2389" s="8">
        <v>8.6433999999999997E-7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243</v>
      </c>
    </row>
    <row r="2390" spans="1:18" x14ac:dyDescent="0.3">
      <c r="A2390" t="s">
        <v>259</v>
      </c>
      <c r="B2390" t="s">
        <v>52</v>
      </c>
      <c r="C2390" t="s">
        <v>419</v>
      </c>
      <c r="D2390" s="8">
        <v>2.6861000000000002E-7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243</v>
      </c>
    </row>
    <row r="2391" spans="1:18" x14ac:dyDescent="0.3">
      <c r="A2391" t="s">
        <v>259</v>
      </c>
      <c r="B2391" t="s">
        <v>52</v>
      </c>
      <c r="C2391" t="s">
        <v>420</v>
      </c>
      <c r="D2391" s="8">
        <v>1.2765599999999999E-7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243</v>
      </c>
    </row>
    <row r="2392" spans="1:18" x14ac:dyDescent="0.3">
      <c r="A2392" t="s">
        <v>259</v>
      </c>
      <c r="B2392" t="s">
        <v>52</v>
      </c>
      <c r="C2392" t="s">
        <v>421</v>
      </c>
      <c r="D2392" s="8">
        <v>6.6487700000000003E-8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243</v>
      </c>
    </row>
    <row r="2393" spans="1:18" x14ac:dyDescent="0.3">
      <c r="A2393" t="s">
        <v>259</v>
      </c>
      <c r="B2393" t="s">
        <v>52</v>
      </c>
      <c r="C2393" t="s">
        <v>422</v>
      </c>
      <c r="D2393" s="8">
        <v>3.4573600000000001E-8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243</v>
      </c>
    </row>
    <row r="2394" spans="1:18" x14ac:dyDescent="0.3">
      <c r="A2394" t="s">
        <v>259</v>
      </c>
      <c r="B2394" t="s">
        <v>52</v>
      </c>
      <c r="C2394" t="s">
        <v>423</v>
      </c>
      <c r="D2394" s="8">
        <v>1.8616599999999999E-8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243</v>
      </c>
    </row>
    <row r="2395" spans="1:18" x14ac:dyDescent="0.3">
      <c r="A2395" t="s">
        <v>259</v>
      </c>
      <c r="B2395" t="s">
        <v>52</v>
      </c>
      <c r="C2395" t="s">
        <v>424</v>
      </c>
      <c r="D2395" s="8">
        <v>1.0638000000000001E-8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243</v>
      </c>
    </row>
    <row r="2396" spans="1:18" x14ac:dyDescent="0.3">
      <c r="A2396" t="s">
        <v>259</v>
      </c>
      <c r="B2396" t="s">
        <v>52</v>
      </c>
      <c r="C2396" t="s">
        <v>425</v>
      </c>
      <c r="D2396" s="8">
        <v>2.6595100000000001E-9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243</v>
      </c>
    </row>
    <row r="2397" spans="1:18" x14ac:dyDescent="0.3">
      <c r="A2397" t="s">
        <v>259</v>
      </c>
      <c r="B2397" t="s">
        <v>52</v>
      </c>
      <c r="C2397" t="s">
        <v>314</v>
      </c>
      <c r="D2397" s="8">
        <v>5.2232499999999998E-5</v>
      </c>
      <c r="E2397" s="8">
        <v>1.39383E-4</v>
      </c>
      <c r="F2397" s="8">
        <v>1.49877E-4</v>
      </c>
      <c r="G2397" s="8">
        <v>1.1338200000000001E-4</v>
      </c>
      <c r="H2397" s="8">
        <v>1.3778099999999999E-4</v>
      </c>
      <c r="I2397" s="8">
        <v>1.4006500000000001E-4</v>
      </c>
      <c r="J2397" s="8">
        <v>1.47181E-4</v>
      </c>
      <c r="K2397" s="8">
        <v>1.54783E-4</v>
      </c>
      <c r="L2397" s="8">
        <v>1.61259E-4</v>
      </c>
      <c r="M2397" s="8">
        <v>1.6556900000000001E-4</v>
      </c>
      <c r="N2397" s="8">
        <v>1.6836299999999999E-4</v>
      </c>
      <c r="O2397">
        <v>0</v>
      </c>
      <c r="P2397">
        <v>0</v>
      </c>
      <c r="Q2397">
        <v>0</v>
      </c>
      <c r="R2397" t="s">
        <v>243</v>
      </c>
    </row>
    <row r="2398" spans="1:18" x14ac:dyDescent="0.3">
      <c r="A2398" t="s">
        <v>259</v>
      </c>
      <c r="B2398" t="s">
        <v>52</v>
      </c>
      <c r="C2398" t="s">
        <v>315</v>
      </c>
      <c r="D2398" s="8">
        <v>1.6610400000000001E-4</v>
      </c>
      <c r="E2398" s="8">
        <v>3.3605899999999999E-4</v>
      </c>
      <c r="F2398" s="8">
        <v>3.6893700000000001E-4</v>
      </c>
      <c r="G2398" s="8">
        <v>3.1091300000000001E-4</v>
      </c>
      <c r="H2398" s="8">
        <v>3.0425999999999999E-4</v>
      </c>
      <c r="I2398" s="8">
        <v>3.0918299999999998E-4</v>
      </c>
      <c r="J2398" s="8">
        <v>3.0514600000000001E-4</v>
      </c>
      <c r="K2398" s="8">
        <v>3.00811E-4</v>
      </c>
      <c r="L2398" s="8">
        <v>2.9637700000000001E-4</v>
      </c>
      <c r="M2398" s="8">
        <v>2.9068399999999998E-4</v>
      </c>
      <c r="N2398" s="8">
        <v>2.8399300000000002E-4</v>
      </c>
      <c r="O2398">
        <v>0</v>
      </c>
      <c r="P2398">
        <v>0</v>
      </c>
      <c r="Q2398">
        <v>0</v>
      </c>
      <c r="R2398" t="s">
        <v>243</v>
      </c>
    </row>
    <row r="2399" spans="1:18" x14ac:dyDescent="0.3">
      <c r="A2399" t="s">
        <v>259</v>
      </c>
      <c r="B2399" t="s">
        <v>52</v>
      </c>
      <c r="C2399" t="s">
        <v>316</v>
      </c>
      <c r="D2399" s="8">
        <v>7.5143900000000004E-5</v>
      </c>
      <c r="E2399" s="8">
        <v>1.9535E-4</v>
      </c>
      <c r="F2399" s="8">
        <v>2.11506E-4</v>
      </c>
      <c r="G2399" s="8">
        <v>1.67255E-4</v>
      </c>
      <c r="H2399" s="8">
        <v>1.86899E-4</v>
      </c>
      <c r="I2399" s="8">
        <v>1.8968500000000001E-4</v>
      </c>
      <c r="J2399" s="8">
        <v>1.95064E-4</v>
      </c>
      <c r="K2399" s="8">
        <v>1.99996E-4</v>
      </c>
      <c r="L2399" s="8">
        <v>2.03127E-4</v>
      </c>
      <c r="M2399" s="8">
        <v>2.0390800000000001E-4</v>
      </c>
      <c r="N2399" s="8">
        <v>2.0301600000000001E-4</v>
      </c>
      <c r="O2399">
        <v>0</v>
      </c>
      <c r="P2399">
        <v>0</v>
      </c>
      <c r="Q2399">
        <v>0</v>
      </c>
      <c r="R2399" t="s">
        <v>243</v>
      </c>
    </row>
    <row r="2400" spans="1:18" x14ac:dyDescent="0.3">
      <c r="A2400" t="s">
        <v>259</v>
      </c>
      <c r="B2400" t="s">
        <v>52</v>
      </c>
      <c r="C2400" t="s">
        <v>317</v>
      </c>
      <c r="D2400" s="8">
        <v>9.1837300000000002E-5</v>
      </c>
      <c r="E2400" s="8">
        <v>2.2305299999999999E-4</v>
      </c>
      <c r="F2400" s="8">
        <v>2.4452700000000003E-4</v>
      </c>
      <c r="G2400" s="8">
        <v>1.97856E-4</v>
      </c>
      <c r="H2400" s="8">
        <v>2.0571399999999999E-4</v>
      </c>
      <c r="I2400" s="8">
        <v>2.16987E-4</v>
      </c>
      <c r="J2400" s="8">
        <v>2.19698E-4</v>
      </c>
      <c r="K2400" s="8">
        <v>2.2161899999999999E-4</v>
      </c>
      <c r="L2400" s="8">
        <v>2.22096E-4</v>
      </c>
      <c r="M2400" s="8">
        <v>2.2050699999999999E-4</v>
      </c>
      <c r="N2400" s="8">
        <v>2.1760200000000001E-4</v>
      </c>
      <c r="O2400">
        <v>0</v>
      </c>
      <c r="P2400">
        <v>0</v>
      </c>
      <c r="Q2400">
        <v>0</v>
      </c>
      <c r="R2400" t="s">
        <v>243</v>
      </c>
    </row>
    <row r="2401" spans="1:18" x14ac:dyDescent="0.3">
      <c r="A2401" t="s">
        <v>259</v>
      </c>
      <c r="B2401" t="s">
        <v>52</v>
      </c>
      <c r="C2401" t="s">
        <v>318</v>
      </c>
      <c r="D2401" s="8">
        <v>1.02821E-4</v>
      </c>
      <c r="E2401" s="8">
        <v>2.41485E-4</v>
      </c>
      <c r="F2401" s="8">
        <v>2.6599000000000002E-4</v>
      </c>
      <c r="G2401" s="8">
        <v>2.1818799999999999E-4</v>
      </c>
      <c r="H2401" s="8">
        <v>2.2296800000000001E-4</v>
      </c>
      <c r="I2401" s="8">
        <v>2.3280499999999999E-4</v>
      </c>
      <c r="J2401" s="8">
        <v>2.33852E-4</v>
      </c>
      <c r="K2401" s="8">
        <v>2.34119E-4</v>
      </c>
      <c r="L2401" s="8">
        <v>2.3328699999999999E-4</v>
      </c>
      <c r="M2401" s="8">
        <v>2.3067000000000001E-4</v>
      </c>
      <c r="N2401" s="8">
        <v>2.2686599999999999E-4</v>
      </c>
      <c r="O2401">
        <v>0</v>
      </c>
      <c r="P2401">
        <v>0</v>
      </c>
      <c r="Q2401">
        <v>0</v>
      </c>
      <c r="R2401" t="s">
        <v>243</v>
      </c>
    </row>
    <row r="2402" spans="1:18" x14ac:dyDescent="0.3">
      <c r="A2402" t="s">
        <v>259</v>
      </c>
      <c r="B2402" t="s">
        <v>52</v>
      </c>
      <c r="C2402" t="s">
        <v>319</v>
      </c>
      <c r="D2402" s="8">
        <v>1.1244299999999999E-4</v>
      </c>
      <c r="E2402" s="8">
        <v>2.5670000000000001E-4</v>
      </c>
      <c r="F2402" s="8">
        <v>2.8244899999999999E-4</v>
      </c>
      <c r="G2402" s="8">
        <v>2.3336099999999999E-4</v>
      </c>
      <c r="H2402" s="8">
        <v>2.3619099999999999E-4</v>
      </c>
      <c r="I2402" s="8">
        <v>2.4490900000000002E-4</v>
      </c>
      <c r="J2402" s="8">
        <v>2.4470399999999999E-4</v>
      </c>
      <c r="K2402" s="8">
        <v>2.4367200000000001E-4</v>
      </c>
      <c r="L2402" s="8">
        <v>2.41979E-4</v>
      </c>
      <c r="M2402" s="8">
        <v>2.3866499999999999E-4</v>
      </c>
      <c r="N2402" s="8">
        <v>2.3428000000000001E-4</v>
      </c>
      <c r="O2402">
        <v>0</v>
      </c>
      <c r="P2402">
        <v>0</v>
      </c>
      <c r="Q2402">
        <v>0</v>
      </c>
      <c r="R2402" t="s">
        <v>243</v>
      </c>
    </row>
    <row r="2403" spans="1:18" x14ac:dyDescent="0.3">
      <c r="A2403" t="s">
        <v>259</v>
      </c>
      <c r="B2403" t="s">
        <v>52</v>
      </c>
      <c r="C2403" t="s">
        <v>320</v>
      </c>
      <c r="D2403" s="8">
        <v>1.21196E-4</v>
      </c>
      <c r="E2403" s="8">
        <v>2.6948899999999998E-4</v>
      </c>
      <c r="F2403" s="8">
        <v>2.96428E-4</v>
      </c>
      <c r="G2403" s="8">
        <v>2.4644000000000001E-4</v>
      </c>
      <c r="H2403" s="8">
        <v>2.4738199999999998E-4</v>
      </c>
      <c r="I2403" s="8">
        <v>2.54978E-4</v>
      </c>
      <c r="J2403" s="8">
        <v>2.5369100000000001E-4</v>
      </c>
      <c r="K2403" s="8">
        <v>2.5179500000000002E-4</v>
      </c>
      <c r="L2403" s="8">
        <v>2.4938400000000001E-4</v>
      </c>
      <c r="M2403" s="8">
        <v>2.4564500000000001E-4</v>
      </c>
      <c r="N2403" s="8">
        <v>2.4091100000000001E-4</v>
      </c>
      <c r="O2403">
        <v>0</v>
      </c>
      <c r="P2403">
        <v>0</v>
      </c>
      <c r="Q2403">
        <v>0</v>
      </c>
      <c r="R2403" t="s">
        <v>243</v>
      </c>
    </row>
    <row r="2404" spans="1:18" x14ac:dyDescent="0.3">
      <c r="A2404" t="s">
        <v>259</v>
      </c>
      <c r="B2404" t="s">
        <v>52</v>
      </c>
      <c r="C2404" t="s">
        <v>321</v>
      </c>
      <c r="D2404" s="8">
        <v>1.2982599999999999E-4</v>
      </c>
      <c r="E2404" s="8">
        <v>2.8115799999999999E-4</v>
      </c>
      <c r="F2404" s="8">
        <v>3.0927800000000002E-4</v>
      </c>
      <c r="G2404" s="8">
        <v>2.5804799999999998E-4</v>
      </c>
      <c r="H2404" s="8">
        <v>2.57612E-4</v>
      </c>
      <c r="I2404" s="8">
        <v>2.6421499999999999E-4</v>
      </c>
      <c r="J2404" s="8">
        <v>2.6210300000000002E-4</v>
      </c>
      <c r="K2404" s="8">
        <v>2.5949099999999999E-4</v>
      </c>
      <c r="L2404" s="8">
        <v>2.5661999999999999E-4</v>
      </c>
      <c r="M2404" s="8">
        <v>2.5246200000000001E-4</v>
      </c>
      <c r="N2404" s="8">
        <v>2.4731999999999998E-4</v>
      </c>
      <c r="O2404">
        <v>0</v>
      </c>
      <c r="P2404">
        <v>0</v>
      </c>
      <c r="Q2404">
        <v>0</v>
      </c>
      <c r="R2404" t="s">
        <v>243</v>
      </c>
    </row>
    <row r="2405" spans="1:18" x14ac:dyDescent="0.3">
      <c r="A2405" t="s">
        <v>259</v>
      </c>
      <c r="B2405" t="s">
        <v>52</v>
      </c>
      <c r="C2405" t="s">
        <v>322</v>
      </c>
      <c r="D2405" s="8">
        <v>1.3836799999999999E-4</v>
      </c>
      <c r="E2405" s="8">
        <v>2.9307200000000002E-4</v>
      </c>
      <c r="F2405" s="8">
        <v>3.2205999999999999E-4</v>
      </c>
      <c r="G2405" s="8">
        <v>2.70578E-4</v>
      </c>
      <c r="H2405" s="8">
        <v>2.6755399999999998E-4</v>
      </c>
      <c r="I2405" s="8">
        <v>2.7360999999999998E-4</v>
      </c>
      <c r="J2405" s="8">
        <v>2.7094400000000001E-4</v>
      </c>
      <c r="K2405" s="8">
        <v>2.6778000000000001E-4</v>
      </c>
      <c r="L2405" s="8">
        <v>2.64446E-4</v>
      </c>
      <c r="M2405" s="8">
        <v>2.5990600000000002E-4</v>
      </c>
      <c r="N2405" s="8">
        <v>2.54462E-4</v>
      </c>
      <c r="O2405">
        <v>0</v>
      </c>
      <c r="P2405">
        <v>0</v>
      </c>
      <c r="Q2405">
        <v>0</v>
      </c>
      <c r="R2405" t="s">
        <v>243</v>
      </c>
    </row>
    <row r="2406" spans="1:18" x14ac:dyDescent="0.3">
      <c r="A2406" t="s">
        <v>259</v>
      </c>
      <c r="B2406" t="s">
        <v>52</v>
      </c>
      <c r="C2406" t="s">
        <v>323</v>
      </c>
      <c r="D2406" s="8">
        <v>1.4885300000000001E-4</v>
      </c>
      <c r="E2406" s="8">
        <v>3.0727700000000001E-4</v>
      </c>
      <c r="F2406" s="8">
        <v>3.3733599999999998E-4</v>
      </c>
      <c r="G2406" s="8">
        <v>2.8335900000000001E-4</v>
      </c>
      <c r="H2406" s="8">
        <v>2.79351E-4</v>
      </c>
      <c r="I2406" s="8">
        <v>2.8487899999999998E-4</v>
      </c>
      <c r="J2406" s="8">
        <v>2.8164500000000002E-4</v>
      </c>
      <c r="K2406" s="8">
        <v>2.7811099999999999E-4</v>
      </c>
      <c r="L2406" s="8">
        <v>2.7453500000000001E-4</v>
      </c>
      <c r="M2406" s="8">
        <v>2.6974799999999999E-4</v>
      </c>
      <c r="N2406" s="8">
        <v>2.6397699999999998E-4</v>
      </c>
      <c r="O2406">
        <v>0</v>
      </c>
      <c r="P2406">
        <v>0</v>
      </c>
      <c r="Q2406">
        <v>0</v>
      </c>
      <c r="R2406" t="s">
        <v>243</v>
      </c>
    </row>
    <row r="2407" spans="1:18" x14ac:dyDescent="0.3">
      <c r="A2407" t="s">
        <v>259</v>
      </c>
      <c r="B2407" t="s">
        <v>54</v>
      </c>
      <c r="C2407" t="s">
        <v>261</v>
      </c>
      <c r="D2407" s="8">
        <v>5.5957900000000004E-4</v>
      </c>
      <c r="E2407" s="8">
        <v>6.5534600000000001E-4</v>
      </c>
      <c r="F2407">
        <v>1.3299329999999999E-3</v>
      </c>
      <c r="G2407">
        <v>1.4499355E-3</v>
      </c>
      <c r="H2407">
        <v>2.2721544999999999E-3</v>
      </c>
      <c r="I2407">
        <v>2.9053783999999998E-3</v>
      </c>
      <c r="J2407">
        <v>3.4015273000000002E-3</v>
      </c>
      <c r="K2407">
        <v>3.9568761000000003E-3</v>
      </c>
      <c r="L2407">
        <v>4.2985669999999997E-3</v>
      </c>
      <c r="M2407">
        <v>4.4856815999999898E-3</v>
      </c>
      <c r="N2407">
        <v>4.5608609800000003E-3</v>
      </c>
      <c r="O2407">
        <v>0</v>
      </c>
      <c r="P2407">
        <v>0</v>
      </c>
      <c r="Q2407">
        <v>0</v>
      </c>
      <c r="R2407" t="s">
        <v>243</v>
      </c>
    </row>
    <row r="2408" spans="1:18" x14ac:dyDescent="0.3">
      <c r="A2408" t="s">
        <v>259</v>
      </c>
      <c r="B2408" t="s">
        <v>54</v>
      </c>
      <c r="C2408" t="s">
        <v>262</v>
      </c>
      <c r="D2408">
        <v>2.0678861999999999E-2</v>
      </c>
      <c r="E2408">
        <v>4.2070956E-2</v>
      </c>
      <c r="F2408">
        <v>3.07944439599999E-2</v>
      </c>
      <c r="G2408">
        <v>2.7834542720000001E-2</v>
      </c>
      <c r="H2408">
        <v>2.8520726857399901E-2</v>
      </c>
      <c r="I2408">
        <v>3.4308956312799899E-2</v>
      </c>
      <c r="J2408">
        <v>3.7720274522399899E-2</v>
      </c>
      <c r="K2408">
        <v>3.8222739608299999E-2</v>
      </c>
      <c r="L2408">
        <v>3.6537518988749899E-2</v>
      </c>
      <c r="M2408">
        <v>3.5433572048389997E-2</v>
      </c>
      <c r="N2408">
        <v>3.334479368802E-2</v>
      </c>
      <c r="O2408">
        <v>0</v>
      </c>
      <c r="P2408">
        <v>0</v>
      </c>
      <c r="Q2408">
        <v>0</v>
      </c>
      <c r="R2408" t="s">
        <v>243</v>
      </c>
    </row>
    <row r="2409" spans="1:18" x14ac:dyDescent="0.3">
      <c r="A2409" t="s">
        <v>259</v>
      </c>
      <c r="B2409" t="s">
        <v>54</v>
      </c>
      <c r="C2409" t="s">
        <v>263</v>
      </c>
      <c r="D2409">
        <v>2.040142E-2</v>
      </c>
      <c r="E2409">
        <v>4.68570798E-2</v>
      </c>
      <c r="F2409">
        <v>5.2796720009999902E-2</v>
      </c>
      <c r="G2409">
        <v>5.1426720009999899E-2</v>
      </c>
      <c r="H2409">
        <v>6.2352812090000001E-2</v>
      </c>
      <c r="I2409">
        <v>7.9102736509999994E-2</v>
      </c>
      <c r="J2409">
        <v>9.1533535690000001E-2</v>
      </c>
      <c r="K2409">
        <v>0.10052385451</v>
      </c>
      <c r="L2409">
        <v>0.10538505141</v>
      </c>
      <c r="M2409">
        <v>0.10770752356</v>
      </c>
      <c r="N2409">
        <v>0.10765275846199999</v>
      </c>
      <c r="O2409">
        <v>0</v>
      </c>
      <c r="P2409">
        <v>0</v>
      </c>
      <c r="Q2409">
        <v>0</v>
      </c>
      <c r="R2409" t="s">
        <v>243</v>
      </c>
    </row>
    <row r="2410" spans="1:18" x14ac:dyDescent="0.3">
      <c r="A2410" t="s">
        <v>259</v>
      </c>
      <c r="B2410" t="s">
        <v>54</v>
      </c>
      <c r="C2410" t="s">
        <v>324</v>
      </c>
      <c r="D2410" s="8">
        <v>5.4252200000000003E-4</v>
      </c>
      <c r="E2410" s="8">
        <v>1.13076E-5</v>
      </c>
      <c r="F2410" s="8">
        <v>8.0844599999999992E-6</v>
      </c>
      <c r="G2410" s="8">
        <v>6.4309700000000005E-5</v>
      </c>
      <c r="H2410" s="8">
        <v>7.9492600000000005E-5</v>
      </c>
      <c r="I2410" s="8">
        <v>8.9834899999999894E-5</v>
      </c>
      <c r="J2410" s="8">
        <v>9.4218399999999999E-5</v>
      </c>
      <c r="K2410" s="8">
        <v>9.6825300000000003E-5</v>
      </c>
      <c r="L2410" s="8">
        <v>9.7292000000000003E-5</v>
      </c>
      <c r="M2410" s="8">
        <v>9.6576299999999999E-5</v>
      </c>
      <c r="N2410" s="8">
        <v>9.5115299999999994E-5</v>
      </c>
      <c r="O2410">
        <v>0</v>
      </c>
      <c r="P2410">
        <v>0</v>
      </c>
      <c r="Q2410">
        <v>0</v>
      </c>
      <c r="R2410" t="s">
        <v>243</v>
      </c>
    </row>
    <row r="2411" spans="1:18" x14ac:dyDescent="0.3">
      <c r="A2411" t="s">
        <v>259</v>
      </c>
      <c r="B2411" t="s">
        <v>54</v>
      </c>
      <c r="C2411" t="s">
        <v>325</v>
      </c>
      <c r="D2411" s="8">
        <v>6.5642799999999994E-5</v>
      </c>
      <c r="E2411" s="8">
        <v>1.00212E-6</v>
      </c>
      <c r="F2411" s="8">
        <v>8.2608100000000002E-7</v>
      </c>
      <c r="G2411" s="8">
        <v>7.0111399999999999E-6</v>
      </c>
      <c r="H2411" s="8">
        <v>7.31829E-6</v>
      </c>
      <c r="I2411" s="8">
        <v>7.51615E-6</v>
      </c>
      <c r="J2411" s="8">
        <v>7.4636930000000002E-6</v>
      </c>
      <c r="K2411" s="8">
        <v>7.4206520000000003E-6</v>
      </c>
      <c r="L2411" s="8">
        <v>7.3188799999999998E-6</v>
      </c>
      <c r="M2411" s="8">
        <v>7.1765599999999998E-6</v>
      </c>
      <c r="N2411" s="8">
        <v>7.0234200000000001E-6</v>
      </c>
      <c r="O2411">
        <v>0</v>
      </c>
      <c r="P2411">
        <v>0</v>
      </c>
      <c r="Q2411">
        <v>0</v>
      </c>
      <c r="R2411" t="s">
        <v>243</v>
      </c>
    </row>
    <row r="2412" spans="1:18" x14ac:dyDescent="0.3">
      <c r="A2412" t="s">
        <v>259</v>
      </c>
      <c r="B2412" t="s">
        <v>54</v>
      </c>
      <c r="C2412" t="s">
        <v>326</v>
      </c>
      <c r="D2412" s="8">
        <v>3.8519699999999999E-4</v>
      </c>
      <c r="E2412" s="8">
        <v>8.0429799999999994E-6</v>
      </c>
      <c r="F2412" s="8">
        <v>5.6619099999999998E-6</v>
      </c>
      <c r="G2412" s="8">
        <v>4.54405E-5</v>
      </c>
      <c r="H2412" s="8">
        <v>5.0686699999999997E-5</v>
      </c>
      <c r="I2412" s="8">
        <v>5.4860400000000001E-5</v>
      </c>
      <c r="J2412" s="8">
        <v>5.6388570000000002E-5</v>
      </c>
      <c r="K2412" s="8">
        <v>5.7314839999999998E-5</v>
      </c>
      <c r="L2412" s="8">
        <v>5.7277000000000001E-5</v>
      </c>
      <c r="M2412" s="8">
        <v>5.6706680000000002E-5</v>
      </c>
      <c r="N2412" s="8">
        <v>5.5840310000000002E-5</v>
      </c>
      <c r="O2412">
        <v>0</v>
      </c>
      <c r="P2412">
        <v>0</v>
      </c>
      <c r="Q2412">
        <v>0</v>
      </c>
      <c r="R2412" t="s">
        <v>243</v>
      </c>
    </row>
    <row r="2413" spans="1:18" x14ac:dyDescent="0.3">
      <c r="A2413" t="s">
        <v>259</v>
      </c>
      <c r="B2413" t="s">
        <v>54</v>
      </c>
      <c r="C2413" t="s">
        <v>327</v>
      </c>
      <c r="D2413" s="8">
        <v>3.0180400000000003E-4</v>
      </c>
      <c r="E2413" s="8">
        <v>6.2590800000000002E-6</v>
      </c>
      <c r="F2413" s="8">
        <v>4.48312E-6</v>
      </c>
      <c r="G2413" s="8">
        <v>3.58696E-5</v>
      </c>
      <c r="H2413" s="8">
        <v>3.8775300000000001E-5</v>
      </c>
      <c r="I2413" s="8">
        <v>4.1493499999999998E-5</v>
      </c>
      <c r="J2413" s="8">
        <v>4.2222840000000001E-5</v>
      </c>
      <c r="K2413" s="8">
        <v>4.2672020000000002E-5</v>
      </c>
      <c r="L2413" s="8">
        <v>4.2493239999999998E-5</v>
      </c>
      <c r="M2413" s="8">
        <v>4.1934129999999998E-5</v>
      </c>
      <c r="N2413" s="8">
        <v>4.1189890000000003E-5</v>
      </c>
      <c r="O2413">
        <v>0</v>
      </c>
      <c r="P2413">
        <v>0</v>
      </c>
      <c r="Q2413">
        <v>0</v>
      </c>
      <c r="R2413" t="s">
        <v>243</v>
      </c>
    </row>
    <row r="2414" spans="1:18" x14ac:dyDescent="0.3">
      <c r="A2414" t="s">
        <v>259</v>
      </c>
      <c r="B2414" t="s">
        <v>54</v>
      </c>
      <c r="C2414" t="s">
        <v>328</v>
      </c>
      <c r="D2414" s="8">
        <v>2.57781E-4</v>
      </c>
      <c r="E2414" s="8">
        <v>5.1290299999999999E-6</v>
      </c>
      <c r="F2414" s="8">
        <v>3.7034399999999998E-6</v>
      </c>
      <c r="G2414" s="8">
        <v>2.9826900000000001E-5</v>
      </c>
      <c r="H2414" s="8">
        <v>3.1693899999999998E-5</v>
      </c>
      <c r="I2414" s="8">
        <v>3.3554060000000002E-5</v>
      </c>
      <c r="J2414" s="8">
        <v>3.40012899999999E-5</v>
      </c>
      <c r="K2414" s="8">
        <v>3.4274469999999902E-5</v>
      </c>
      <c r="L2414" s="8">
        <v>3.4081539999999998E-5</v>
      </c>
      <c r="M2414" s="8">
        <v>3.3639680000000001E-5</v>
      </c>
      <c r="N2414" s="8">
        <v>3.3068209999999997E-5</v>
      </c>
      <c r="O2414">
        <v>0</v>
      </c>
      <c r="P2414">
        <v>0</v>
      </c>
      <c r="Q2414">
        <v>0</v>
      </c>
      <c r="R2414" t="s">
        <v>243</v>
      </c>
    </row>
    <row r="2415" spans="1:18" x14ac:dyDescent="0.3">
      <c r="A2415" t="s">
        <v>259</v>
      </c>
      <c r="B2415" t="s">
        <v>54</v>
      </c>
      <c r="C2415" t="s">
        <v>329</v>
      </c>
      <c r="D2415" s="8">
        <v>2.2251399999999999E-4</v>
      </c>
      <c r="E2415" s="8">
        <v>4.2453699999999996E-6</v>
      </c>
      <c r="F2415" s="8">
        <v>3.13957E-6</v>
      </c>
      <c r="G2415" s="8">
        <v>2.5236899999999999E-5</v>
      </c>
      <c r="H2415" s="8">
        <v>2.64370999999999E-5</v>
      </c>
      <c r="I2415" s="8">
        <v>2.7872469999999999E-5</v>
      </c>
      <c r="J2415" s="8">
        <v>2.8158359999999999E-5</v>
      </c>
      <c r="K2415" s="8">
        <v>2.8326619999999999E-5</v>
      </c>
      <c r="L2415" s="8">
        <v>2.8128950000000001E-5</v>
      </c>
      <c r="M2415" s="8">
        <v>2.77094299999999E-5</v>
      </c>
      <c r="N2415" s="8">
        <v>2.72151E-5</v>
      </c>
      <c r="O2415">
        <v>0</v>
      </c>
      <c r="P2415">
        <v>0</v>
      </c>
      <c r="Q2415">
        <v>0</v>
      </c>
      <c r="R2415" t="s">
        <v>243</v>
      </c>
    </row>
    <row r="2416" spans="1:18" x14ac:dyDescent="0.3">
      <c r="A2416" t="s">
        <v>259</v>
      </c>
      <c r="B2416" t="s">
        <v>54</v>
      </c>
      <c r="C2416" t="s">
        <v>330</v>
      </c>
      <c r="D2416" s="8">
        <v>1.9056300000000001E-4</v>
      </c>
      <c r="E2416" s="8">
        <v>3.5536000000000002E-6</v>
      </c>
      <c r="F2416" s="8">
        <v>2.6963700000000002E-6</v>
      </c>
      <c r="G2416" s="8">
        <v>2.1681299999999999E-5</v>
      </c>
      <c r="H2416" s="8">
        <v>2.259989E-5</v>
      </c>
      <c r="I2416" s="8">
        <v>2.3727389999999998E-5</v>
      </c>
      <c r="J2416" s="8">
        <v>2.3896569999999999E-5</v>
      </c>
      <c r="K2416" s="8">
        <v>2.396725E-5</v>
      </c>
      <c r="L2416" s="8">
        <v>2.375051E-5</v>
      </c>
      <c r="M2416" s="8">
        <v>2.338126E-5</v>
      </c>
      <c r="N2416" s="8">
        <v>2.2948539999999998E-5</v>
      </c>
      <c r="O2416">
        <v>0</v>
      </c>
      <c r="P2416">
        <v>0</v>
      </c>
      <c r="Q2416">
        <v>0</v>
      </c>
      <c r="R2416" t="s">
        <v>243</v>
      </c>
    </row>
    <row r="2417" spans="1:18" x14ac:dyDescent="0.3">
      <c r="A2417" t="s">
        <v>259</v>
      </c>
      <c r="B2417" t="s">
        <v>54</v>
      </c>
      <c r="C2417" t="s">
        <v>331</v>
      </c>
      <c r="D2417" s="8">
        <v>1.6144600000000001E-4</v>
      </c>
      <c r="E2417" s="8">
        <v>2.9850300000000002E-6</v>
      </c>
      <c r="F2417" s="8">
        <v>2.3065299999999998E-6</v>
      </c>
      <c r="G2417" s="8">
        <v>1.8851E-5</v>
      </c>
      <c r="H2417" s="8">
        <v>1.9727890000000001E-5</v>
      </c>
      <c r="I2417" s="8">
        <v>2.0581430000000001E-5</v>
      </c>
      <c r="J2417" s="8">
        <v>2.065949E-5</v>
      </c>
      <c r="K2417" s="8">
        <v>2.071499E-5</v>
      </c>
      <c r="L2417" s="8">
        <v>2.053473E-5</v>
      </c>
      <c r="M2417" s="8">
        <v>2.0209669999999999E-5</v>
      </c>
      <c r="N2417" s="8">
        <v>1.98299999999999E-5</v>
      </c>
      <c r="O2417">
        <v>0</v>
      </c>
      <c r="P2417">
        <v>0</v>
      </c>
      <c r="Q2417">
        <v>0</v>
      </c>
      <c r="R2417" t="s">
        <v>243</v>
      </c>
    </row>
    <row r="2418" spans="1:18" x14ac:dyDescent="0.3">
      <c r="A2418" t="s">
        <v>259</v>
      </c>
      <c r="B2418" t="s">
        <v>54</v>
      </c>
      <c r="C2418" t="s">
        <v>332</v>
      </c>
      <c r="D2418" s="8">
        <v>1.3558E-4</v>
      </c>
      <c r="E2418" s="8">
        <v>2.4543500000000001E-6</v>
      </c>
      <c r="F2418" s="8">
        <v>1.9375800000000002E-6</v>
      </c>
      <c r="G2418" s="8">
        <v>1.5722800000000001E-5</v>
      </c>
      <c r="H2418" s="8">
        <v>1.63497E-5</v>
      </c>
      <c r="I2418" s="8">
        <v>1.7022209999999998E-5</v>
      </c>
      <c r="J2418" s="8">
        <v>1.7051319999999999E-5</v>
      </c>
      <c r="K2418" s="8">
        <v>1.7056309999999999E-5</v>
      </c>
      <c r="L2418" s="8">
        <v>1.6884210000000001E-5</v>
      </c>
      <c r="M2418" s="8">
        <v>1.659801E-5</v>
      </c>
      <c r="N2418" s="8">
        <v>1.627501E-5</v>
      </c>
      <c r="O2418">
        <v>0</v>
      </c>
      <c r="P2418">
        <v>0</v>
      </c>
      <c r="Q2418">
        <v>0</v>
      </c>
      <c r="R2418" t="s">
        <v>243</v>
      </c>
    </row>
    <row r="2419" spans="1:18" x14ac:dyDescent="0.3">
      <c r="A2419" t="s">
        <v>259</v>
      </c>
      <c r="B2419" t="s">
        <v>54</v>
      </c>
      <c r="C2419" t="s">
        <v>333</v>
      </c>
      <c r="D2419" s="8">
        <v>1.0238699999999999E-4</v>
      </c>
      <c r="E2419" s="8">
        <v>1.92605E-6</v>
      </c>
      <c r="F2419" s="8">
        <v>1.50365E-6</v>
      </c>
      <c r="G2419" s="8">
        <v>1.2494600000000001E-5</v>
      </c>
      <c r="H2419" s="8">
        <v>1.3027869999999901E-5</v>
      </c>
      <c r="I2419" s="8">
        <v>1.347581E-5</v>
      </c>
      <c r="J2419" s="8">
        <v>1.345116E-5</v>
      </c>
      <c r="K2419" s="8">
        <v>1.3434050000000001E-5</v>
      </c>
      <c r="L2419" s="8">
        <v>1.32791E-5</v>
      </c>
      <c r="M2419" s="8">
        <v>1.303581E-5</v>
      </c>
      <c r="N2419" s="8">
        <v>1.2766529999999999E-5</v>
      </c>
      <c r="O2419">
        <v>0</v>
      </c>
      <c r="P2419">
        <v>0</v>
      </c>
      <c r="Q2419">
        <v>0</v>
      </c>
      <c r="R2419" t="s">
        <v>243</v>
      </c>
    </row>
    <row r="2420" spans="1:18" x14ac:dyDescent="0.3">
      <c r="A2420" t="s">
        <v>259</v>
      </c>
      <c r="B2420" t="s">
        <v>54</v>
      </c>
      <c r="C2420" t="s">
        <v>264</v>
      </c>
      <c r="D2420">
        <v>1.752965769E-3</v>
      </c>
      <c r="E2420">
        <v>3.4144122959999901E-3</v>
      </c>
      <c r="F2420">
        <v>3.77323428899999E-3</v>
      </c>
      <c r="G2420">
        <v>3.5313257999999999E-3</v>
      </c>
      <c r="H2420">
        <v>4.4770791569999999E-3</v>
      </c>
      <c r="I2420">
        <v>5.2465653479999898E-3</v>
      </c>
      <c r="J2420">
        <v>5.5639561809999998E-3</v>
      </c>
      <c r="K2420">
        <v>5.7246108890000001E-3</v>
      </c>
      <c r="L2420">
        <v>5.7032079599999997E-3</v>
      </c>
      <c r="M2420">
        <v>5.5866859170000003E-3</v>
      </c>
      <c r="N2420">
        <v>5.4623621589999999E-3</v>
      </c>
      <c r="O2420">
        <v>0</v>
      </c>
      <c r="P2420">
        <v>0</v>
      </c>
      <c r="Q2420">
        <v>0</v>
      </c>
      <c r="R2420" t="s">
        <v>243</v>
      </c>
    </row>
    <row r="2421" spans="1:18" x14ac:dyDescent="0.3">
      <c r="A2421" t="s">
        <v>259</v>
      </c>
      <c r="B2421" t="s">
        <v>54</v>
      </c>
      <c r="C2421" t="s">
        <v>265</v>
      </c>
      <c r="D2421">
        <v>6.23678173E-3</v>
      </c>
      <c r="E2421">
        <v>1.5974769059999901E-2</v>
      </c>
      <c r="F2421">
        <v>1.5759054959999901E-2</v>
      </c>
      <c r="G2421">
        <v>1.375788314E-2</v>
      </c>
      <c r="H2421">
        <v>1.4206887180000001E-2</v>
      </c>
      <c r="I2421">
        <v>1.474556197E-2</v>
      </c>
      <c r="J2421">
        <v>1.4592612969999899E-2</v>
      </c>
      <c r="K2421">
        <v>1.4491064987999999E-2</v>
      </c>
      <c r="L2421">
        <v>1.416001089E-2</v>
      </c>
      <c r="M2421">
        <v>1.3683426590000001E-2</v>
      </c>
      <c r="N2421">
        <v>1.32947033299999E-2</v>
      </c>
      <c r="O2421">
        <v>0</v>
      </c>
      <c r="P2421">
        <v>0</v>
      </c>
      <c r="Q2421">
        <v>0</v>
      </c>
      <c r="R2421" t="s">
        <v>243</v>
      </c>
    </row>
    <row r="2422" spans="1:18" x14ac:dyDescent="0.3">
      <c r="A2422" t="s">
        <v>259</v>
      </c>
      <c r="B2422" t="s">
        <v>54</v>
      </c>
      <c r="C2422" t="s">
        <v>266</v>
      </c>
      <c r="D2422">
        <v>2.7216534199999902E-3</v>
      </c>
      <c r="E2422">
        <v>6.04812014699999E-3</v>
      </c>
      <c r="F2422">
        <v>6.5564324100000002E-3</v>
      </c>
      <c r="G2422">
        <v>5.9297202400000002E-3</v>
      </c>
      <c r="H2422">
        <v>6.5917637529999996E-3</v>
      </c>
      <c r="I2422">
        <v>7.2429515359999997E-3</v>
      </c>
      <c r="J2422">
        <v>7.4443923929999999E-3</v>
      </c>
      <c r="K2422">
        <v>7.5573485179999999E-3</v>
      </c>
      <c r="L2422">
        <v>7.481673738E-3</v>
      </c>
      <c r="M2422">
        <v>7.3028911029999997E-3</v>
      </c>
      <c r="N2422">
        <v>7.1387817990000001E-3</v>
      </c>
      <c r="O2422">
        <v>0</v>
      </c>
      <c r="P2422">
        <v>0</v>
      </c>
      <c r="Q2422">
        <v>0</v>
      </c>
      <c r="R2422" t="s">
        <v>243</v>
      </c>
    </row>
    <row r="2423" spans="1:18" x14ac:dyDescent="0.3">
      <c r="A2423" t="s">
        <v>259</v>
      </c>
      <c r="B2423" t="s">
        <v>54</v>
      </c>
      <c r="C2423" t="s">
        <v>267</v>
      </c>
      <c r="D2423">
        <v>3.318332391E-3</v>
      </c>
      <c r="E2423">
        <v>7.5926446999999998E-3</v>
      </c>
      <c r="F2423">
        <v>7.9677272799999997E-3</v>
      </c>
      <c r="G2423">
        <v>7.1535789299999996E-3</v>
      </c>
      <c r="H2423">
        <v>7.66558347E-3</v>
      </c>
      <c r="I2423">
        <v>8.2977941099999994E-3</v>
      </c>
      <c r="J2423">
        <v>8.4276664450000007E-3</v>
      </c>
      <c r="K2423">
        <v>8.5066967180000008E-3</v>
      </c>
      <c r="L2423">
        <v>8.3915376980000008E-3</v>
      </c>
      <c r="M2423">
        <v>8.1634822889999903E-3</v>
      </c>
      <c r="N2423">
        <v>7.9603632939999995E-3</v>
      </c>
      <c r="O2423">
        <v>0</v>
      </c>
      <c r="P2423">
        <v>0</v>
      </c>
      <c r="Q2423">
        <v>0</v>
      </c>
      <c r="R2423" t="s">
        <v>243</v>
      </c>
    </row>
    <row r="2424" spans="1:18" x14ac:dyDescent="0.3">
      <c r="A2424" t="s">
        <v>259</v>
      </c>
      <c r="B2424" t="s">
        <v>54</v>
      </c>
      <c r="C2424" t="s">
        <v>268</v>
      </c>
      <c r="D2424">
        <v>3.6721185589999898E-3</v>
      </c>
      <c r="E2424">
        <v>8.6905372099999999E-3</v>
      </c>
      <c r="F2424">
        <v>9.0013527599999994E-3</v>
      </c>
      <c r="G2424">
        <v>8.0148235299999995E-3</v>
      </c>
      <c r="H2424">
        <v>8.4302324239999993E-3</v>
      </c>
      <c r="I2424">
        <v>9.0201459660000007E-3</v>
      </c>
      <c r="J2424">
        <v>9.1165563899999903E-3</v>
      </c>
      <c r="K2424">
        <v>9.1785429029999904E-3</v>
      </c>
      <c r="L2424">
        <v>9.0415675170000005E-3</v>
      </c>
      <c r="M2424">
        <v>8.7966359760000001E-3</v>
      </c>
      <c r="N2424">
        <v>8.5845563320000005E-3</v>
      </c>
      <c r="O2424">
        <v>0</v>
      </c>
      <c r="P2424">
        <v>0</v>
      </c>
      <c r="Q2424">
        <v>0</v>
      </c>
      <c r="R2424" t="s">
        <v>243</v>
      </c>
    </row>
    <row r="2425" spans="1:18" x14ac:dyDescent="0.3">
      <c r="A2425" t="s">
        <v>259</v>
      </c>
      <c r="B2425" t="s">
        <v>54</v>
      </c>
      <c r="C2425" t="s">
        <v>269</v>
      </c>
      <c r="D2425">
        <v>3.9837276019999996E-3</v>
      </c>
      <c r="E2425">
        <v>9.6517107199999997E-3</v>
      </c>
      <c r="F2425">
        <v>9.8393444099999904E-3</v>
      </c>
      <c r="G2425">
        <v>8.7510339199999999E-3</v>
      </c>
      <c r="H2425">
        <v>9.07144532999999E-3</v>
      </c>
      <c r="I2425">
        <v>9.6628639749999894E-3</v>
      </c>
      <c r="J2425">
        <v>9.7323707479999993E-3</v>
      </c>
      <c r="K2425">
        <v>9.7791642209999995E-3</v>
      </c>
      <c r="L2425">
        <v>9.620142961E-3</v>
      </c>
      <c r="M2425">
        <v>9.3407157599999999E-3</v>
      </c>
      <c r="N2425">
        <v>9.1077513399999994E-3</v>
      </c>
      <c r="O2425">
        <v>0</v>
      </c>
      <c r="P2425">
        <v>0</v>
      </c>
      <c r="Q2425">
        <v>0</v>
      </c>
      <c r="R2425" t="s">
        <v>243</v>
      </c>
    </row>
    <row r="2426" spans="1:18" x14ac:dyDescent="0.3">
      <c r="A2426" t="s">
        <v>259</v>
      </c>
      <c r="B2426" t="s">
        <v>54</v>
      </c>
      <c r="C2426" t="s">
        <v>270</v>
      </c>
      <c r="D2426">
        <v>4.2965178710000001E-3</v>
      </c>
      <c r="E2426">
        <v>1.050669949E-2</v>
      </c>
      <c r="F2426">
        <v>1.05763201E-2</v>
      </c>
      <c r="G2426">
        <v>9.3944176100000006E-3</v>
      </c>
      <c r="H2426">
        <v>9.6891059300000006E-3</v>
      </c>
      <c r="I2426">
        <v>1.0277083166E-2</v>
      </c>
      <c r="J2426">
        <v>1.03171393659999E-2</v>
      </c>
      <c r="K2426">
        <v>1.0335922896999999E-2</v>
      </c>
      <c r="L2426">
        <v>1.01468474609999E-2</v>
      </c>
      <c r="M2426">
        <v>9.845272112E-3</v>
      </c>
      <c r="N2426">
        <v>9.5932758200000003E-3</v>
      </c>
      <c r="O2426">
        <v>0</v>
      </c>
      <c r="P2426">
        <v>0</v>
      </c>
      <c r="Q2426">
        <v>0</v>
      </c>
      <c r="R2426" t="s">
        <v>243</v>
      </c>
    </row>
    <row r="2427" spans="1:18" x14ac:dyDescent="0.3">
      <c r="A2427" t="s">
        <v>259</v>
      </c>
      <c r="B2427" t="s">
        <v>54</v>
      </c>
      <c r="C2427" t="s">
        <v>271</v>
      </c>
      <c r="D2427">
        <v>4.6176397469999998E-3</v>
      </c>
      <c r="E2427">
        <v>1.13120713599999E-2</v>
      </c>
      <c r="F2427">
        <v>1.130389021E-2</v>
      </c>
      <c r="G2427">
        <v>9.9711458599999903E-3</v>
      </c>
      <c r="H2427">
        <v>1.032308184E-2</v>
      </c>
      <c r="I2427">
        <v>1.0881347810999999E-2</v>
      </c>
      <c r="J2427">
        <v>1.0887739917999999E-2</v>
      </c>
      <c r="K2427">
        <v>1.0903977081000001E-2</v>
      </c>
      <c r="L2427">
        <v>1.0708422759E-2</v>
      </c>
      <c r="M2427">
        <v>1.03872173469999E-2</v>
      </c>
      <c r="N2427">
        <v>1.011843613E-2</v>
      </c>
      <c r="O2427">
        <v>0</v>
      </c>
      <c r="P2427">
        <v>0</v>
      </c>
      <c r="Q2427">
        <v>0</v>
      </c>
      <c r="R2427" t="s">
        <v>243</v>
      </c>
    </row>
    <row r="2428" spans="1:18" x14ac:dyDescent="0.3">
      <c r="A2428" t="s">
        <v>259</v>
      </c>
      <c r="B2428" t="s">
        <v>54</v>
      </c>
      <c r="C2428" t="s">
        <v>272</v>
      </c>
      <c r="D2428">
        <v>4.9448327909999996E-3</v>
      </c>
      <c r="E2428">
        <v>1.21908434299999E-2</v>
      </c>
      <c r="F2428">
        <v>1.2099417729999999E-2</v>
      </c>
      <c r="G2428">
        <v>1.070079694E-2</v>
      </c>
      <c r="H2428">
        <v>1.1009523329999899E-2</v>
      </c>
      <c r="I2428">
        <v>1.1581107865999999E-2</v>
      </c>
      <c r="J2428">
        <v>1.1561939939E-2</v>
      </c>
      <c r="K2428">
        <v>1.15520249679999E-2</v>
      </c>
      <c r="L2428">
        <v>1.132891967E-2</v>
      </c>
      <c r="M2428">
        <v>1.0976239356999999E-2</v>
      </c>
      <c r="N2428">
        <v>1.0684955649999999E-2</v>
      </c>
      <c r="O2428">
        <v>0</v>
      </c>
      <c r="P2428">
        <v>0</v>
      </c>
      <c r="Q2428">
        <v>0</v>
      </c>
      <c r="R2428" t="s">
        <v>243</v>
      </c>
    </row>
    <row r="2429" spans="1:18" x14ac:dyDescent="0.3">
      <c r="A2429" t="s">
        <v>259</v>
      </c>
      <c r="B2429" t="s">
        <v>54</v>
      </c>
      <c r="C2429" t="s">
        <v>273</v>
      </c>
      <c r="D2429">
        <v>5.45522114E-3</v>
      </c>
      <c r="E2429">
        <v>1.3243169609999999E-2</v>
      </c>
      <c r="F2429">
        <v>1.3220198840000001E-2</v>
      </c>
      <c r="G2429">
        <v>1.159922803E-2</v>
      </c>
      <c r="H2429">
        <v>1.196521172E-2</v>
      </c>
      <c r="I2429">
        <v>1.2506248310999999E-2</v>
      </c>
      <c r="J2429">
        <v>1.244129075E-2</v>
      </c>
      <c r="K2429">
        <v>1.2410648442999999E-2</v>
      </c>
      <c r="L2429">
        <v>1.21537128199999E-2</v>
      </c>
      <c r="M2429">
        <v>1.1758764339999899E-2</v>
      </c>
      <c r="N2429">
        <v>1.143262672E-2</v>
      </c>
      <c r="O2429">
        <v>0</v>
      </c>
      <c r="P2429">
        <v>0</v>
      </c>
      <c r="Q2429">
        <v>0</v>
      </c>
      <c r="R2429" t="s">
        <v>243</v>
      </c>
    </row>
    <row r="2430" spans="1:18" x14ac:dyDescent="0.3">
      <c r="A2430" t="s">
        <v>259</v>
      </c>
      <c r="B2430" t="s">
        <v>54</v>
      </c>
      <c r="C2430" t="s">
        <v>274</v>
      </c>
      <c r="D2430" s="8">
        <v>7.4919150399999997E-6</v>
      </c>
      <c r="E2430" s="8">
        <v>1.00450666E-5</v>
      </c>
      <c r="F2430" s="8">
        <v>1.444593698E-5</v>
      </c>
      <c r="G2430" s="8">
        <v>1.6982322909999999E-5</v>
      </c>
      <c r="H2430" s="8">
        <v>5.6264592340000002E-5</v>
      </c>
      <c r="I2430" s="8">
        <v>6.8121718758999903E-5</v>
      </c>
      <c r="J2430" s="8">
        <v>7.4235537320999905E-5</v>
      </c>
      <c r="K2430" s="8">
        <v>7.8432041844999996E-5</v>
      </c>
      <c r="L2430" s="8">
        <v>7.9350698382999995E-5</v>
      </c>
      <c r="M2430" s="8">
        <v>7.7916873917999996E-5</v>
      </c>
      <c r="N2430" s="8">
        <v>7.5325124717999994E-5</v>
      </c>
      <c r="O2430">
        <v>0</v>
      </c>
      <c r="P2430">
        <v>0</v>
      </c>
      <c r="Q2430">
        <v>0</v>
      </c>
      <c r="R2430" t="s">
        <v>243</v>
      </c>
    </row>
    <row r="2431" spans="1:18" x14ac:dyDescent="0.3">
      <c r="A2431" t="s">
        <v>259</v>
      </c>
      <c r="B2431" t="s">
        <v>54</v>
      </c>
      <c r="C2431" t="s">
        <v>275</v>
      </c>
      <c r="D2431" s="8">
        <v>8.1309469099999896E-5</v>
      </c>
      <c r="E2431" s="8">
        <v>1.422601865E-4</v>
      </c>
      <c r="F2431" s="8">
        <v>1.608974601E-4</v>
      </c>
      <c r="G2431" s="8">
        <v>1.6036810279999999E-4</v>
      </c>
      <c r="H2431" s="8">
        <v>2.1337846328999999E-4</v>
      </c>
      <c r="I2431" s="8">
        <v>2.1452686008999999E-4</v>
      </c>
      <c r="J2431" s="8">
        <v>2.0191898510000001E-4</v>
      </c>
      <c r="K2431" s="8">
        <v>1.9143284142000001E-4</v>
      </c>
      <c r="L2431" s="8">
        <v>1.8016505625E-4</v>
      </c>
      <c r="M2431" s="8">
        <v>1.6717833258299999E-4</v>
      </c>
      <c r="N2431" s="8">
        <v>1.55175460743E-4</v>
      </c>
      <c r="O2431">
        <v>0</v>
      </c>
      <c r="P2431">
        <v>0</v>
      </c>
      <c r="Q2431">
        <v>0</v>
      </c>
      <c r="R2431" t="s">
        <v>243</v>
      </c>
    </row>
    <row r="2432" spans="1:18" x14ac:dyDescent="0.3">
      <c r="A2432" t="s">
        <v>259</v>
      </c>
      <c r="B2432" t="s">
        <v>54</v>
      </c>
      <c r="C2432" t="s">
        <v>276</v>
      </c>
      <c r="D2432" s="8">
        <v>1.478467652E-5</v>
      </c>
      <c r="E2432" s="8">
        <v>2.3087000590000001E-5</v>
      </c>
      <c r="F2432" s="8">
        <v>3.3242227140000003E-5</v>
      </c>
      <c r="G2432" s="8">
        <v>3.825695711E-5</v>
      </c>
      <c r="H2432" s="8">
        <v>8.8724072230000003E-5</v>
      </c>
      <c r="I2432" s="8">
        <v>1.0212011308E-4</v>
      </c>
      <c r="J2432" s="8">
        <v>1.0745401978E-4</v>
      </c>
      <c r="K2432" s="8">
        <v>1.10158907562E-4</v>
      </c>
      <c r="L2432" s="8">
        <v>1.09072113683E-4</v>
      </c>
      <c r="M2432" s="8">
        <v>1.0529646855E-4</v>
      </c>
      <c r="N2432" s="8">
        <v>1.00505470349E-4</v>
      </c>
      <c r="O2432">
        <v>0</v>
      </c>
      <c r="P2432">
        <v>0</v>
      </c>
      <c r="Q2432">
        <v>0</v>
      </c>
      <c r="R2432" t="s">
        <v>243</v>
      </c>
    </row>
    <row r="2433" spans="1:18" x14ac:dyDescent="0.3">
      <c r="A2433" t="s">
        <v>259</v>
      </c>
      <c r="B2433" t="s">
        <v>54</v>
      </c>
      <c r="C2433" t="s">
        <v>277</v>
      </c>
      <c r="D2433" s="8">
        <v>2.11896992299999E-5</v>
      </c>
      <c r="E2433" s="8">
        <v>3.4199233629999999E-5</v>
      </c>
      <c r="F2433" s="8">
        <v>4.695317065E-5</v>
      </c>
      <c r="G2433" s="8">
        <v>5.3572981540000002E-5</v>
      </c>
      <c r="H2433" s="8">
        <v>1.0832522687999999E-4</v>
      </c>
      <c r="I2433" s="8">
        <v>1.2194083559E-4</v>
      </c>
      <c r="J2433" s="8">
        <v>1.2525061395000001E-4</v>
      </c>
      <c r="K2433" s="8">
        <v>1.25944494703999E-4</v>
      </c>
      <c r="L2433" s="8">
        <v>1.2298914730699901E-4</v>
      </c>
      <c r="M2433" s="8">
        <v>1.1735747546499999E-4</v>
      </c>
      <c r="N2433" s="8">
        <v>1.1100009906999999E-4</v>
      </c>
      <c r="O2433">
        <v>0</v>
      </c>
      <c r="P2433">
        <v>0</v>
      </c>
      <c r="Q2433">
        <v>0</v>
      </c>
      <c r="R2433" t="s">
        <v>243</v>
      </c>
    </row>
    <row r="2434" spans="1:18" x14ac:dyDescent="0.3">
      <c r="A2434" t="s">
        <v>259</v>
      </c>
      <c r="B2434" t="s">
        <v>54</v>
      </c>
      <c r="C2434" t="s">
        <v>278</v>
      </c>
      <c r="D2434" s="8">
        <v>2.5922272099999999E-5</v>
      </c>
      <c r="E2434" s="8">
        <v>4.4211295090000003E-5</v>
      </c>
      <c r="F2434" s="8">
        <v>5.9171624360000001E-5</v>
      </c>
      <c r="G2434" s="8">
        <v>6.6203986129999994E-5</v>
      </c>
      <c r="H2434" s="8">
        <v>1.2294720846000001E-4</v>
      </c>
      <c r="I2434" s="8">
        <v>1.35436667189999E-4</v>
      </c>
      <c r="J2434" s="8">
        <v>1.3706873839000001E-4</v>
      </c>
      <c r="K2434" s="8">
        <v>1.3615027439600001E-4</v>
      </c>
      <c r="L2434" s="8">
        <v>1.3184682625299999E-4</v>
      </c>
      <c r="M2434" s="8">
        <v>1.2510457164499901E-4</v>
      </c>
      <c r="N2434" s="8">
        <v>1.17879548585999E-4</v>
      </c>
      <c r="O2434">
        <v>0</v>
      </c>
      <c r="P2434">
        <v>0</v>
      </c>
      <c r="Q2434">
        <v>0</v>
      </c>
      <c r="R2434" t="s">
        <v>243</v>
      </c>
    </row>
    <row r="2435" spans="1:18" x14ac:dyDescent="0.3">
      <c r="A2435" t="s">
        <v>259</v>
      </c>
      <c r="B2435" t="s">
        <v>54</v>
      </c>
      <c r="C2435" t="s">
        <v>279</v>
      </c>
      <c r="D2435" s="8">
        <v>3.0758272800000003E-5</v>
      </c>
      <c r="E2435" s="8">
        <v>5.4585913079999901E-5</v>
      </c>
      <c r="F2435" s="8">
        <v>7.0401852429999897E-5</v>
      </c>
      <c r="G2435" s="8">
        <v>7.8000391289999898E-5</v>
      </c>
      <c r="H2435" s="8">
        <v>1.3525513282999999E-4</v>
      </c>
      <c r="I2435" s="8">
        <v>1.47048277949999E-4</v>
      </c>
      <c r="J2435" s="8">
        <v>1.46960075459999E-4</v>
      </c>
      <c r="K2435" s="8">
        <v>1.44512988346E-4</v>
      </c>
      <c r="L2435" s="8">
        <v>1.3898565179000001E-4</v>
      </c>
      <c r="M2435" s="8">
        <v>1.31086823402E-4</v>
      </c>
      <c r="N2435" s="8">
        <v>1.2304876142E-4</v>
      </c>
      <c r="O2435">
        <v>0</v>
      </c>
      <c r="P2435">
        <v>0</v>
      </c>
      <c r="Q2435">
        <v>0</v>
      </c>
      <c r="R2435" t="s">
        <v>243</v>
      </c>
    </row>
    <row r="2436" spans="1:18" x14ac:dyDescent="0.3">
      <c r="A2436" t="s">
        <v>259</v>
      </c>
      <c r="B2436" t="s">
        <v>54</v>
      </c>
      <c r="C2436" t="s">
        <v>280</v>
      </c>
      <c r="D2436" s="8">
        <v>3.6274056339999999E-5</v>
      </c>
      <c r="E2436" s="8">
        <v>6.5041343699999996E-5</v>
      </c>
      <c r="F2436" s="8">
        <v>8.1123015700000005E-5</v>
      </c>
      <c r="G2436" s="8">
        <v>8.8848883499999994E-5</v>
      </c>
      <c r="H2436" s="8">
        <v>1.4687778320000001E-4</v>
      </c>
      <c r="I2436" s="8">
        <v>1.5757330953000001E-4</v>
      </c>
      <c r="J2436" s="8">
        <v>1.5560925924999999E-4</v>
      </c>
      <c r="K2436" s="8">
        <v>1.5153305231299999E-4</v>
      </c>
      <c r="L2436" s="8">
        <v>1.4483513781999999E-4</v>
      </c>
      <c r="M2436" s="8">
        <v>1.36076549519E-4</v>
      </c>
      <c r="N2436" s="8">
        <v>1.2737475573799999E-4</v>
      </c>
      <c r="O2436">
        <v>0</v>
      </c>
      <c r="P2436">
        <v>0</v>
      </c>
      <c r="Q2436">
        <v>0</v>
      </c>
      <c r="R2436" t="s">
        <v>243</v>
      </c>
    </row>
    <row r="2437" spans="1:18" x14ac:dyDescent="0.3">
      <c r="A2437" t="s">
        <v>259</v>
      </c>
      <c r="B2437" t="s">
        <v>54</v>
      </c>
      <c r="C2437" t="s">
        <v>281</v>
      </c>
      <c r="D2437" s="8">
        <v>4.2613361400000001E-5</v>
      </c>
      <c r="E2437" s="8">
        <v>7.5795520900000002E-5</v>
      </c>
      <c r="F2437" s="8">
        <v>9.2298736899999994E-5</v>
      </c>
      <c r="G2437" s="8">
        <v>9.8823271699999995E-5</v>
      </c>
      <c r="H2437" s="8">
        <v>1.5834419092000001E-4</v>
      </c>
      <c r="I2437" s="8">
        <v>1.6726667817999901E-4</v>
      </c>
      <c r="J2437" s="8">
        <v>1.6334460472000001E-4</v>
      </c>
      <c r="K2437" s="8">
        <v>1.5806179369000001E-4</v>
      </c>
      <c r="L2437" s="8">
        <v>1.50564418459999E-4</v>
      </c>
      <c r="M2437" s="8">
        <v>1.4104777557000001E-4</v>
      </c>
      <c r="N2437" s="8">
        <v>1.3176245110300001E-4</v>
      </c>
      <c r="O2437">
        <v>0</v>
      </c>
      <c r="P2437">
        <v>0</v>
      </c>
      <c r="Q2437">
        <v>0</v>
      </c>
      <c r="R2437" t="s">
        <v>243</v>
      </c>
    </row>
    <row r="2438" spans="1:18" x14ac:dyDescent="0.3">
      <c r="A2438" t="s">
        <v>259</v>
      </c>
      <c r="B2438" t="s">
        <v>54</v>
      </c>
      <c r="C2438" t="s">
        <v>282</v>
      </c>
      <c r="D2438" s="8">
        <v>4.970947E-5</v>
      </c>
      <c r="E2438" s="8">
        <v>8.8262665199999999E-5</v>
      </c>
      <c r="F2438" s="8">
        <v>1.04937344E-4</v>
      </c>
      <c r="G2438" s="8">
        <v>1.11530285399999E-4</v>
      </c>
      <c r="H2438" s="8">
        <v>1.699974158E-4</v>
      </c>
      <c r="I2438" s="8">
        <v>1.7753024615E-4</v>
      </c>
      <c r="J2438" s="8">
        <v>1.7157886535999899E-4</v>
      </c>
      <c r="K2438" s="8">
        <v>1.6481674862E-4</v>
      </c>
      <c r="L2438" s="8">
        <v>1.56340802419999E-4</v>
      </c>
      <c r="M2438" s="8">
        <v>1.4601120041900001E-4</v>
      </c>
      <c r="N2438" s="8">
        <v>1.3614674671799901E-4</v>
      </c>
      <c r="O2438">
        <v>0</v>
      </c>
      <c r="P2438">
        <v>0</v>
      </c>
      <c r="Q2438">
        <v>0</v>
      </c>
      <c r="R2438" t="s">
        <v>243</v>
      </c>
    </row>
    <row r="2439" spans="1:18" x14ac:dyDescent="0.3">
      <c r="A2439" t="s">
        <v>259</v>
      </c>
      <c r="B2439" t="s">
        <v>54</v>
      </c>
      <c r="C2439" t="s">
        <v>283</v>
      </c>
      <c r="D2439" s="8">
        <v>6.1770613899999994E-5</v>
      </c>
      <c r="E2439" s="8">
        <v>1.037131748E-4</v>
      </c>
      <c r="F2439" s="8">
        <v>1.22921630899999E-4</v>
      </c>
      <c r="G2439" s="8">
        <v>1.269011163E-4</v>
      </c>
      <c r="H2439" s="8">
        <v>1.8475441198E-4</v>
      </c>
      <c r="I2439" s="8">
        <v>1.8968908671999999E-4</v>
      </c>
      <c r="J2439" s="8">
        <v>1.8120538802999999E-4</v>
      </c>
      <c r="K2439" s="8">
        <v>1.7303375397999899E-4</v>
      </c>
      <c r="L2439" s="8">
        <v>1.6356143171E-4</v>
      </c>
      <c r="M2439" s="8">
        <v>1.5232195950000001E-4</v>
      </c>
      <c r="N2439" s="8">
        <v>1.4174806855400001E-4</v>
      </c>
      <c r="O2439">
        <v>0</v>
      </c>
      <c r="P2439">
        <v>0</v>
      </c>
      <c r="Q2439">
        <v>0</v>
      </c>
      <c r="R2439" t="s">
        <v>243</v>
      </c>
    </row>
    <row r="2440" spans="1:18" x14ac:dyDescent="0.3">
      <c r="A2440" t="s">
        <v>259</v>
      </c>
      <c r="B2440" t="s">
        <v>54</v>
      </c>
      <c r="C2440" t="s">
        <v>334</v>
      </c>
      <c r="D2440">
        <v>4.5137700000000003E-3</v>
      </c>
      <c r="E2440" s="8">
        <v>9.3867699999999996E-5</v>
      </c>
      <c r="F2440" s="8">
        <v>6.7412399999999999E-5</v>
      </c>
      <c r="G2440" s="8">
        <v>5.3480599999999997E-4</v>
      </c>
      <c r="H2440" s="8">
        <v>6.6060900000000004E-4</v>
      </c>
      <c r="I2440" s="8">
        <v>7.4784299999999999E-4</v>
      </c>
      <c r="J2440" s="8">
        <v>7.8386600000000003E-4</v>
      </c>
      <c r="K2440" s="8">
        <v>8.0515199999999995E-4</v>
      </c>
      <c r="L2440" s="8">
        <v>8.09631E-4</v>
      </c>
      <c r="M2440" s="8">
        <v>8.0345099999999995E-4</v>
      </c>
      <c r="N2440" s="8">
        <v>7.9115900000000005E-4</v>
      </c>
      <c r="O2440">
        <v>0</v>
      </c>
      <c r="P2440">
        <v>0</v>
      </c>
      <c r="Q2440">
        <v>0</v>
      </c>
      <c r="R2440" t="s">
        <v>243</v>
      </c>
    </row>
    <row r="2441" spans="1:18" x14ac:dyDescent="0.3">
      <c r="A2441" t="s">
        <v>259</v>
      </c>
      <c r="B2441" t="s">
        <v>54</v>
      </c>
      <c r="C2441" t="s">
        <v>335</v>
      </c>
      <c r="D2441" s="8">
        <v>5.53854E-4</v>
      </c>
      <c r="E2441" s="8">
        <v>8.4579000000000008E-6</v>
      </c>
      <c r="F2441" s="8">
        <v>6.9935900000000004E-6</v>
      </c>
      <c r="G2441" s="8">
        <v>5.9210799999999999E-5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243</v>
      </c>
    </row>
    <row r="2442" spans="1:18" x14ac:dyDescent="0.3">
      <c r="A2442" t="s">
        <v>259</v>
      </c>
      <c r="B2442" t="s">
        <v>54</v>
      </c>
      <c r="C2442" t="s">
        <v>336</v>
      </c>
      <c r="D2442">
        <v>3.21426E-3</v>
      </c>
      <c r="E2442" s="8">
        <v>6.6987000000000001E-5</v>
      </c>
      <c r="F2442" s="8">
        <v>4.7379100000000002E-5</v>
      </c>
      <c r="G2442" s="8">
        <v>3.79224E-4</v>
      </c>
      <c r="H2442" s="8">
        <v>4.2267900000000002E-4</v>
      </c>
      <c r="I2442" s="8">
        <v>4.5841499999999999E-4</v>
      </c>
      <c r="J2442" s="8">
        <v>4.7076900000000001E-4</v>
      </c>
      <c r="K2442" s="8">
        <v>4.7823949999999999E-4</v>
      </c>
      <c r="L2442" s="8">
        <v>4.7837900000000002E-4</v>
      </c>
      <c r="M2442" s="8">
        <v>4.7341899999999999E-4</v>
      </c>
      <c r="N2442" s="8">
        <v>4.6609739999999998E-4</v>
      </c>
      <c r="O2442">
        <v>0</v>
      </c>
      <c r="P2442">
        <v>0</v>
      </c>
      <c r="Q2442">
        <v>0</v>
      </c>
      <c r="R2442" t="s">
        <v>243</v>
      </c>
    </row>
    <row r="2443" spans="1:18" x14ac:dyDescent="0.3">
      <c r="A2443" t="s">
        <v>259</v>
      </c>
      <c r="B2443" t="s">
        <v>54</v>
      </c>
      <c r="C2443" t="s">
        <v>337</v>
      </c>
      <c r="D2443">
        <v>2.52286E-3</v>
      </c>
      <c r="E2443" s="8">
        <v>5.22396E-5</v>
      </c>
      <c r="F2443" s="8">
        <v>3.7575199999999999E-5</v>
      </c>
      <c r="G2443" s="8">
        <v>2.9988399999999999E-4</v>
      </c>
      <c r="H2443" s="8">
        <v>3.2392E-4</v>
      </c>
      <c r="I2443" s="8">
        <v>3.4736899999999999E-4</v>
      </c>
      <c r="J2443" s="8">
        <v>3.5312699999999898E-4</v>
      </c>
      <c r="K2443" s="8">
        <v>3.5668359999999999E-4</v>
      </c>
      <c r="L2443" s="8">
        <v>3.5555249999999998E-4</v>
      </c>
      <c r="M2443" s="8">
        <v>3.5070979999999999E-4</v>
      </c>
      <c r="N2443" s="8">
        <v>3.4442130000000002E-4</v>
      </c>
      <c r="O2443">
        <v>0</v>
      </c>
      <c r="P2443">
        <v>0</v>
      </c>
      <c r="Q2443">
        <v>0</v>
      </c>
      <c r="R2443" t="s">
        <v>243</v>
      </c>
    </row>
    <row r="2444" spans="1:18" x14ac:dyDescent="0.3">
      <c r="A2444" t="s">
        <v>259</v>
      </c>
      <c r="B2444" t="s">
        <v>54</v>
      </c>
      <c r="C2444" t="s">
        <v>338</v>
      </c>
      <c r="D2444">
        <v>2.1571699999999999E-3</v>
      </c>
      <c r="E2444" s="8">
        <v>4.2855400000000003E-5</v>
      </c>
      <c r="F2444" s="8">
        <v>3.1090899999999997E-5</v>
      </c>
      <c r="G2444" s="8">
        <v>2.4967799999999998E-4</v>
      </c>
      <c r="H2444" s="8">
        <v>2.6509299999999999E-4</v>
      </c>
      <c r="I2444" s="8">
        <v>2.812704E-4</v>
      </c>
      <c r="J2444" s="8">
        <v>2.8472269999999899E-4</v>
      </c>
      <c r="K2444" s="8">
        <v>2.8684339999999998E-4</v>
      </c>
      <c r="L2444" s="8">
        <v>2.8553580000000001E-4</v>
      </c>
      <c r="M2444" s="8">
        <v>2.8169339999999999E-4</v>
      </c>
      <c r="N2444" s="8">
        <v>2.7685360000000002E-4</v>
      </c>
      <c r="O2444">
        <v>0</v>
      </c>
      <c r="P2444">
        <v>0</v>
      </c>
      <c r="Q2444">
        <v>0</v>
      </c>
      <c r="R2444" t="s">
        <v>243</v>
      </c>
    </row>
    <row r="2445" spans="1:18" x14ac:dyDescent="0.3">
      <c r="A2445" t="s">
        <v>259</v>
      </c>
      <c r="B2445" t="s">
        <v>54</v>
      </c>
      <c r="C2445" t="s">
        <v>339</v>
      </c>
      <c r="D2445">
        <v>1.86385E-3</v>
      </c>
      <c r="E2445" s="8">
        <v>3.5527800000000002E-5</v>
      </c>
      <c r="F2445" s="8">
        <v>2.6377399999999999E-5</v>
      </c>
      <c r="G2445" s="8">
        <v>2.11487E-4</v>
      </c>
      <c r="H2445" s="8">
        <v>2.2136359999999999E-4</v>
      </c>
      <c r="I2445" s="8">
        <v>2.3390689999999999E-4</v>
      </c>
      <c r="J2445" s="8">
        <v>2.360501E-4</v>
      </c>
      <c r="K2445" s="8">
        <v>2.373225E-4</v>
      </c>
      <c r="L2445" s="8">
        <v>2.3592759999999999E-4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243</v>
      </c>
    </row>
    <row r="2446" spans="1:18" x14ac:dyDescent="0.3">
      <c r="A2446" t="s">
        <v>259</v>
      </c>
      <c r="B2446" t="s">
        <v>54</v>
      </c>
      <c r="C2446" t="s">
        <v>340</v>
      </c>
      <c r="D2446">
        <v>1.5977999999999999E-3</v>
      </c>
      <c r="E2446" s="8">
        <v>2.9776200000000001E-5</v>
      </c>
      <c r="F2446" s="8">
        <v>2.2674400000000001E-5</v>
      </c>
      <c r="G2446" s="8">
        <v>1.81881E-4</v>
      </c>
      <c r="H2446" s="8">
        <v>1.894295E-4</v>
      </c>
      <c r="I2446" s="8">
        <v>1.9933289999999899E-4</v>
      </c>
      <c r="J2446" s="8">
        <v>2.0053280000000001E-4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243</v>
      </c>
    </row>
    <row r="2447" spans="1:18" x14ac:dyDescent="0.3">
      <c r="A2447" t="s">
        <v>259</v>
      </c>
      <c r="B2447" t="s">
        <v>54</v>
      </c>
      <c r="C2447" t="s">
        <v>341</v>
      </c>
      <c r="D2447">
        <v>1.35505E-3</v>
      </c>
      <c r="E2447" s="8">
        <v>2.50381E-5</v>
      </c>
      <c r="F2447" s="8">
        <v>1.9429E-5</v>
      </c>
      <c r="G2447" s="8">
        <v>1.58274E-4</v>
      </c>
      <c r="H2447" s="8">
        <v>1.6550049999999999E-4</v>
      </c>
      <c r="I2447" s="8">
        <v>1.7305320000000001E-4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243</v>
      </c>
    </row>
    <row r="2448" spans="1:18" x14ac:dyDescent="0.3">
      <c r="A2448" t="s">
        <v>259</v>
      </c>
      <c r="B2448" t="s">
        <v>54</v>
      </c>
      <c r="C2448" t="s">
        <v>342</v>
      </c>
      <c r="D2448">
        <v>1.1391699999999999E-3</v>
      </c>
      <c r="E2448" s="8">
        <v>2.0599400000000001E-5</v>
      </c>
      <c r="F2448" s="8">
        <v>1.6331799999999998E-5</v>
      </c>
      <c r="G2448" s="8">
        <v>1.3214699999999999E-4</v>
      </c>
      <c r="H2448" s="8">
        <v>1.3730289999999999E-4</v>
      </c>
      <c r="I2448" s="8">
        <v>1.4327829999999999E-4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243</v>
      </c>
    </row>
    <row r="2449" spans="1:18" x14ac:dyDescent="0.3">
      <c r="A2449" t="s">
        <v>259</v>
      </c>
      <c r="B2449" t="s">
        <v>54</v>
      </c>
      <c r="C2449" t="s">
        <v>343</v>
      </c>
      <c r="D2449" s="8">
        <v>8.6168300000000002E-4</v>
      </c>
      <c r="E2449" s="8">
        <v>1.6201800000000001E-5</v>
      </c>
      <c r="F2449" s="8">
        <v>1.2696399999999999E-5</v>
      </c>
      <c r="G2449" s="8">
        <v>1.05165E-4</v>
      </c>
      <c r="H2449" s="8">
        <v>1.09563299999999E-4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243</v>
      </c>
    </row>
    <row r="2450" spans="1:18" x14ac:dyDescent="0.3">
      <c r="A2450" t="s">
        <v>259</v>
      </c>
      <c r="B2450" t="s">
        <v>54</v>
      </c>
      <c r="C2450" t="s">
        <v>284</v>
      </c>
      <c r="D2450">
        <v>8.5148875706999999E-3</v>
      </c>
      <c r="E2450">
        <v>3.49497446599999E-3</v>
      </c>
      <c r="F2450">
        <v>3.7492445547999999E-3</v>
      </c>
      <c r="G2450">
        <v>3.5643558277999999E-3</v>
      </c>
      <c r="H2450">
        <v>4.3853903486999997E-3</v>
      </c>
      <c r="I2450">
        <v>5.6161800920999996E-3</v>
      </c>
      <c r="J2450">
        <v>6.3121350653999996E-3</v>
      </c>
      <c r="K2450">
        <v>6.6350681617999997E-3</v>
      </c>
      <c r="L2450">
        <v>6.7053153276999903E-3</v>
      </c>
      <c r="M2450">
        <v>6.6220601129999904E-3</v>
      </c>
      <c r="N2450">
        <v>6.3838289094E-3</v>
      </c>
      <c r="O2450">
        <v>0</v>
      </c>
      <c r="P2450">
        <v>0</v>
      </c>
      <c r="Q2450">
        <v>0</v>
      </c>
      <c r="R2450" t="s">
        <v>243</v>
      </c>
    </row>
    <row r="2451" spans="1:18" x14ac:dyDescent="0.3">
      <c r="A2451" t="s">
        <v>259</v>
      </c>
      <c r="B2451" t="s">
        <v>54</v>
      </c>
      <c r="C2451" t="s">
        <v>285</v>
      </c>
      <c r="D2451">
        <v>5.3063071628000003E-2</v>
      </c>
      <c r="E2451">
        <v>3.1009947640999899E-2</v>
      </c>
      <c r="F2451">
        <v>2.9967987668999999E-2</v>
      </c>
      <c r="G2451">
        <v>2.4167516370999901E-2</v>
      </c>
      <c r="H2451">
        <v>2.35824784249999E-2</v>
      </c>
      <c r="I2451">
        <v>2.3469476866999999E-2</v>
      </c>
      <c r="J2451">
        <v>2.25133635354E-2</v>
      </c>
      <c r="K2451">
        <v>2.13319163425E-2</v>
      </c>
      <c r="L2451">
        <v>2.03034809712999E-2</v>
      </c>
      <c r="M2451">
        <v>1.91951470126E-2</v>
      </c>
      <c r="N2451">
        <v>1.8001070733399901E-2</v>
      </c>
      <c r="O2451">
        <v>0</v>
      </c>
      <c r="P2451">
        <v>0</v>
      </c>
      <c r="Q2451">
        <v>0</v>
      </c>
      <c r="R2451" t="s">
        <v>243</v>
      </c>
    </row>
    <row r="2452" spans="1:18" x14ac:dyDescent="0.3">
      <c r="A2452" t="s">
        <v>259</v>
      </c>
      <c r="B2452" t="s">
        <v>54</v>
      </c>
      <c r="C2452" t="s">
        <v>286</v>
      </c>
      <c r="D2452">
        <v>1.55387733569E-2</v>
      </c>
      <c r="E2452">
        <v>7.51489732699999E-3</v>
      </c>
      <c r="F2452">
        <v>8.1537219930000009E-3</v>
      </c>
      <c r="G2452">
        <v>7.5084059569999898E-3</v>
      </c>
      <c r="H2452">
        <v>8.1671344164999903E-3</v>
      </c>
      <c r="I2452">
        <v>9.4980534218000005E-3</v>
      </c>
      <c r="J2452">
        <v>1.00825104134999E-2</v>
      </c>
      <c r="K2452">
        <v>1.02042819454999E-2</v>
      </c>
      <c r="L2452">
        <v>1.0091796079300001E-2</v>
      </c>
      <c r="M2452">
        <v>9.8234260393999899E-3</v>
      </c>
      <c r="N2452">
        <v>9.4120267750000004E-3</v>
      </c>
      <c r="O2452">
        <v>0</v>
      </c>
      <c r="P2452">
        <v>0</v>
      </c>
      <c r="Q2452">
        <v>0</v>
      </c>
      <c r="R2452" t="s">
        <v>243</v>
      </c>
    </row>
    <row r="2453" spans="1:18" x14ac:dyDescent="0.3">
      <c r="A2453" t="s">
        <v>259</v>
      </c>
      <c r="B2453" t="s">
        <v>54</v>
      </c>
      <c r="C2453" t="s">
        <v>287</v>
      </c>
      <c r="D2453">
        <v>2.09694152967E-2</v>
      </c>
      <c r="E2453">
        <v>1.0595260154999999E-2</v>
      </c>
      <c r="F2453">
        <v>1.1101899232999901E-2</v>
      </c>
      <c r="G2453">
        <v>1.0070571141E-2</v>
      </c>
      <c r="H2453">
        <v>1.046852291E-2</v>
      </c>
      <c r="I2453">
        <v>1.1745088284099999E-2</v>
      </c>
      <c r="J2453">
        <v>1.20959232826E-2</v>
      </c>
      <c r="K2453">
        <v>1.2004834725700001E-2</v>
      </c>
      <c r="L2453">
        <v>1.1734497833999999E-2</v>
      </c>
      <c r="M2453">
        <v>1.13146113037E-2</v>
      </c>
      <c r="N2453">
        <v>1.07713592936E-2</v>
      </c>
      <c r="O2453">
        <v>0</v>
      </c>
      <c r="P2453">
        <v>0</v>
      </c>
      <c r="Q2453">
        <v>0</v>
      </c>
      <c r="R2453" t="s">
        <v>243</v>
      </c>
    </row>
    <row r="2454" spans="1:18" x14ac:dyDescent="0.3">
      <c r="A2454" t="s">
        <v>259</v>
      </c>
      <c r="B2454" t="s">
        <v>54</v>
      </c>
      <c r="C2454" t="s">
        <v>288</v>
      </c>
      <c r="D2454">
        <v>2.4612836744699901E-2</v>
      </c>
      <c r="E2454">
        <v>1.3141128532E-2</v>
      </c>
      <c r="F2454">
        <v>1.3563801545E-2</v>
      </c>
      <c r="G2454">
        <v>1.2033324394000001E-2</v>
      </c>
      <c r="H2454">
        <v>1.2181837767999901E-2</v>
      </c>
      <c r="I2454">
        <v>1.32676582145999E-2</v>
      </c>
      <c r="J2454">
        <v>1.34458039046E-2</v>
      </c>
      <c r="K2454">
        <v>1.3200942191599899E-2</v>
      </c>
      <c r="L2454">
        <v>1.28263683077E-2</v>
      </c>
      <c r="M2454">
        <v>1.23314236090999E-2</v>
      </c>
      <c r="N2454">
        <v>1.1724826069100001E-2</v>
      </c>
      <c r="O2454">
        <v>0</v>
      </c>
      <c r="P2454">
        <v>0</v>
      </c>
      <c r="Q2454">
        <v>0</v>
      </c>
      <c r="R2454" t="s">
        <v>243</v>
      </c>
    </row>
    <row r="2455" spans="1:18" x14ac:dyDescent="0.3">
      <c r="A2455" t="s">
        <v>259</v>
      </c>
      <c r="B2455" t="s">
        <v>54</v>
      </c>
      <c r="C2455" t="s">
        <v>289</v>
      </c>
      <c r="D2455">
        <v>2.8052370340999999E-2</v>
      </c>
      <c r="E2455">
        <v>1.5576519889000001E-2</v>
      </c>
      <c r="F2455">
        <v>1.5700792514999899E-2</v>
      </c>
      <c r="G2455">
        <v>1.3757124757E-2</v>
      </c>
      <c r="H2455">
        <v>1.3622968301E-2</v>
      </c>
      <c r="I2455">
        <v>1.45850623476E-2</v>
      </c>
      <c r="J2455">
        <v>1.4602983969399999E-2</v>
      </c>
      <c r="K2455">
        <v>1.4223484278400001E-2</v>
      </c>
      <c r="L2455">
        <v>1.3758261247099999E-2</v>
      </c>
      <c r="M2455">
        <v>1.31693678980999E-2</v>
      </c>
      <c r="N2455">
        <v>1.2490511817800001E-2</v>
      </c>
      <c r="O2455">
        <v>0</v>
      </c>
      <c r="P2455">
        <v>0</v>
      </c>
      <c r="Q2455">
        <v>0</v>
      </c>
      <c r="R2455" t="s">
        <v>243</v>
      </c>
    </row>
    <row r="2456" spans="1:18" x14ac:dyDescent="0.3">
      <c r="A2456" t="s">
        <v>259</v>
      </c>
      <c r="B2456" t="s">
        <v>54</v>
      </c>
      <c r="C2456" t="s">
        <v>290</v>
      </c>
      <c r="D2456">
        <v>3.1664741390999999E-2</v>
      </c>
      <c r="E2456">
        <v>1.7844788383999999E-2</v>
      </c>
      <c r="F2456">
        <v>1.7637316274999999E-2</v>
      </c>
      <c r="G2456">
        <v>1.5259493671999899E-2</v>
      </c>
      <c r="H2456">
        <v>1.4986695931999999E-2</v>
      </c>
      <c r="I2456">
        <v>1.5794009142899999E-2</v>
      </c>
      <c r="J2456">
        <v>1.5648960176800002E-2</v>
      </c>
      <c r="K2456">
        <v>1.5126492857499899E-2</v>
      </c>
      <c r="L2456">
        <v>1.45663039615E-2</v>
      </c>
      <c r="M2456">
        <v>1.3911379910799901E-2</v>
      </c>
      <c r="N2456">
        <v>1.3168035157299999E-2</v>
      </c>
      <c r="O2456">
        <v>0</v>
      </c>
      <c r="P2456">
        <v>0</v>
      </c>
      <c r="Q2456">
        <v>0</v>
      </c>
      <c r="R2456" t="s">
        <v>243</v>
      </c>
    </row>
    <row r="2457" spans="1:18" x14ac:dyDescent="0.3">
      <c r="A2457" t="s">
        <v>259</v>
      </c>
      <c r="B2457" t="s">
        <v>54</v>
      </c>
      <c r="C2457" t="s">
        <v>291</v>
      </c>
      <c r="D2457">
        <v>3.5456337207999997E-2</v>
      </c>
      <c r="E2457">
        <v>2.0005074229999999E-2</v>
      </c>
      <c r="F2457">
        <v>1.9557409161999901E-2</v>
      </c>
      <c r="G2457">
        <v>1.6579773499E-2</v>
      </c>
      <c r="H2457">
        <v>1.6344251380999899E-2</v>
      </c>
      <c r="I2457">
        <v>1.6934753981599899E-2</v>
      </c>
      <c r="J2457">
        <v>1.6628814896599901E-2</v>
      </c>
      <c r="K2457">
        <v>1.6020510741499999E-2</v>
      </c>
      <c r="L2457">
        <v>1.54080484919999E-2</v>
      </c>
      <c r="M2457">
        <v>1.4694103638399901E-2</v>
      </c>
      <c r="N2457">
        <v>1.38912168551999E-2</v>
      </c>
      <c r="O2457">
        <v>0</v>
      </c>
      <c r="P2457">
        <v>0</v>
      </c>
      <c r="Q2457">
        <v>0</v>
      </c>
      <c r="R2457" t="s">
        <v>243</v>
      </c>
    </row>
    <row r="2458" spans="1:18" x14ac:dyDescent="0.3">
      <c r="A2458" t="s">
        <v>259</v>
      </c>
      <c r="B2458" t="s">
        <v>54</v>
      </c>
      <c r="C2458" t="s">
        <v>292</v>
      </c>
      <c r="D2458">
        <v>3.9306093831999997E-2</v>
      </c>
      <c r="E2458">
        <v>2.232009188E-2</v>
      </c>
      <c r="F2458">
        <v>2.1620541125E-2</v>
      </c>
      <c r="G2458">
        <v>1.8192171510000001E-2</v>
      </c>
      <c r="H2458">
        <v>1.7746939702E-2</v>
      </c>
      <c r="I2458">
        <v>1.8193425460999901E-2</v>
      </c>
      <c r="J2458">
        <v>1.7742115664999999E-2</v>
      </c>
      <c r="K2458">
        <v>1.7003819381699901E-2</v>
      </c>
      <c r="L2458">
        <v>1.63073637853E-2</v>
      </c>
      <c r="M2458">
        <v>1.55152512083E-2</v>
      </c>
      <c r="N2458">
        <v>1.46400992807E-2</v>
      </c>
      <c r="O2458">
        <v>0</v>
      </c>
      <c r="P2458">
        <v>0</v>
      </c>
      <c r="Q2458">
        <v>0</v>
      </c>
      <c r="R2458" t="s">
        <v>243</v>
      </c>
    </row>
    <row r="2459" spans="1:18" x14ac:dyDescent="0.3">
      <c r="A2459" t="s">
        <v>259</v>
      </c>
      <c r="B2459" t="s">
        <v>54</v>
      </c>
      <c r="C2459" t="s">
        <v>293</v>
      </c>
      <c r="D2459">
        <v>4.5078307493999999E-2</v>
      </c>
      <c r="E2459">
        <v>2.4960590314000001E-2</v>
      </c>
      <c r="F2459">
        <v>2.4394079736999998E-2</v>
      </c>
      <c r="G2459">
        <v>2.0070766583999901E-2</v>
      </c>
      <c r="H2459">
        <v>1.9594217447E-2</v>
      </c>
      <c r="I2459">
        <v>1.9786814051999901E-2</v>
      </c>
      <c r="J2459">
        <v>1.9152906629499901E-2</v>
      </c>
      <c r="K2459">
        <v>1.8286955663599901E-2</v>
      </c>
      <c r="L2459">
        <v>1.74891531838E-2</v>
      </c>
      <c r="M2459">
        <v>1.6597248645E-2</v>
      </c>
      <c r="N2459">
        <v>1.56216580587E-2</v>
      </c>
      <c r="O2459">
        <v>0</v>
      </c>
      <c r="P2459">
        <v>0</v>
      </c>
      <c r="Q2459">
        <v>0</v>
      </c>
      <c r="R2459" t="s">
        <v>243</v>
      </c>
    </row>
    <row r="2460" spans="1:18" x14ac:dyDescent="0.3">
      <c r="A2460" t="s">
        <v>259</v>
      </c>
      <c r="B2460" t="s">
        <v>54</v>
      </c>
      <c r="C2460" t="s">
        <v>344</v>
      </c>
      <c r="D2460">
        <v>1.2158E-3</v>
      </c>
      <c r="E2460" s="8">
        <v>2.4683300000000001E-5</v>
      </c>
      <c r="F2460" s="8">
        <v>1.7744499999999999E-5</v>
      </c>
      <c r="G2460" s="8">
        <v>1.4091599999999999E-4</v>
      </c>
      <c r="H2460" s="8">
        <v>1.7413269999999999E-4</v>
      </c>
      <c r="I2460" s="8">
        <v>1.9692749999999999E-4</v>
      </c>
      <c r="J2460" s="8">
        <v>2.0650089999999999E-4</v>
      </c>
      <c r="K2460" s="8">
        <v>2.121674E-4</v>
      </c>
      <c r="L2460" s="8">
        <v>2.132611E-4</v>
      </c>
      <c r="M2460" s="8">
        <v>2.116625E-4</v>
      </c>
      <c r="N2460" s="8">
        <v>2.084462E-4</v>
      </c>
      <c r="O2460">
        <v>0</v>
      </c>
      <c r="P2460">
        <v>0</v>
      </c>
      <c r="Q2460">
        <v>0</v>
      </c>
      <c r="R2460" t="s">
        <v>243</v>
      </c>
    </row>
    <row r="2461" spans="1:18" x14ac:dyDescent="0.3">
      <c r="A2461" t="s">
        <v>259</v>
      </c>
      <c r="B2461" t="s">
        <v>54</v>
      </c>
      <c r="C2461" t="s">
        <v>345</v>
      </c>
      <c r="D2461" s="8">
        <v>2.5804099999999998E-4</v>
      </c>
      <c r="E2461" s="8">
        <v>4.2335199999999999E-6</v>
      </c>
      <c r="F2461" s="8">
        <v>3.38786E-6</v>
      </c>
      <c r="G2461" s="8">
        <v>2.83446E-5</v>
      </c>
      <c r="H2461" s="8">
        <v>2.9575799999999999E-5</v>
      </c>
      <c r="I2461" s="8">
        <v>3.0404810000000001E-5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243</v>
      </c>
    </row>
    <row r="2462" spans="1:18" x14ac:dyDescent="0.3">
      <c r="A2462" t="s">
        <v>259</v>
      </c>
      <c r="B2462" t="s">
        <v>54</v>
      </c>
      <c r="C2462" t="s">
        <v>346</v>
      </c>
      <c r="D2462" s="8">
        <v>9.7115199999999997E-4</v>
      </c>
      <c r="E2462" s="8">
        <v>2.0120500000000002E-5</v>
      </c>
      <c r="F2462" s="8">
        <v>1.4307900000000001E-5</v>
      </c>
      <c r="G2462" s="8">
        <v>1.14547E-4</v>
      </c>
      <c r="H2462" s="8">
        <v>1.2772909999999999E-4</v>
      </c>
      <c r="I2462" s="8">
        <v>1.3836370000000001E-4</v>
      </c>
      <c r="J2462" s="8">
        <v>1.4217439999999901E-4</v>
      </c>
      <c r="K2462" s="8">
        <v>1.4447590000000001E-4</v>
      </c>
      <c r="L2462" s="8">
        <v>1.444424E-4</v>
      </c>
      <c r="M2462" s="8">
        <v>1.4297419999999999E-4</v>
      </c>
      <c r="N2462" s="8">
        <v>1.407801E-4</v>
      </c>
      <c r="O2462">
        <v>0</v>
      </c>
      <c r="P2462">
        <v>0</v>
      </c>
      <c r="Q2462">
        <v>0</v>
      </c>
      <c r="R2462" t="s">
        <v>243</v>
      </c>
    </row>
    <row r="2463" spans="1:18" x14ac:dyDescent="0.3">
      <c r="A2463" t="s">
        <v>259</v>
      </c>
      <c r="B2463" t="s">
        <v>54</v>
      </c>
      <c r="C2463" t="s">
        <v>347</v>
      </c>
      <c r="D2463" s="8">
        <v>8.1707899999999996E-4</v>
      </c>
      <c r="E2463" s="8">
        <v>1.69151E-5</v>
      </c>
      <c r="F2463" s="8">
        <v>1.21638E-5</v>
      </c>
      <c r="G2463" s="8">
        <v>9.7207900000000001E-5</v>
      </c>
      <c r="H2463" s="8">
        <v>1.05046699999999E-4</v>
      </c>
      <c r="I2463" s="8">
        <v>1.125109E-4</v>
      </c>
      <c r="J2463" s="8">
        <v>1.14447699999999E-4</v>
      </c>
      <c r="K2463" s="8">
        <v>1.1563819999999999E-4</v>
      </c>
      <c r="L2463" s="8">
        <v>1.152065E-4</v>
      </c>
      <c r="M2463" s="8">
        <v>1.13663799999999E-4</v>
      </c>
      <c r="N2463" s="8">
        <v>1.116397E-4</v>
      </c>
      <c r="O2463">
        <v>0</v>
      </c>
      <c r="P2463">
        <v>0</v>
      </c>
      <c r="Q2463">
        <v>0</v>
      </c>
      <c r="R2463" t="s">
        <v>243</v>
      </c>
    </row>
    <row r="2464" spans="1:18" x14ac:dyDescent="0.3">
      <c r="A2464" t="s">
        <v>259</v>
      </c>
      <c r="B2464" t="s">
        <v>54</v>
      </c>
      <c r="C2464" t="s">
        <v>348</v>
      </c>
      <c r="D2464" s="8">
        <v>7.2866000000000001E-4</v>
      </c>
      <c r="E2464" s="8">
        <v>1.46551E-5</v>
      </c>
      <c r="F2464" s="8">
        <v>1.06022E-5</v>
      </c>
      <c r="G2464" s="8">
        <v>8.5120300000000006E-5</v>
      </c>
      <c r="H2464" s="8">
        <v>9.0416799999999998E-5</v>
      </c>
      <c r="I2464" s="8">
        <v>9.5811799999999996E-5</v>
      </c>
      <c r="J2464" s="8">
        <v>9.7051699999999998E-5</v>
      </c>
      <c r="K2464" s="8">
        <v>9.7807500000000002E-5</v>
      </c>
      <c r="L2464" s="8">
        <v>9.7304399999999895E-5</v>
      </c>
      <c r="M2464" s="8">
        <v>9.6018499999999996E-5</v>
      </c>
      <c r="N2464" s="8">
        <v>9.4381099999999997E-5</v>
      </c>
      <c r="O2464">
        <v>0</v>
      </c>
      <c r="P2464">
        <v>0</v>
      </c>
      <c r="Q2464">
        <v>0</v>
      </c>
      <c r="R2464" t="s">
        <v>243</v>
      </c>
    </row>
    <row r="2465" spans="1:18" x14ac:dyDescent="0.3">
      <c r="A2465" t="s">
        <v>259</v>
      </c>
      <c r="B2465" t="s">
        <v>54</v>
      </c>
      <c r="C2465" t="s">
        <v>349</v>
      </c>
      <c r="D2465" s="8">
        <v>6.5384899999999997E-4</v>
      </c>
      <c r="E2465" s="8">
        <v>1.2759799999999999E-5</v>
      </c>
      <c r="F2465" s="8">
        <v>9.3885500000000001E-6</v>
      </c>
      <c r="G2465" s="8">
        <v>7.5299300000000006E-5</v>
      </c>
      <c r="H2465" s="8">
        <v>7.8852399999999997E-5</v>
      </c>
      <c r="I2465" s="8">
        <v>8.3211899999999995E-5</v>
      </c>
      <c r="J2465" s="8">
        <v>8.4031500000000003E-5</v>
      </c>
      <c r="K2465" s="8">
        <v>8.4513300000000003E-5</v>
      </c>
      <c r="L2465" s="8">
        <v>8.3965400000000001E-5</v>
      </c>
      <c r="M2465" s="8">
        <v>8.2690899999999896E-5</v>
      </c>
      <c r="N2465" s="8">
        <v>8.1210899999999999E-5</v>
      </c>
      <c r="O2465">
        <v>0</v>
      </c>
      <c r="P2465">
        <v>0</v>
      </c>
      <c r="Q2465">
        <v>0</v>
      </c>
      <c r="R2465" t="s">
        <v>243</v>
      </c>
    </row>
    <row r="2466" spans="1:18" x14ac:dyDescent="0.3">
      <c r="A2466" t="s">
        <v>259</v>
      </c>
      <c r="B2466" t="s">
        <v>54</v>
      </c>
      <c r="C2466" t="s">
        <v>350</v>
      </c>
      <c r="D2466" s="8">
        <v>5.8260799999999998E-4</v>
      </c>
      <c r="E2466" s="8">
        <v>1.1179600000000001E-5</v>
      </c>
      <c r="F2466" s="8">
        <v>8.3837999999999992E-6</v>
      </c>
      <c r="G2466" s="8">
        <v>6.7265099999999994E-5</v>
      </c>
      <c r="H2466" s="8">
        <v>7.0089699999999994E-5</v>
      </c>
      <c r="I2466" s="8">
        <v>7.3656800000000003E-5</v>
      </c>
      <c r="J2466" s="8">
        <v>7.4151499999999996E-5</v>
      </c>
      <c r="K2466" s="8">
        <v>7.4352300000000003E-5</v>
      </c>
      <c r="L2466" s="8">
        <v>7.37176E-5</v>
      </c>
      <c r="M2466" s="8">
        <v>7.2551799999999897E-5</v>
      </c>
      <c r="N2466" s="8">
        <v>7.1204499999999999E-5</v>
      </c>
      <c r="O2466">
        <v>0</v>
      </c>
      <c r="P2466">
        <v>0</v>
      </c>
      <c r="Q2466">
        <v>0</v>
      </c>
      <c r="R2466" t="s">
        <v>243</v>
      </c>
    </row>
    <row r="2467" spans="1:18" x14ac:dyDescent="0.3">
      <c r="A2467" t="s">
        <v>259</v>
      </c>
      <c r="B2467" t="s">
        <v>54</v>
      </c>
      <c r="C2467" t="s">
        <v>351</v>
      </c>
      <c r="D2467" s="8">
        <v>5.1438199999999997E-4</v>
      </c>
      <c r="E2467" s="8">
        <v>9.8055699999999994E-6</v>
      </c>
      <c r="F2467" s="8">
        <v>7.4625799999999998E-6</v>
      </c>
      <c r="G2467" s="8">
        <v>6.0563100000000003E-5</v>
      </c>
      <c r="H2467" s="8">
        <v>6.3357900000000005E-5</v>
      </c>
      <c r="I2467" s="8">
        <v>6.6162099999999906E-5</v>
      </c>
      <c r="J2467" s="8">
        <v>6.6386110000000005E-5</v>
      </c>
      <c r="K2467" s="8">
        <v>6.6547349999999996E-5</v>
      </c>
      <c r="L2467" s="8">
        <v>6.6002300000000003E-5</v>
      </c>
      <c r="M2467" s="8">
        <v>6.4939700000000004E-5</v>
      </c>
      <c r="N2467" s="8">
        <v>6.3715500000000003E-5</v>
      </c>
      <c r="O2467">
        <v>0</v>
      </c>
      <c r="P2467">
        <v>0</v>
      </c>
      <c r="Q2467">
        <v>0</v>
      </c>
      <c r="R2467" t="s">
        <v>243</v>
      </c>
    </row>
    <row r="2468" spans="1:18" x14ac:dyDescent="0.3">
      <c r="A2468" t="s">
        <v>259</v>
      </c>
      <c r="B2468" t="s">
        <v>54</v>
      </c>
      <c r="C2468" t="s">
        <v>352</v>
      </c>
      <c r="D2468" s="8">
        <v>4.5068499999999999E-4</v>
      </c>
      <c r="E2468" s="8">
        <v>8.4480900000000006E-6</v>
      </c>
      <c r="F2468" s="8">
        <v>6.5367200000000002E-6</v>
      </c>
      <c r="G2468" s="8">
        <v>5.27927E-5</v>
      </c>
      <c r="H2468" s="8">
        <v>5.4878099999999999E-5</v>
      </c>
      <c r="I2468" s="8">
        <v>5.7190400000000001E-5</v>
      </c>
      <c r="J2468" s="8">
        <v>5.7264469999999998E-5</v>
      </c>
      <c r="K2468" s="8">
        <v>5.7266419999999999E-5</v>
      </c>
      <c r="L2468" s="8">
        <v>5.6718300000000002E-5</v>
      </c>
      <c r="M2468" s="8">
        <v>5.574138E-5</v>
      </c>
      <c r="N2468" s="8">
        <v>5.4652859999999997E-5</v>
      </c>
      <c r="O2468">
        <v>0</v>
      </c>
      <c r="P2468">
        <v>0</v>
      </c>
      <c r="Q2468">
        <v>0</v>
      </c>
      <c r="R2468" t="s">
        <v>243</v>
      </c>
    </row>
    <row r="2469" spans="1:18" x14ac:dyDescent="0.3">
      <c r="A2469" t="s">
        <v>259</v>
      </c>
      <c r="B2469" t="s">
        <v>54</v>
      </c>
      <c r="C2469" t="s">
        <v>353</v>
      </c>
      <c r="D2469" s="8">
        <v>3.6368199999999999E-4</v>
      </c>
      <c r="E2469" s="8">
        <v>7.02429E-6</v>
      </c>
      <c r="F2469" s="8">
        <v>5.3880900000000003E-6</v>
      </c>
      <c r="G2469" s="8">
        <v>4.4301600000000003E-5</v>
      </c>
      <c r="H2469" s="8">
        <v>4.61761E-5</v>
      </c>
      <c r="I2469" s="8">
        <v>4.7809799999999998E-5</v>
      </c>
      <c r="J2469" s="8">
        <v>4.77027E-5</v>
      </c>
      <c r="K2469" s="8">
        <v>4.76291099999999E-5</v>
      </c>
      <c r="L2469" s="8">
        <v>4.7104799999999997E-5</v>
      </c>
      <c r="M2469" s="8">
        <v>4.6229000000000001E-5</v>
      </c>
      <c r="N2469" s="8">
        <v>4.1651309999999999E-5</v>
      </c>
      <c r="O2469">
        <v>0</v>
      </c>
      <c r="P2469">
        <v>0</v>
      </c>
      <c r="Q2469">
        <v>0</v>
      </c>
      <c r="R2469" t="s">
        <v>243</v>
      </c>
    </row>
    <row r="2470" spans="1:18" x14ac:dyDescent="0.3">
      <c r="A2470" t="s">
        <v>259</v>
      </c>
      <c r="B2470" t="s">
        <v>54</v>
      </c>
      <c r="C2470" t="s">
        <v>294</v>
      </c>
      <c r="D2470" s="8">
        <v>5.9531964000000001E-4</v>
      </c>
      <c r="E2470" s="8">
        <v>5.9318843000000004E-4</v>
      </c>
      <c r="F2470" s="8">
        <v>6.2183590000000003E-4</v>
      </c>
      <c r="G2470" s="8">
        <v>6.6495740000000001E-4</v>
      </c>
      <c r="H2470" s="8">
        <v>9.1391019999999897E-4</v>
      </c>
      <c r="I2470">
        <v>1.21378618E-3</v>
      </c>
      <c r="J2470">
        <v>1.41832787E-3</v>
      </c>
      <c r="K2470">
        <v>1.54301262499999E-3</v>
      </c>
      <c r="L2470">
        <v>1.59173422E-3</v>
      </c>
      <c r="M2470">
        <v>1.5946326199999901E-3</v>
      </c>
      <c r="N2470">
        <v>1.5561913599999901E-3</v>
      </c>
      <c r="O2470">
        <v>0</v>
      </c>
      <c r="P2470">
        <v>0</v>
      </c>
      <c r="Q2470">
        <v>0</v>
      </c>
      <c r="R2470" t="s">
        <v>243</v>
      </c>
    </row>
    <row r="2471" spans="1:18" x14ac:dyDescent="0.3">
      <c r="A2471" t="s">
        <v>259</v>
      </c>
      <c r="B2471" t="s">
        <v>54</v>
      </c>
      <c r="C2471" t="s">
        <v>295</v>
      </c>
      <c r="D2471">
        <v>5.2802562999999898E-3</v>
      </c>
      <c r="E2471">
        <v>7.6040150000000004E-3</v>
      </c>
      <c r="F2471">
        <v>6.6976680000000004E-3</v>
      </c>
      <c r="G2471">
        <v>6.0775960000000002E-3</v>
      </c>
      <c r="H2471">
        <v>6.2649289999999998E-3</v>
      </c>
      <c r="I2471">
        <v>6.4022248999999996E-3</v>
      </c>
      <c r="J2471">
        <v>6.2393252799999898E-3</v>
      </c>
      <c r="K2471">
        <v>6.13564942E-3</v>
      </c>
      <c r="L2471">
        <v>5.9635212400000002E-3</v>
      </c>
      <c r="M2471">
        <v>5.7271714700000004E-3</v>
      </c>
      <c r="N2471">
        <v>5.5247387200000001E-3</v>
      </c>
      <c r="O2471">
        <v>0</v>
      </c>
      <c r="P2471">
        <v>0</v>
      </c>
      <c r="Q2471">
        <v>0</v>
      </c>
      <c r="R2471" t="s">
        <v>243</v>
      </c>
    </row>
    <row r="2472" spans="1:18" x14ac:dyDescent="0.3">
      <c r="A2472" t="s">
        <v>259</v>
      </c>
      <c r="B2472" t="s">
        <v>54</v>
      </c>
      <c r="C2472" t="s">
        <v>296</v>
      </c>
      <c r="D2472">
        <v>1.1466308999999999E-3</v>
      </c>
      <c r="E2472">
        <v>1.3473997E-3</v>
      </c>
      <c r="F2472">
        <v>1.4239330999999899E-3</v>
      </c>
      <c r="G2472">
        <v>1.4897004E-3</v>
      </c>
      <c r="H2472">
        <v>1.7618137199999901E-3</v>
      </c>
      <c r="I2472">
        <v>2.16230635E-3</v>
      </c>
      <c r="J2472">
        <v>2.4096353599999901E-3</v>
      </c>
      <c r="K2472">
        <v>2.5546275299999999E-3</v>
      </c>
      <c r="L2472">
        <v>2.5963017500000001E-3</v>
      </c>
      <c r="M2472">
        <v>2.5774265499999998E-3</v>
      </c>
      <c r="N2472">
        <v>2.5186201599999999E-3</v>
      </c>
      <c r="O2472">
        <v>0</v>
      </c>
      <c r="P2472">
        <v>0</v>
      </c>
      <c r="Q2472">
        <v>0</v>
      </c>
      <c r="R2472" t="s">
        <v>243</v>
      </c>
    </row>
    <row r="2473" spans="1:18" x14ac:dyDescent="0.3">
      <c r="A2473" t="s">
        <v>259</v>
      </c>
      <c r="B2473" t="s">
        <v>54</v>
      </c>
      <c r="C2473" t="s">
        <v>297</v>
      </c>
      <c r="D2473">
        <v>1.6120838999999999E-3</v>
      </c>
      <c r="E2473">
        <v>1.9780723000000001E-3</v>
      </c>
      <c r="F2473">
        <v>2.0047058999999902E-3</v>
      </c>
      <c r="G2473">
        <v>2.0783771000000002E-3</v>
      </c>
      <c r="H2473">
        <v>2.3322711299999998E-3</v>
      </c>
      <c r="I2473">
        <v>2.7782583599999999E-3</v>
      </c>
      <c r="J2473">
        <v>3.0051986199999998E-3</v>
      </c>
      <c r="K2473">
        <v>3.13184289E-3</v>
      </c>
      <c r="L2473">
        <v>3.1470887800000001E-3</v>
      </c>
      <c r="M2473">
        <v>3.0945068599999999E-3</v>
      </c>
      <c r="N2473">
        <v>3.0100515299999902E-3</v>
      </c>
      <c r="O2473">
        <v>0</v>
      </c>
      <c r="P2473">
        <v>0</v>
      </c>
      <c r="Q2473">
        <v>0</v>
      </c>
      <c r="R2473" t="s">
        <v>243</v>
      </c>
    </row>
    <row r="2474" spans="1:18" x14ac:dyDescent="0.3">
      <c r="A2474" t="s">
        <v>259</v>
      </c>
      <c r="B2474" t="s">
        <v>54</v>
      </c>
      <c r="C2474" t="s">
        <v>298</v>
      </c>
      <c r="D2474">
        <v>1.9456141999999899E-3</v>
      </c>
      <c r="E2474">
        <v>2.5374645999999999E-3</v>
      </c>
      <c r="F2474">
        <v>2.5192467E-3</v>
      </c>
      <c r="G2474">
        <v>2.5607363000000002E-3</v>
      </c>
      <c r="H2474">
        <v>2.7877944400000001E-3</v>
      </c>
      <c r="I2474">
        <v>3.22737059999999E-3</v>
      </c>
      <c r="J2474">
        <v>3.43147972E-3</v>
      </c>
      <c r="K2474">
        <v>3.5390854799999998E-3</v>
      </c>
      <c r="L2474">
        <v>3.5331016299999999E-3</v>
      </c>
      <c r="M2474">
        <v>3.4630308599999998E-3</v>
      </c>
      <c r="N2474">
        <v>3.3699571299999902E-3</v>
      </c>
      <c r="O2474">
        <v>0</v>
      </c>
      <c r="P2474">
        <v>0</v>
      </c>
      <c r="Q2474">
        <v>0</v>
      </c>
      <c r="R2474" t="s">
        <v>243</v>
      </c>
    </row>
    <row r="2475" spans="1:18" x14ac:dyDescent="0.3">
      <c r="A2475" t="s">
        <v>259</v>
      </c>
      <c r="B2475" t="s">
        <v>54</v>
      </c>
      <c r="C2475" t="s">
        <v>299</v>
      </c>
      <c r="D2475">
        <v>2.2777048E-3</v>
      </c>
      <c r="E2475">
        <v>3.1084484999999999E-3</v>
      </c>
      <c r="F2475">
        <v>2.9896903999999998E-3</v>
      </c>
      <c r="G2475">
        <v>3.0086841999999998E-3</v>
      </c>
      <c r="H2475">
        <v>3.1924321999999999E-3</v>
      </c>
      <c r="I2475">
        <v>3.63436871E-3</v>
      </c>
      <c r="J2475">
        <v>3.8080614500000001E-3</v>
      </c>
      <c r="K2475">
        <v>3.8923947199999902E-3</v>
      </c>
      <c r="L2475">
        <v>3.8628271499999999E-3</v>
      </c>
      <c r="M2475">
        <v>3.7642876299999999E-3</v>
      </c>
      <c r="N2475">
        <v>3.6558192099999999E-3</v>
      </c>
      <c r="O2475">
        <v>0</v>
      </c>
      <c r="P2475">
        <v>0</v>
      </c>
      <c r="Q2475">
        <v>0</v>
      </c>
      <c r="R2475" t="s">
        <v>243</v>
      </c>
    </row>
    <row r="2476" spans="1:18" x14ac:dyDescent="0.3">
      <c r="A2476" t="s">
        <v>259</v>
      </c>
      <c r="B2476" t="s">
        <v>54</v>
      </c>
      <c r="C2476" t="s">
        <v>300</v>
      </c>
      <c r="D2476">
        <v>2.6461142999999999E-3</v>
      </c>
      <c r="E2476">
        <v>3.6750890999999999E-3</v>
      </c>
      <c r="F2476">
        <v>3.4365722999999998E-3</v>
      </c>
      <c r="G2476">
        <v>3.4184673999999998E-3</v>
      </c>
      <c r="H2476">
        <v>3.5933800599999999E-3</v>
      </c>
      <c r="I2476">
        <v>4.0216070199999999E-3</v>
      </c>
      <c r="J2476">
        <v>4.15479613E-3</v>
      </c>
      <c r="K2476">
        <v>4.2056740099999899E-3</v>
      </c>
      <c r="L2476">
        <v>4.1479568099999998E-3</v>
      </c>
      <c r="M2476">
        <v>4.0285626899999897E-3</v>
      </c>
      <c r="N2476">
        <v>3.9062207800000001E-3</v>
      </c>
      <c r="O2476">
        <v>0</v>
      </c>
      <c r="P2476">
        <v>0</v>
      </c>
      <c r="Q2476">
        <v>0</v>
      </c>
      <c r="R2476" t="s">
        <v>243</v>
      </c>
    </row>
    <row r="2477" spans="1:18" x14ac:dyDescent="0.3">
      <c r="A2477" t="s">
        <v>259</v>
      </c>
      <c r="B2477" t="s">
        <v>54</v>
      </c>
      <c r="C2477" t="s">
        <v>301</v>
      </c>
      <c r="D2477">
        <v>3.0562570000000002E-3</v>
      </c>
      <c r="E2477">
        <v>4.2487059000000001E-3</v>
      </c>
      <c r="F2477">
        <v>3.9000697999999898E-3</v>
      </c>
      <c r="G2477">
        <v>3.7934281999999998E-3</v>
      </c>
      <c r="H2477">
        <v>4.0080693000000001E-3</v>
      </c>
      <c r="I2477">
        <v>4.3941568199999999E-3</v>
      </c>
      <c r="J2477">
        <v>4.4785391700000003E-3</v>
      </c>
      <c r="K2477">
        <v>4.5085995599999998E-3</v>
      </c>
      <c r="L2477">
        <v>4.4351135099999902E-3</v>
      </c>
      <c r="M2477">
        <v>4.2962412299999897E-3</v>
      </c>
      <c r="N2477">
        <v>4.1611826300000003E-3</v>
      </c>
      <c r="O2477">
        <v>0</v>
      </c>
      <c r="P2477">
        <v>0</v>
      </c>
      <c r="Q2477">
        <v>0</v>
      </c>
      <c r="R2477" t="s">
        <v>243</v>
      </c>
    </row>
    <row r="2478" spans="1:18" x14ac:dyDescent="0.3">
      <c r="A2478" t="s">
        <v>259</v>
      </c>
      <c r="B2478" t="s">
        <v>54</v>
      </c>
      <c r="C2478" t="s">
        <v>302</v>
      </c>
      <c r="D2478">
        <v>3.4990448E-3</v>
      </c>
      <c r="E2478">
        <v>4.90214969999999E-3</v>
      </c>
      <c r="F2478">
        <v>4.4213545999999904E-3</v>
      </c>
      <c r="G2478">
        <v>4.2686764999999996E-3</v>
      </c>
      <c r="H2478">
        <v>4.4522841000000004E-3</v>
      </c>
      <c r="I2478">
        <v>4.8081228099999896E-3</v>
      </c>
      <c r="J2478">
        <v>4.8397869299999898E-3</v>
      </c>
      <c r="K2478">
        <v>4.8334455000000002E-3</v>
      </c>
      <c r="L2478">
        <v>4.7334587999999997E-3</v>
      </c>
      <c r="M2478">
        <v>4.5702415499999996E-3</v>
      </c>
      <c r="N2478">
        <v>4.42061470999999E-3</v>
      </c>
      <c r="O2478">
        <v>0</v>
      </c>
      <c r="P2478">
        <v>0</v>
      </c>
      <c r="Q2478">
        <v>0</v>
      </c>
      <c r="R2478" t="s">
        <v>243</v>
      </c>
    </row>
    <row r="2479" spans="1:18" x14ac:dyDescent="0.3">
      <c r="A2479" t="s">
        <v>259</v>
      </c>
      <c r="B2479" t="s">
        <v>54</v>
      </c>
      <c r="C2479" t="s">
        <v>303</v>
      </c>
      <c r="D2479">
        <v>4.2139242999999996E-3</v>
      </c>
      <c r="E2479">
        <v>5.69502409999999E-3</v>
      </c>
      <c r="F2479">
        <v>5.1580059999999997E-3</v>
      </c>
      <c r="G2479">
        <v>4.8402239999999997E-3</v>
      </c>
      <c r="H2479">
        <v>5.0453998999999998E-3</v>
      </c>
      <c r="I2479">
        <v>5.3193665500000003E-3</v>
      </c>
      <c r="J2479">
        <v>5.2764938800000001E-3</v>
      </c>
      <c r="K2479">
        <v>5.23455612E-3</v>
      </c>
      <c r="L2479">
        <v>5.1063276399999904E-3</v>
      </c>
      <c r="M2479">
        <v>4.9150848800000001E-3</v>
      </c>
      <c r="N2479">
        <v>4.74570854E-3</v>
      </c>
      <c r="O2479">
        <v>0</v>
      </c>
      <c r="P2479">
        <v>0</v>
      </c>
      <c r="Q2479">
        <v>0</v>
      </c>
      <c r="R2479" t="s">
        <v>243</v>
      </c>
    </row>
    <row r="2480" spans="1:18" x14ac:dyDescent="0.3">
      <c r="A2480" t="s">
        <v>259</v>
      </c>
      <c r="B2480" t="s">
        <v>54</v>
      </c>
      <c r="C2480" t="s">
        <v>304</v>
      </c>
      <c r="D2480" s="8">
        <v>6.35507E-4</v>
      </c>
      <c r="E2480" s="8">
        <v>9.2400499999999999E-4</v>
      </c>
      <c r="F2480">
        <v>1.24676E-3</v>
      </c>
      <c r="G2480">
        <v>1.3945400000000001E-3</v>
      </c>
      <c r="H2480">
        <v>1.844229E-3</v>
      </c>
      <c r="I2480">
        <v>2.1000949999999902E-3</v>
      </c>
      <c r="J2480">
        <v>2.2116990000000001E-3</v>
      </c>
      <c r="K2480">
        <v>2.276138E-3</v>
      </c>
      <c r="L2480">
        <v>2.2892099999999999E-3</v>
      </c>
      <c r="M2480">
        <v>2.2728029999999999E-3</v>
      </c>
      <c r="N2480">
        <v>2.2383020000000002E-3</v>
      </c>
      <c r="O2480">
        <v>0</v>
      </c>
      <c r="P2480">
        <v>0</v>
      </c>
      <c r="Q2480">
        <v>0</v>
      </c>
      <c r="R2480" t="s">
        <v>243</v>
      </c>
    </row>
    <row r="2481" spans="1:18" x14ac:dyDescent="0.3">
      <c r="A2481" t="s">
        <v>259</v>
      </c>
      <c r="B2481" t="s">
        <v>54</v>
      </c>
      <c r="C2481" t="s">
        <v>305</v>
      </c>
      <c r="D2481">
        <v>2.3811700000000002E-3</v>
      </c>
      <c r="E2481">
        <v>4.34002E-3</v>
      </c>
      <c r="F2481">
        <v>5.1681000000000001E-3</v>
      </c>
      <c r="G2481">
        <v>5.4328299999999996E-3</v>
      </c>
      <c r="H2481">
        <v>5.6687700000000001E-3</v>
      </c>
      <c r="I2481">
        <v>5.8276100000000004E-3</v>
      </c>
      <c r="J2481">
        <v>5.7845309999999999E-3</v>
      </c>
      <c r="K2481">
        <v>5.749545E-3</v>
      </c>
      <c r="L2481">
        <v>5.6737599999999999E-3</v>
      </c>
      <c r="M2481">
        <v>5.5618809999999899E-3</v>
      </c>
      <c r="N2481">
        <v>5.442779E-3</v>
      </c>
      <c r="O2481">
        <v>0</v>
      </c>
      <c r="P2481">
        <v>0</v>
      </c>
      <c r="Q2481">
        <v>0</v>
      </c>
      <c r="R2481" t="s">
        <v>243</v>
      </c>
    </row>
    <row r="2482" spans="1:18" x14ac:dyDescent="0.3">
      <c r="A2482" t="s">
        <v>259</v>
      </c>
      <c r="B2482" t="s">
        <v>54</v>
      </c>
      <c r="C2482" t="s">
        <v>306</v>
      </c>
      <c r="D2482">
        <v>1.0096199999999999E-3</v>
      </c>
      <c r="E2482">
        <v>1.63999E-3</v>
      </c>
      <c r="F2482">
        <v>2.1565400000000002E-3</v>
      </c>
      <c r="G2482">
        <v>2.34161E-3</v>
      </c>
      <c r="H2482">
        <v>2.6485699999999998E-3</v>
      </c>
      <c r="I2482">
        <v>2.87134E-3</v>
      </c>
      <c r="J2482">
        <v>2.9517739999999999E-3</v>
      </c>
      <c r="K2482">
        <v>2.9995180000000001E-3</v>
      </c>
      <c r="L2482">
        <v>2.9988770000000001E-3</v>
      </c>
      <c r="M2482">
        <v>2.9684830000000001E-3</v>
      </c>
      <c r="N2482">
        <v>2.9228709999999901E-3</v>
      </c>
      <c r="O2482">
        <v>0</v>
      </c>
      <c r="P2482">
        <v>0</v>
      </c>
      <c r="Q2482">
        <v>0</v>
      </c>
      <c r="R2482" t="s">
        <v>243</v>
      </c>
    </row>
    <row r="2483" spans="1:18" x14ac:dyDescent="0.3">
      <c r="A2483" t="s">
        <v>259</v>
      </c>
      <c r="B2483" t="s">
        <v>54</v>
      </c>
      <c r="C2483" t="s">
        <v>307</v>
      </c>
      <c r="D2483">
        <v>1.24562E-3</v>
      </c>
      <c r="E2483">
        <v>2.0606399999999999E-3</v>
      </c>
      <c r="F2483">
        <v>2.6166900000000001E-3</v>
      </c>
      <c r="G2483">
        <v>2.8248800000000001E-3</v>
      </c>
      <c r="H2483">
        <v>3.06595E-3</v>
      </c>
      <c r="I2483">
        <v>3.2843059999999999E-3</v>
      </c>
      <c r="J2483">
        <v>3.3411369999999901E-3</v>
      </c>
      <c r="K2483">
        <v>3.3758099999999999E-3</v>
      </c>
      <c r="L2483">
        <v>3.3632219999999999E-3</v>
      </c>
      <c r="M2483">
        <v>3.3182149999999998E-3</v>
      </c>
      <c r="N2483">
        <v>3.2591040000000001E-3</v>
      </c>
      <c r="O2483">
        <v>0</v>
      </c>
      <c r="P2483">
        <v>0</v>
      </c>
      <c r="Q2483">
        <v>0</v>
      </c>
      <c r="R2483" t="s">
        <v>243</v>
      </c>
    </row>
    <row r="2484" spans="1:18" x14ac:dyDescent="0.3">
      <c r="A2484" t="s">
        <v>259</v>
      </c>
      <c r="B2484" t="s">
        <v>54</v>
      </c>
      <c r="C2484" t="s">
        <v>308</v>
      </c>
      <c r="D2484">
        <v>1.3863E-3</v>
      </c>
      <c r="E2484">
        <v>2.35972E-3</v>
      </c>
      <c r="F2484">
        <v>2.9539800000000001E-3</v>
      </c>
      <c r="G2484">
        <v>3.16497E-3</v>
      </c>
      <c r="H2484">
        <v>3.3669199999999998E-3</v>
      </c>
      <c r="I2484">
        <v>3.56792499999999E-3</v>
      </c>
      <c r="J2484">
        <v>3.6141699999999999E-3</v>
      </c>
      <c r="K2484">
        <v>3.6422780000000001E-3</v>
      </c>
      <c r="L2484">
        <v>3.6235499999999901E-3</v>
      </c>
      <c r="M2484">
        <v>3.5756749999999999E-3</v>
      </c>
      <c r="N2484">
        <v>3.5146869999999998E-3</v>
      </c>
      <c r="O2484">
        <v>0</v>
      </c>
      <c r="P2484">
        <v>0</v>
      </c>
      <c r="Q2484">
        <v>0</v>
      </c>
      <c r="R2484" t="s">
        <v>243</v>
      </c>
    </row>
    <row r="2485" spans="1:18" x14ac:dyDescent="0.3">
      <c r="A2485" t="s">
        <v>259</v>
      </c>
      <c r="B2485" t="s">
        <v>54</v>
      </c>
      <c r="C2485" t="s">
        <v>309</v>
      </c>
      <c r="D2485">
        <v>1.50997E-3</v>
      </c>
      <c r="E2485">
        <v>2.6214300000000001E-3</v>
      </c>
      <c r="F2485">
        <v>3.2278300000000001E-3</v>
      </c>
      <c r="G2485">
        <v>3.45568E-3</v>
      </c>
      <c r="H2485">
        <v>3.6205299999999998E-3</v>
      </c>
      <c r="I2485">
        <v>3.8207129999999999E-3</v>
      </c>
      <c r="J2485">
        <v>3.8583480000000002E-3</v>
      </c>
      <c r="K2485">
        <v>3.8804569999999999E-3</v>
      </c>
      <c r="L2485">
        <v>3.8552920000000002E-3</v>
      </c>
      <c r="M2485">
        <v>3.7967809999999999E-3</v>
      </c>
      <c r="N2485">
        <v>3.7288209999999998E-3</v>
      </c>
      <c r="O2485">
        <v>0</v>
      </c>
      <c r="P2485">
        <v>0</v>
      </c>
      <c r="Q2485">
        <v>0</v>
      </c>
      <c r="R2485" t="s">
        <v>243</v>
      </c>
    </row>
    <row r="2486" spans="1:18" x14ac:dyDescent="0.3">
      <c r="A2486" t="s">
        <v>259</v>
      </c>
      <c r="B2486" t="s">
        <v>54</v>
      </c>
      <c r="C2486" t="s">
        <v>310</v>
      </c>
      <c r="D2486">
        <v>1.6334100000000001E-3</v>
      </c>
      <c r="E2486">
        <v>2.8540800000000002E-3</v>
      </c>
      <c r="F2486">
        <v>3.46898E-3</v>
      </c>
      <c r="G2486">
        <v>3.7097499999999999E-3</v>
      </c>
      <c r="H2486">
        <v>3.8661299999999902E-3</v>
      </c>
      <c r="I2486">
        <v>4.0628699999999997E-3</v>
      </c>
      <c r="J2486">
        <v>4.0901410000000003E-3</v>
      </c>
      <c r="K2486">
        <v>4.1012050000000001E-3</v>
      </c>
      <c r="L2486">
        <v>4.066203E-3</v>
      </c>
      <c r="M2486">
        <v>4.0019010000000004E-3</v>
      </c>
      <c r="N2486">
        <v>3.9275780000000001E-3</v>
      </c>
      <c r="O2486">
        <v>0</v>
      </c>
      <c r="P2486">
        <v>0</v>
      </c>
      <c r="Q2486">
        <v>0</v>
      </c>
      <c r="R2486" t="s">
        <v>243</v>
      </c>
    </row>
    <row r="2487" spans="1:18" x14ac:dyDescent="0.3">
      <c r="A2487" t="s">
        <v>259</v>
      </c>
      <c r="B2487" t="s">
        <v>54</v>
      </c>
      <c r="C2487" t="s">
        <v>311</v>
      </c>
      <c r="D2487">
        <v>1.7591E-3</v>
      </c>
      <c r="E2487">
        <v>3.0730900000000001E-3</v>
      </c>
      <c r="F2487">
        <v>3.7072799999999999E-3</v>
      </c>
      <c r="G2487">
        <v>3.9374900000000001E-3</v>
      </c>
      <c r="H2487">
        <v>4.1193899999999997E-3</v>
      </c>
      <c r="I2487">
        <v>4.3016699999999996E-3</v>
      </c>
      <c r="J2487">
        <v>4.3162010000000004E-3</v>
      </c>
      <c r="K2487">
        <v>4.3266729999999996E-3</v>
      </c>
      <c r="L2487">
        <v>4.2912469999999998E-3</v>
      </c>
      <c r="M2487">
        <v>4.2221630000000001E-3</v>
      </c>
      <c r="N2487">
        <v>4.142565E-3</v>
      </c>
      <c r="O2487">
        <v>0</v>
      </c>
      <c r="P2487">
        <v>0</v>
      </c>
      <c r="Q2487">
        <v>0</v>
      </c>
      <c r="R2487" t="s">
        <v>243</v>
      </c>
    </row>
    <row r="2488" spans="1:18" x14ac:dyDescent="0.3">
      <c r="A2488" t="s">
        <v>259</v>
      </c>
      <c r="B2488" t="s">
        <v>54</v>
      </c>
      <c r="C2488" t="s">
        <v>312</v>
      </c>
      <c r="D2488">
        <v>1.8860400000000001E-3</v>
      </c>
      <c r="E2488">
        <v>3.3119400000000002E-3</v>
      </c>
      <c r="F2488">
        <v>3.9680100000000001E-3</v>
      </c>
      <c r="G2488">
        <v>4.2256200000000002E-3</v>
      </c>
      <c r="H2488">
        <v>4.3925500000000003E-3</v>
      </c>
      <c r="I2488">
        <v>4.5775999999999898E-3</v>
      </c>
      <c r="J2488">
        <v>4.5834819999999998E-3</v>
      </c>
      <c r="K2488">
        <v>4.5836399999999999E-3</v>
      </c>
      <c r="L2488">
        <v>4.5397700000000003E-3</v>
      </c>
      <c r="M2488">
        <v>4.4615709999999897E-3</v>
      </c>
      <c r="N2488">
        <v>4.3744470000000001E-3</v>
      </c>
      <c r="O2488">
        <v>0</v>
      </c>
      <c r="P2488">
        <v>0</v>
      </c>
      <c r="Q2488">
        <v>0</v>
      </c>
      <c r="R2488" t="s">
        <v>243</v>
      </c>
    </row>
    <row r="2489" spans="1:18" x14ac:dyDescent="0.3">
      <c r="A2489" t="s">
        <v>259</v>
      </c>
      <c r="B2489" t="s">
        <v>54</v>
      </c>
      <c r="C2489" t="s">
        <v>313</v>
      </c>
      <c r="D2489">
        <v>2.0823600000000001E-3</v>
      </c>
      <c r="E2489">
        <v>3.5978899999999999E-3</v>
      </c>
      <c r="F2489">
        <v>4.3354999999999999E-3</v>
      </c>
      <c r="G2489">
        <v>4.5804000000000001E-3</v>
      </c>
      <c r="H2489">
        <v>4.7741699999999899E-3</v>
      </c>
      <c r="I2489">
        <v>4.9430400000000001E-3</v>
      </c>
      <c r="J2489">
        <v>4.9319329999999899E-3</v>
      </c>
      <c r="K2489">
        <v>4.9243280000000004E-3</v>
      </c>
      <c r="L2489">
        <v>4.8701100000000004E-3</v>
      </c>
      <c r="M2489">
        <v>4.7795749999999899E-3</v>
      </c>
      <c r="N2489">
        <v>4.6804869999999997E-3</v>
      </c>
      <c r="O2489">
        <v>0</v>
      </c>
      <c r="P2489">
        <v>0</v>
      </c>
      <c r="Q2489">
        <v>0</v>
      </c>
      <c r="R2489" t="s">
        <v>243</v>
      </c>
    </row>
    <row r="2490" spans="1:18" x14ac:dyDescent="0.3">
      <c r="A2490" t="s">
        <v>259</v>
      </c>
      <c r="B2490" t="s">
        <v>54</v>
      </c>
      <c r="C2490" t="s">
        <v>314</v>
      </c>
      <c r="D2490" s="8">
        <v>1.07921E-4</v>
      </c>
      <c r="E2490" s="8">
        <v>1.58233E-4</v>
      </c>
      <c r="F2490" s="8">
        <v>2.1766900000000001E-4</v>
      </c>
      <c r="G2490" s="8">
        <v>2.4792299999999999E-4</v>
      </c>
      <c r="H2490" s="8">
        <v>3.3471199999999998E-4</v>
      </c>
      <c r="I2490" s="8">
        <v>3.78322E-4</v>
      </c>
      <c r="J2490" s="8">
        <v>3.9838900000000002E-4</v>
      </c>
      <c r="K2490" s="8">
        <v>4.06943E-4</v>
      </c>
      <c r="L2490" s="8">
        <v>4.05356E-4</v>
      </c>
      <c r="M2490" s="8">
        <v>3.9901100000000001E-4</v>
      </c>
      <c r="N2490" s="8">
        <v>3.89088E-4</v>
      </c>
      <c r="O2490">
        <v>0</v>
      </c>
      <c r="P2490">
        <v>0</v>
      </c>
      <c r="Q2490">
        <v>0</v>
      </c>
      <c r="R2490" t="s">
        <v>243</v>
      </c>
    </row>
    <row r="2491" spans="1:18" x14ac:dyDescent="0.3">
      <c r="A2491" t="s">
        <v>259</v>
      </c>
      <c r="B2491" t="s">
        <v>54</v>
      </c>
      <c r="C2491" t="s">
        <v>315</v>
      </c>
      <c r="D2491" s="8">
        <v>4.5763599999999998E-4</v>
      </c>
      <c r="E2491" s="8">
        <v>8.2492299999999998E-4</v>
      </c>
      <c r="F2491" s="8">
        <v>9.7747999999999997E-4</v>
      </c>
      <c r="G2491">
        <v>1.0238199999999999E-3</v>
      </c>
      <c r="H2491">
        <v>1.0452700000000001E-3</v>
      </c>
      <c r="I2491">
        <v>1.0575300000000001E-3</v>
      </c>
      <c r="J2491">
        <v>1.0486200000000001E-3</v>
      </c>
      <c r="K2491">
        <v>1.0299700000000001E-3</v>
      </c>
      <c r="L2491">
        <v>1.00512E-3</v>
      </c>
      <c r="M2491" s="8">
        <v>9.7715999999999992E-4</v>
      </c>
      <c r="N2491" s="8">
        <v>9.4632199999999998E-4</v>
      </c>
      <c r="O2491">
        <v>0</v>
      </c>
      <c r="P2491">
        <v>0</v>
      </c>
      <c r="Q2491">
        <v>0</v>
      </c>
      <c r="R2491" t="s">
        <v>243</v>
      </c>
    </row>
    <row r="2492" spans="1:18" x14ac:dyDescent="0.3">
      <c r="A2492" t="s">
        <v>259</v>
      </c>
      <c r="B2492" t="s">
        <v>54</v>
      </c>
      <c r="C2492" t="s">
        <v>316</v>
      </c>
      <c r="D2492" s="8">
        <v>1.7943500000000001E-4</v>
      </c>
      <c r="E2492" s="8">
        <v>2.9443299999999998E-4</v>
      </c>
      <c r="F2492" s="8">
        <v>3.93674E-4</v>
      </c>
      <c r="G2492" s="8">
        <v>4.3225099999999998E-4</v>
      </c>
      <c r="H2492" s="8">
        <v>4.8724800000000002E-4</v>
      </c>
      <c r="I2492" s="8">
        <v>5.2114700000000002E-4</v>
      </c>
      <c r="J2492" s="8">
        <v>5.3473799999999999E-4</v>
      </c>
      <c r="K2492" s="8">
        <v>5.3736099999999998E-4</v>
      </c>
      <c r="L2492" s="8">
        <v>5.3142100000000002E-4</v>
      </c>
      <c r="M2492" s="8">
        <v>5.2149100000000001E-4</v>
      </c>
      <c r="N2492" s="8">
        <v>5.0821899999999997E-4</v>
      </c>
      <c r="O2492">
        <v>0</v>
      </c>
      <c r="P2492">
        <v>0</v>
      </c>
      <c r="Q2492">
        <v>0</v>
      </c>
      <c r="R2492" t="s">
        <v>243</v>
      </c>
    </row>
    <row r="2493" spans="1:18" x14ac:dyDescent="0.3">
      <c r="A2493" t="s">
        <v>259</v>
      </c>
      <c r="B2493" t="s">
        <v>54</v>
      </c>
      <c r="C2493" t="s">
        <v>317</v>
      </c>
      <c r="D2493" s="8">
        <v>2.2729400000000001E-4</v>
      </c>
      <c r="E2493" s="8">
        <v>3.7877499999999998E-4</v>
      </c>
      <c r="F2493" s="8">
        <v>4.85756E-4</v>
      </c>
      <c r="G2493" s="8">
        <v>5.2760000000000003E-4</v>
      </c>
      <c r="H2493" s="8">
        <v>5.6510900000000005E-4</v>
      </c>
      <c r="I2493" s="8">
        <v>5.9643599999999999E-4</v>
      </c>
      <c r="J2493" s="8">
        <v>6.05588E-4</v>
      </c>
      <c r="K2493" s="8">
        <v>6.0477399999999998E-4</v>
      </c>
      <c r="L2493" s="8">
        <v>5.9594499999999996E-4</v>
      </c>
      <c r="M2493" s="8">
        <v>5.8294900000000003E-4</v>
      </c>
      <c r="N2493" s="8">
        <v>5.6666400000000003E-4</v>
      </c>
      <c r="O2493">
        <v>0</v>
      </c>
      <c r="P2493">
        <v>0</v>
      </c>
      <c r="Q2493">
        <v>0</v>
      </c>
      <c r="R2493" t="s">
        <v>243</v>
      </c>
    </row>
    <row r="2494" spans="1:18" x14ac:dyDescent="0.3">
      <c r="A2494" t="s">
        <v>259</v>
      </c>
      <c r="B2494" t="s">
        <v>54</v>
      </c>
      <c r="C2494" t="s">
        <v>318</v>
      </c>
      <c r="D2494" s="8">
        <v>2.5655900000000001E-4</v>
      </c>
      <c r="E2494" s="8">
        <v>4.3962599999999998E-4</v>
      </c>
      <c r="F2494" s="8">
        <v>5.5315500000000005E-4</v>
      </c>
      <c r="G2494" s="8">
        <v>5.93978E-4</v>
      </c>
      <c r="H2494" s="8">
        <v>6.2080900000000005E-4</v>
      </c>
      <c r="I2494" s="8">
        <v>6.4785699999999995E-4</v>
      </c>
      <c r="J2494" s="8">
        <v>6.5516999999999995E-4</v>
      </c>
      <c r="K2494" s="8">
        <v>6.5250499999999995E-4</v>
      </c>
      <c r="L2494" s="8">
        <v>6.4203399999999999E-4</v>
      </c>
      <c r="M2494" s="8">
        <v>6.2820200000000001E-4</v>
      </c>
      <c r="N2494" s="8">
        <v>6.1110799999999996E-4</v>
      </c>
      <c r="O2494">
        <v>0</v>
      </c>
      <c r="P2494">
        <v>0</v>
      </c>
      <c r="Q2494">
        <v>0</v>
      </c>
      <c r="R2494" t="s">
        <v>243</v>
      </c>
    </row>
    <row r="2495" spans="1:18" x14ac:dyDescent="0.3">
      <c r="A2495" t="s">
        <v>259</v>
      </c>
      <c r="B2495" t="s">
        <v>54</v>
      </c>
      <c r="C2495" t="s">
        <v>319</v>
      </c>
      <c r="D2495" s="8">
        <v>2.82508E-4</v>
      </c>
      <c r="E2495" s="8">
        <v>4.9269600000000004E-4</v>
      </c>
      <c r="F2495" s="8">
        <v>6.0727299999999997E-4</v>
      </c>
      <c r="G2495" s="8">
        <v>6.5002799999999998E-4</v>
      </c>
      <c r="H2495" s="8">
        <v>6.6757399999999999E-4</v>
      </c>
      <c r="I2495" s="8">
        <v>6.9366499999999999E-4</v>
      </c>
      <c r="J2495" s="8">
        <v>6.99491E-4</v>
      </c>
      <c r="K2495" s="8">
        <v>6.9515199999999999E-4</v>
      </c>
      <c r="L2495" s="8">
        <v>6.8307100000000005E-4</v>
      </c>
      <c r="M2495" s="8">
        <v>6.6705300000000003E-4</v>
      </c>
      <c r="N2495" s="8">
        <v>6.4833200000000005E-4</v>
      </c>
      <c r="O2495">
        <v>0</v>
      </c>
      <c r="P2495">
        <v>0</v>
      </c>
      <c r="Q2495">
        <v>0</v>
      </c>
      <c r="R2495" t="s">
        <v>243</v>
      </c>
    </row>
    <row r="2496" spans="1:18" x14ac:dyDescent="0.3">
      <c r="A2496" t="s">
        <v>259</v>
      </c>
      <c r="B2496" t="s">
        <v>54</v>
      </c>
      <c r="C2496" t="s">
        <v>320</v>
      </c>
      <c r="D2496" s="8">
        <v>3.0838699999999997E-4</v>
      </c>
      <c r="E2496" s="8">
        <v>5.3927599999999999E-4</v>
      </c>
      <c r="F2496" s="8">
        <v>6.5432800000000003E-4</v>
      </c>
      <c r="G2496" s="8">
        <v>6.9854800000000001E-4</v>
      </c>
      <c r="H2496" s="8">
        <v>7.1285700000000001E-4</v>
      </c>
      <c r="I2496" s="8">
        <v>7.3755900000000004E-4</v>
      </c>
      <c r="J2496" s="8">
        <v>7.4152500000000004E-4</v>
      </c>
      <c r="K2496" s="8">
        <v>7.3468199999999996E-4</v>
      </c>
      <c r="L2496" s="8">
        <v>7.2041E-4</v>
      </c>
      <c r="M2496" s="8">
        <v>7.0309699999999997E-4</v>
      </c>
      <c r="N2496" s="8">
        <v>6.8288699999999997E-4</v>
      </c>
      <c r="O2496">
        <v>0</v>
      </c>
      <c r="P2496">
        <v>0</v>
      </c>
      <c r="Q2496">
        <v>0</v>
      </c>
      <c r="R2496" t="s">
        <v>243</v>
      </c>
    </row>
    <row r="2497" spans="1:18" x14ac:dyDescent="0.3">
      <c r="A2497" t="s">
        <v>259</v>
      </c>
      <c r="B2497" t="s">
        <v>54</v>
      </c>
      <c r="C2497" t="s">
        <v>321</v>
      </c>
      <c r="D2497" s="8">
        <v>3.3448800000000003E-4</v>
      </c>
      <c r="E2497" s="8">
        <v>5.8244600000000003E-4</v>
      </c>
      <c r="F2497" s="8">
        <v>7.0030500000000002E-4</v>
      </c>
      <c r="G2497" s="8">
        <v>7.4177499999999996E-4</v>
      </c>
      <c r="H2497" s="8">
        <v>7.5959900000000002E-4</v>
      </c>
      <c r="I2497" s="8">
        <v>7.8085000000000003E-4</v>
      </c>
      <c r="J2497" s="8">
        <v>7.8247699999999996E-4</v>
      </c>
      <c r="K2497" s="8">
        <v>7.7509699999999998E-4</v>
      </c>
      <c r="L2497" s="8">
        <v>7.6027899999999999E-4</v>
      </c>
      <c r="M2497" s="8">
        <v>7.4178899999999997E-4</v>
      </c>
      <c r="N2497" s="8">
        <v>7.2026800000000004E-4</v>
      </c>
      <c r="O2497">
        <v>0</v>
      </c>
      <c r="P2497">
        <v>0</v>
      </c>
      <c r="Q2497">
        <v>0</v>
      </c>
      <c r="R2497" t="s">
        <v>243</v>
      </c>
    </row>
    <row r="2498" spans="1:18" x14ac:dyDescent="0.3">
      <c r="A2498" t="s">
        <v>259</v>
      </c>
      <c r="B2498" t="s">
        <v>54</v>
      </c>
      <c r="C2498" t="s">
        <v>322</v>
      </c>
      <c r="D2498" s="8">
        <v>3.6041799999999999E-4</v>
      </c>
      <c r="E2498" s="8">
        <v>6.2882499999999996E-4</v>
      </c>
      <c r="F2498" s="8">
        <v>7.5015100000000001E-4</v>
      </c>
      <c r="G2498" s="8">
        <v>7.9624899999999996E-4</v>
      </c>
      <c r="H2498" s="8">
        <v>8.0991400000000001E-4</v>
      </c>
      <c r="I2498" s="8">
        <v>8.3086800000000001E-4</v>
      </c>
      <c r="J2498" s="8">
        <v>8.3095499999999997E-4</v>
      </c>
      <c r="K2498" s="8">
        <v>8.2110600000000005E-4</v>
      </c>
      <c r="L2498" s="8">
        <v>8.0428800000000001E-4</v>
      </c>
      <c r="M2498" s="8">
        <v>7.8385599999999998E-4</v>
      </c>
      <c r="N2498" s="8">
        <v>7.6057999999999996E-4</v>
      </c>
      <c r="O2498">
        <v>0</v>
      </c>
      <c r="P2498">
        <v>0</v>
      </c>
      <c r="Q2498">
        <v>0</v>
      </c>
      <c r="R2498" t="s">
        <v>243</v>
      </c>
    </row>
    <row r="2499" spans="1:18" x14ac:dyDescent="0.3">
      <c r="A2499" t="s">
        <v>259</v>
      </c>
      <c r="B2499" t="s">
        <v>54</v>
      </c>
      <c r="C2499" t="s">
        <v>323</v>
      </c>
      <c r="D2499" s="8">
        <v>3.9956300000000002E-4</v>
      </c>
      <c r="E2499" s="8">
        <v>6.83681E-4</v>
      </c>
      <c r="F2499" s="8">
        <v>8.1993599999999995E-4</v>
      </c>
      <c r="G2499" s="8">
        <v>8.63169E-4</v>
      </c>
      <c r="H2499" s="8">
        <v>8.8030699999999999E-4</v>
      </c>
      <c r="I2499" s="8">
        <v>8.9711599999999999E-4</v>
      </c>
      <c r="J2499" s="8">
        <v>8.9409299999999999E-4</v>
      </c>
      <c r="K2499" s="8">
        <v>8.8215199999999998E-4</v>
      </c>
      <c r="L2499" s="8">
        <v>8.6279E-4</v>
      </c>
      <c r="M2499" s="8">
        <v>8.3971299999999996E-4</v>
      </c>
      <c r="N2499" s="8">
        <v>8.1378799999999997E-4</v>
      </c>
      <c r="O2499">
        <v>0</v>
      </c>
      <c r="P2499">
        <v>0</v>
      </c>
      <c r="Q2499">
        <v>0</v>
      </c>
      <c r="R2499" t="s">
        <v>243</v>
      </c>
    </row>
    <row r="2500" spans="1:18" x14ac:dyDescent="0.3">
      <c r="A2500" t="s">
        <v>259</v>
      </c>
      <c r="B2500" t="s">
        <v>429</v>
      </c>
      <c r="C2500" t="s">
        <v>261</v>
      </c>
      <c r="D2500" s="8">
        <v>9.6718399999999995E-4</v>
      </c>
      <c r="E2500" s="8">
        <v>7.1066900000000004E-4</v>
      </c>
      <c r="F2500" s="8">
        <v>7.4655670999999998E-4</v>
      </c>
      <c r="G2500" s="8">
        <v>8.478623E-4</v>
      </c>
      <c r="H2500">
        <v>1.16605952E-3</v>
      </c>
      <c r="I2500">
        <v>1.48652372E-3</v>
      </c>
      <c r="J2500">
        <v>1.8926659000000001E-3</v>
      </c>
      <c r="K2500">
        <v>2.3345436500000001E-3</v>
      </c>
      <c r="L2500">
        <v>2.6772550400000002E-3</v>
      </c>
      <c r="M2500">
        <v>2.9344949299999999E-3</v>
      </c>
      <c r="N2500">
        <v>3.1232034299999898E-3</v>
      </c>
      <c r="O2500">
        <v>0</v>
      </c>
      <c r="P2500">
        <v>0</v>
      </c>
      <c r="Q2500">
        <v>0</v>
      </c>
      <c r="R2500" t="s">
        <v>243</v>
      </c>
    </row>
    <row r="2501" spans="1:18" x14ac:dyDescent="0.3">
      <c r="A2501" t="s">
        <v>259</v>
      </c>
      <c r="B2501" t="s">
        <v>429</v>
      </c>
      <c r="C2501" t="s">
        <v>262</v>
      </c>
      <c r="D2501">
        <v>2.6171443999999999E-2</v>
      </c>
      <c r="E2501">
        <v>8.2682657599999904E-3</v>
      </c>
      <c r="F2501">
        <v>1.2461471999999999E-2</v>
      </c>
      <c r="G2501">
        <v>1.12630973E-2</v>
      </c>
      <c r="H2501">
        <v>1.0082466559000001E-2</v>
      </c>
      <c r="I2501">
        <v>1.1967628299400001E-2</v>
      </c>
      <c r="J2501">
        <v>1.3880298727400001E-2</v>
      </c>
      <c r="K2501">
        <v>1.4437526288199999E-2</v>
      </c>
      <c r="L2501">
        <v>1.4884702663700001E-2</v>
      </c>
      <c r="M2501">
        <v>1.5329820002499901E-2</v>
      </c>
      <c r="N2501">
        <v>1.54523719857E-2</v>
      </c>
      <c r="O2501">
        <v>0</v>
      </c>
      <c r="P2501">
        <v>0</v>
      </c>
      <c r="Q2501">
        <v>0</v>
      </c>
      <c r="R2501" t="s">
        <v>243</v>
      </c>
    </row>
    <row r="2502" spans="1:18" x14ac:dyDescent="0.3">
      <c r="A2502" t="s">
        <v>259</v>
      </c>
      <c r="B2502" t="s">
        <v>429</v>
      </c>
      <c r="C2502" t="s">
        <v>263</v>
      </c>
      <c r="D2502">
        <v>7.5630214000000001E-2</v>
      </c>
      <c r="E2502">
        <v>2.43067529999999E-2</v>
      </c>
      <c r="F2502">
        <v>2.8577434999999901E-2</v>
      </c>
      <c r="G2502">
        <v>3.2337780000000003E-2</v>
      </c>
      <c r="H2502">
        <v>3.6282900999999902E-2</v>
      </c>
      <c r="I2502">
        <v>4.4504729029999898E-2</v>
      </c>
      <c r="J2502">
        <v>5.2856425899999997E-2</v>
      </c>
      <c r="K2502">
        <v>5.9041013599999997E-2</v>
      </c>
      <c r="L2502">
        <v>6.2760860000000002E-2</v>
      </c>
      <c r="M2502">
        <v>6.5012115299999895E-2</v>
      </c>
      <c r="N2502">
        <v>6.6220314799999902E-2</v>
      </c>
      <c r="O2502">
        <v>0</v>
      </c>
      <c r="P2502">
        <v>0</v>
      </c>
      <c r="Q2502">
        <v>0</v>
      </c>
      <c r="R2502" t="s">
        <v>243</v>
      </c>
    </row>
    <row r="2503" spans="1:18" x14ac:dyDescent="0.3">
      <c r="A2503" t="s">
        <v>259</v>
      </c>
      <c r="B2503" t="s">
        <v>429</v>
      </c>
      <c r="C2503" t="s">
        <v>324</v>
      </c>
      <c r="D2503" s="8">
        <v>8.5557300000000002E-5</v>
      </c>
      <c r="E2503" s="8">
        <v>9.7129399999999999E-5</v>
      </c>
      <c r="F2503" s="8">
        <v>5.2219499999999997E-5</v>
      </c>
      <c r="G2503" s="8">
        <v>3.1975199999999998E-5</v>
      </c>
      <c r="H2503" s="8">
        <v>3.2542700000000003E-5</v>
      </c>
      <c r="I2503" s="8">
        <v>3.4002160000000002E-5</v>
      </c>
      <c r="J2503" s="8">
        <v>3.516481E-5</v>
      </c>
      <c r="K2503" s="8">
        <v>3.6193999999999999E-5</v>
      </c>
      <c r="L2503" s="8">
        <v>3.6605130000000002E-5</v>
      </c>
      <c r="M2503" s="8">
        <v>3.6675109999999998E-5</v>
      </c>
      <c r="N2503" s="8">
        <v>3.6653699999999998E-5</v>
      </c>
      <c r="O2503">
        <v>0</v>
      </c>
      <c r="P2503">
        <v>0</v>
      </c>
      <c r="Q2503">
        <v>0</v>
      </c>
      <c r="R2503" t="s">
        <v>243</v>
      </c>
    </row>
    <row r="2504" spans="1:18" x14ac:dyDescent="0.3">
      <c r="A2504" t="s">
        <v>259</v>
      </c>
      <c r="B2504" t="s">
        <v>429</v>
      </c>
      <c r="C2504" t="s">
        <v>325</v>
      </c>
      <c r="D2504" s="8">
        <v>1.9558599999999999E-6</v>
      </c>
      <c r="E2504" s="8">
        <v>1.62518E-6</v>
      </c>
      <c r="F2504" s="8">
        <v>1.31106E-6</v>
      </c>
      <c r="G2504" s="8">
        <v>6.5928300000000004E-7</v>
      </c>
      <c r="H2504" s="8">
        <v>6.6187200000000004E-7</v>
      </c>
      <c r="I2504" s="8">
        <v>6.6864999999999899E-7</v>
      </c>
      <c r="J2504" s="8">
        <v>6.6957519999999899E-7</v>
      </c>
      <c r="K2504" s="8">
        <v>6.7249910000000004E-7</v>
      </c>
      <c r="L2504" s="8">
        <v>6.69446E-7</v>
      </c>
      <c r="M2504" s="8">
        <v>6.6254899999999999E-7</v>
      </c>
      <c r="N2504">
        <v>0</v>
      </c>
      <c r="O2504">
        <v>0</v>
      </c>
      <c r="P2504">
        <v>0</v>
      </c>
      <c r="Q2504">
        <v>0</v>
      </c>
      <c r="R2504" t="s">
        <v>243</v>
      </c>
    </row>
    <row r="2505" spans="1:18" x14ac:dyDescent="0.3">
      <c r="A2505" t="s">
        <v>259</v>
      </c>
      <c r="B2505" t="s">
        <v>429</v>
      </c>
      <c r="C2505" t="s">
        <v>326</v>
      </c>
      <c r="D2505" s="8">
        <v>4.5374999999999998E-5</v>
      </c>
      <c r="E2505" s="8">
        <v>4.5123600000000003E-5</v>
      </c>
      <c r="F2505" s="8">
        <v>2.4685000000000002E-5</v>
      </c>
      <c r="G2505" s="8">
        <v>1.6766299999999999E-5</v>
      </c>
      <c r="H2505" s="8">
        <v>1.7248259999999999E-5</v>
      </c>
      <c r="I2505" s="8">
        <v>1.7891529999999998E-5</v>
      </c>
      <c r="J2505" s="8">
        <v>1.8359639999999999E-5</v>
      </c>
      <c r="K2505" s="8">
        <v>1.87892E-5</v>
      </c>
      <c r="L2505" s="8">
        <v>1.8939650000000001E-5</v>
      </c>
      <c r="M2505" s="8">
        <v>1.8928969999999999E-5</v>
      </c>
      <c r="N2505" s="8">
        <v>1.8883589999999999E-5</v>
      </c>
      <c r="O2505">
        <v>0</v>
      </c>
      <c r="P2505">
        <v>0</v>
      </c>
      <c r="Q2505">
        <v>0</v>
      </c>
      <c r="R2505" t="s">
        <v>243</v>
      </c>
    </row>
    <row r="2506" spans="1:18" x14ac:dyDescent="0.3">
      <c r="A2506" t="s">
        <v>259</v>
      </c>
      <c r="B2506" t="s">
        <v>429</v>
      </c>
      <c r="C2506" t="s">
        <v>327</v>
      </c>
      <c r="D2506" s="8">
        <v>3.2506099999999997E-5</v>
      </c>
      <c r="E2506" s="8">
        <v>3.01772E-5</v>
      </c>
      <c r="F2506" s="8">
        <v>1.6946300000000001E-5</v>
      </c>
      <c r="G2506" s="8">
        <v>1.17239E-5</v>
      </c>
      <c r="H2506" s="8">
        <v>1.2013520000000001E-5</v>
      </c>
      <c r="I2506" s="8">
        <v>1.242514E-5</v>
      </c>
      <c r="J2506" s="8">
        <v>1.2724199999999999E-5</v>
      </c>
      <c r="K2506" s="8">
        <v>1.299592E-5</v>
      </c>
      <c r="L2506" s="8">
        <v>1.3080319999999901E-5</v>
      </c>
      <c r="M2506" s="8">
        <v>1.30589E-5</v>
      </c>
      <c r="N2506" s="8">
        <v>1.3017240000000001E-5</v>
      </c>
      <c r="O2506">
        <v>0</v>
      </c>
      <c r="P2506">
        <v>0</v>
      </c>
      <c r="Q2506">
        <v>0</v>
      </c>
      <c r="R2506" t="s">
        <v>243</v>
      </c>
    </row>
    <row r="2507" spans="1:18" x14ac:dyDescent="0.3">
      <c r="A2507" t="s">
        <v>259</v>
      </c>
      <c r="B2507" t="s">
        <v>429</v>
      </c>
      <c r="C2507" t="s">
        <v>328</v>
      </c>
      <c r="D2507" s="8">
        <v>2.46581E-5</v>
      </c>
      <c r="E2507" s="8">
        <v>2.1857000000000001E-5</v>
      </c>
      <c r="F2507" s="8">
        <v>1.26465E-5</v>
      </c>
      <c r="G2507" s="8">
        <v>8.8048400000000002E-6</v>
      </c>
      <c r="H2507" s="8">
        <v>8.9985000000000003E-6</v>
      </c>
      <c r="I2507" s="8">
        <v>9.2836200000000001E-6</v>
      </c>
      <c r="J2507" s="8">
        <v>9.4738999999999992E-6</v>
      </c>
      <c r="K2507" s="8">
        <v>9.6561000000000006E-6</v>
      </c>
      <c r="L2507" s="8">
        <v>9.7102900000000002E-6</v>
      </c>
      <c r="M2507" s="8">
        <v>9.6860000000000001E-6</v>
      </c>
      <c r="N2507" s="8">
        <v>9.6469000000000008E-6</v>
      </c>
      <c r="O2507">
        <v>0</v>
      </c>
      <c r="P2507">
        <v>0</v>
      </c>
      <c r="Q2507">
        <v>0</v>
      </c>
      <c r="R2507" t="s">
        <v>243</v>
      </c>
    </row>
    <row r="2508" spans="1:18" x14ac:dyDescent="0.3">
      <c r="A2508" t="s">
        <v>259</v>
      </c>
      <c r="B2508" t="s">
        <v>429</v>
      </c>
      <c r="C2508" t="s">
        <v>329</v>
      </c>
      <c r="D2508" s="8">
        <v>1.93009E-5</v>
      </c>
      <c r="E2508" s="8">
        <v>1.6315800000000001E-5</v>
      </c>
      <c r="F2508" s="8">
        <v>9.8178400000000005E-6</v>
      </c>
      <c r="G2508" s="8">
        <v>6.7701599999999997E-6</v>
      </c>
      <c r="H2508" s="8">
        <v>6.8950199999999998E-6</v>
      </c>
      <c r="I2508" s="8">
        <v>7.0929100000000002E-6</v>
      </c>
      <c r="J2508" s="8">
        <v>7.2243670000000004E-6</v>
      </c>
      <c r="K2508" s="8">
        <v>7.3488289999999898E-6</v>
      </c>
      <c r="L2508" s="8">
        <v>7.3812499999999998E-6</v>
      </c>
      <c r="M2508" s="8">
        <v>7.3568700000000003E-6</v>
      </c>
      <c r="N2508" s="8">
        <v>7.3235600000000002E-6</v>
      </c>
      <c r="O2508">
        <v>0</v>
      </c>
      <c r="P2508">
        <v>0</v>
      </c>
      <c r="Q2508">
        <v>0</v>
      </c>
      <c r="R2508" t="s">
        <v>243</v>
      </c>
    </row>
    <row r="2509" spans="1:18" x14ac:dyDescent="0.3">
      <c r="A2509" t="s">
        <v>259</v>
      </c>
      <c r="B2509" t="s">
        <v>429</v>
      </c>
      <c r="C2509" t="s">
        <v>330</v>
      </c>
      <c r="D2509" s="8">
        <v>1.51266E-5</v>
      </c>
      <c r="E2509" s="8">
        <v>1.22836E-5</v>
      </c>
      <c r="F2509" s="8">
        <v>7.7410299999999996E-6</v>
      </c>
      <c r="G2509" s="8">
        <v>5.2287999999999998E-6</v>
      </c>
      <c r="H2509" s="8">
        <v>5.3074600000000002E-6</v>
      </c>
      <c r="I2509" s="8">
        <v>5.4476000000000002E-6</v>
      </c>
      <c r="J2509" s="8">
        <v>5.5359510000000002E-6</v>
      </c>
      <c r="K2509" s="8">
        <v>5.622295E-6</v>
      </c>
      <c r="L2509" s="8">
        <v>5.6390900000000001E-6</v>
      </c>
      <c r="M2509" s="8">
        <v>5.6144089999999996E-6</v>
      </c>
      <c r="N2509" s="8">
        <v>5.5861529999999997E-6</v>
      </c>
      <c r="O2509">
        <v>0</v>
      </c>
      <c r="P2509">
        <v>0</v>
      </c>
      <c r="Q2509">
        <v>0</v>
      </c>
      <c r="R2509" t="s">
        <v>243</v>
      </c>
    </row>
    <row r="2510" spans="1:18" x14ac:dyDescent="0.3">
      <c r="A2510" t="s">
        <v>259</v>
      </c>
      <c r="B2510" t="s">
        <v>429</v>
      </c>
      <c r="C2510" t="s">
        <v>331</v>
      </c>
      <c r="D2510" s="8">
        <v>1.1335199999999999E-5</v>
      </c>
      <c r="E2510" s="8">
        <v>9.3128E-6</v>
      </c>
      <c r="F2510" s="8">
        <v>6.0540599999999999E-6</v>
      </c>
      <c r="G2510" s="8">
        <v>3.9966199999999997E-6</v>
      </c>
      <c r="H2510" s="8">
        <v>4.0500600000000001E-6</v>
      </c>
      <c r="I2510" s="8">
        <v>4.14759E-6</v>
      </c>
      <c r="J2510" s="8">
        <v>4.2025680000000002E-6</v>
      </c>
      <c r="K2510" s="8">
        <v>4.2603749999999998E-6</v>
      </c>
      <c r="L2510" s="8">
        <v>4.2689370000000003E-6</v>
      </c>
      <c r="M2510" s="8">
        <v>4.247332E-6</v>
      </c>
      <c r="N2510" s="8">
        <v>4.22262199999999E-6</v>
      </c>
      <c r="O2510">
        <v>0</v>
      </c>
      <c r="P2510">
        <v>0</v>
      </c>
      <c r="Q2510">
        <v>0</v>
      </c>
      <c r="R2510" t="s">
        <v>243</v>
      </c>
    </row>
    <row r="2511" spans="1:18" x14ac:dyDescent="0.3">
      <c r="A2511" t="s">
        <v>259</v>
      </c>
      <c r="B2511" t="s">
        <v>429</v>
      </c>
      <c r="C2511" t="s">
        <v>332</v>
      </c>
      <c r="D2511" s="8">
        <v>8.3731499999999996E-6</v>
      </c>
      <c r="E2511" s="8">
        <v>6.7755300000000002E-6</v>
      </c>
      <c r="F2511" s="8">
        <v>4.4622299999999998E-6</v>
      </c>
      <c r="G2511" s="8">
        <v>2.8690200000000001E-6</v>
      </c>
      <c r="H2511" s="8">
        <v>2.8918099999999998E-6</v>
      </c>
      <c r="I2511" s="8">
        <v>2.950916E-6</v>
      </c>
      <c r="J2511" s="8">
        <v>2.984341E-6</v>
      </c>
      <c r="K2511" s="8">
        <v>3.0206899999999999E-6</v>
      </c>
      <c r="L2511" s="8">
        <v>3.0230039999999998E-6</v>
      </c>
      <c r="M2511" s="8">
        <v>3.004092E-6</v>
      </c>
      <c r="N2511" s="8">
        <v>2.9839649999999998E-6</v>
      </c>
      <c r="O2511">
        <v>0</v>
      </c>
      <c r="P2511">
        <v>0</v>
      </c>
      <c r="Q2511">
        <v>0</v>
      </c>
      <c r="R2511" t="s">
        <v>243</v>
      </c>
    </row>
    <row r="2512" spans="1:18" x14ac:dyDescent="0.3">
      <c r="A2512" t="s">
        <v>259</v>
      </c>
      <c r="B2512" t="s">
        <v>429</v>
      </c>
      <c r="C2512" t="s">
        <v>333</v>
      </c>
      <c r="D2512" s="8">
        <v>5.3890499999999997E-6</v>
      </c>
      <c r="E2512" s="8">
        <v>4.6007300000000002E-6</v>
      </c>
      <c r="F2512" s="8">
        <v>3.1117300000000002E-6</v>
      </c>
      <c r="G2512" s="8">
        <v>1.9141999999999998E-6</v>
      </c>
      <c r="H2512" s="8">
        <v>1.9285499999999999E-6</v>
      </c>
      <c r="I2512" s="8">
        <v>1.9619659999999999E-6</v>
      </c>
      <c r="J2512" s="8">
        <v>1.976912E-6</v>
      </c>
      <c r="K2512" s="8">
        <v>1.9951880000000001E-6</v>
      </c>
      <c r="L2512" s="8">
        <v>1.9929259999999999E-6</v>
      </c>
      <c r="M2512" s="8">
        <v>1.9780450000000001E-6</v>
      </c>
      <c r="N2512" s="8">
        <v>1.9630800000000002E-6</v>
      </c>
      <c r="O2512">
        <v>0</v>
      </c>
      <c r="P2512">
        <v>0</v>
      </c>
      <c r="Q2512">
        <v>0</v>
      </c>
      <c r="R2512" t="s">
        <v>243</v>
      </c>
    </row>
    <row r="2513" spans="1:18" x14ac:dyDescent="0.3">
      <c r="A2513" t="s">
        <v>259</v>
      </c>
      <c r="B2513" t="s">
        <v>429</v>
      </c>
      <c r="C2513" t="s">
        <v>264</v>
      </c>
      <c r="D2513">
        <v>1.7223771E-3</v>
      </c>
      <c r="E2513">
        <v>1.3625697999999999E-3</v>
      </c>
      <c r="F2513">
        <v>1.8836958E-3</v>
      </c>
      <c r="G2513">
        <v>1.7337561200000001E-3</v>
      </c>
      <c r="H2513">
        <v>1.6900796199999901E-3</v>
      </c>
      <c r="I2513">
        <v>1.9188660099999999E-3</v>
      </c>
      <c r="J2513">
        <v>2.0388398980000001E-3</v>
      </c>
      <c r="K2513">
        <v>2.1033132299999998E-3</v>
      </c>
      <c r="L2513">
        <v>2.0641256799999999E-3</v>
      </c>
      <c r="M2513">
        <v>1.97940371E-3</v>
      </c>
      <c r="N2513">
        <v>1.90506616E-3</v>
      </c>
      <c r="O2513">
        <v>0</v>
      </c>
      <c r="P2513">
        <v>0</v>
      </c>
      <c r="Q2513">
        <v>0</v>
      </c>
      <c r="R2513" t="s">
        <v>243</v>
      </c>
    </row>
    <row r="2514" spans="1:18" x14ac:dyDescent="0.3">
      <c r="A2514" t="s">
        <v>259</v>
      </c>
      <c r="B2514" t="s">
        <v>429</v>
      </c>
      <c r="C2514" t="s">
        <v>265</v>
      </c>
      <c r="D2514">
        <v>4.5984199999999998E-3</v>
      </c>
      <c r="E2514">
        <v>4.6901872000000002E-3</v>
      </c>
      <c r="F2514">
        <v>5.4822826E-3</v>
      </c>
      <c r="G2514">
        <v>5.5043773999999997E-3</v>
      </c>
      <c r="H2514">
        <v>5.24773204999999E-3</v>
      </c>
      <c r="I2514">
        <v>5.2793987799999997E-3</v>
      </c>
      <c r="J2514">
        <v>5.16279076E-3</v>
      </c>
      <c r="K2514">
        <v>5.09999791E-3</v>
      </c>
      <c r="L2514">
        <v>4.87192133E-3</v>
      </c>
      <c r="M2514">
        <v>4.5694841499999998E-3</v>
      </c>
      <c r="N2514">
        <v>4.3295919599999899E-3</v>
      </c>
      <c r="O2514">
        <v>0</v>
      </c>
      <c r="P2514">
        <v>0</v>
      </c>
      <c r="Q2514">
        <v>0</v>
      </c>
      <c r="R2514" t="s">
        <v>243</v>
      </c>
    </row>
    <row r="2515" spans="1:18" x14ac:dyDescent="0.3">
      <c r="A2515" t="s">
        <v>259</v>
      </c>
      <c r="B2515" t="s">
        <v>429</v>
      </c>
      <c r="C2515" t="s">
        <v>266</v>
      </c>
      <c r="D2515">
        <v>2.3132834999999999E-3</v>
      </c>
      <c r="E2515">
        <v>2.1458956999999999E-3</v>
      </c>
      <c r="F2515">
        <v>2.7974772000000001E-3</v>
      </c>
      <c r="G2515">
        <v>2.51819759999999E-3</v>
      </c>
      <c r="H2515">
        <v>2.4809403099999901E-3</v>
      </c>
      <c r="I2515">
        <v>2.6463052099999999E-3</v>
      </c>
      <c r="J2515">
        <v>2.6915479799999999E-3</v>
      </c>
      <c r="K2515">
        <v>2.7169616599999999E-3</v>
      </c>
      <c r="L2515">
        <v>2.6315360999999999E-3</v>
      </c>
      <c r="M2515">
        <v>2.4973007200000002E-3</v>
      </c>
      <c r="N2515">
        <v>2.38494822999999E-3</v>
      </c>
      <c r="O2515">
        <v>0</v>
      </c>
      <c r="P2515">
        <v>0</v>
      </c>
      <c r="Q2515">
        <v>0</v>
      </c>
      <c r="R2515" t="s">
        <v>243</v>
      </c>
    </row>
    <row r="2516" spans="1:18" x14ac:dyDescent="0.3">
      <c r="A2516" t="s">
        <v>259</v>
      </c>
      <c r="B2516" t="s">
        <v>429</v>
      </c>
      <c r="C2516" t="s">
        <v>267</v>
      </c>
      <c r="D2516">
        <v>2.5871505999999901E-3</v>
      </c>
      <c r="E2516">
        <v>2.5477513999999902E-3</v>
      </c>
      <c r="F2516">
        <v>3.2046913999999901E-3</v>
      </c>
      <c r="G2516">
        <v>2.9137903E-3</v>
      </c>
      <c r="H2516">
        <v>2.84476542E-3</v>
      </c>
      <c r="I2516">
        <v>2.9710464099999999E-3</v>
      </c>
      <c r="J2516">
        <v>2.9887847400000001E-3</v>
      </c>
      <c r="K2516">
        <v>3.0029407999999998E-3</v>
      </c>
      <c r="L2516">
        <v>2.90062077E-3</v>
      </c>
      <c r="M2516">
        <v>2.74662497999999E-3</v>
      </c>
      <c r="N2516">
        <v>2.6197527200000001E-3</v>
      </c>
      <c r="O2516">
        <v>0</v>
      </c>
      <c r="P2516">
        <v>0</v>
      </c>
      <c r="Q2516">
        <v>0</v>
      </c>
      <c r="R2516" t="s">
        <v>243</v>
      </c>
    </row>
    <row r="2517" spans="1:18" x14ac:dyDescent="0.3">
      <c r="A2517" t="s">
        <v>259</v>
      </c>
      <c r="B2517" t="s">
        <v>429</v>
      </c>
      <c r="C2517" t="s">
        <v>268</v>
      </c>
      <c r="D2517">
        <v>2.7973660999999999E-3</v>
      </c>
      <c r="E2517">
        <v>2.83943239999999E-3</v>
      </c>
      <c r="F2517">
        <v>3.4915998E-3</v>
      </c>
      <c r="G2517">
        <v>3.2024686999999998E-3</v>
      </c>
      <c r="H2517">
        <v>3.1105880699999998E-3</v>
      </c>
      <c r="I2517">
        <v>3.2142784999999998E-3</v>
      </c>
      <c r="J2517">
        <v>3.21187996E-3</v>
      </c>
      <c r="K2517">
        <v>3.2186035799999999E-3</v>
      </c>
      <c r="L2517">
        <v>3.1056469E-3</v>
      </c>
      <c r="M2517">
        <v>2.9374450999999999E-3</v>
      </c>
      <c r="N2517">
        <v>2.7993196399999998E-3</v>
      </c>
      <c r="O2517">
        <v>0</v>
      </c>
      <c r="P2517">
        <v>0</v>
      </c>
      <c r="Q2517">
        <v>0</v>
      </c>
      <c r="R2517" t="s">
        <v>243</v>
      </c>
    </row>
    <row r="2518" spans="1:18" x14ac:dyDescent="0.3">
      <c r="A2518" t="s">
        <v>259</v>
      </c>
      <c r="B2518" t="s">
        <v>429</v>
      </c>
      <c r="C2518" t="s">
        <v>269</v>
      </c>
      <c r="D2518">
        <v>2.9762047999999999E-3</v>
      </c>
      <c r="E2518">
        <v>3.0777501999999998E-3</v>
      </c>
      <c r="F2518">
        <v>3.7248041999999901E-3</v>
      </c>
      <c r="G2518">
        <v>3.4504021E-3</v>
      </c>
      <c r="H2518">
        <v>3.3359818999999999E-3</v>
      </c>
      <c r="I2518">
        <v>3.4248745100000002E-3</v>
      </c>
      <c r="J2518">
        <v>3.4116093799999902E-3</v>
      </c>
      <c r="K2518">
        <v>3.4118050299999998E-3</v>
      </c>
      <c r="L2518">
        <v>3.2881497700000002E-3</v>
      </c>
      <c r="M2518">
        <v>3.1071203699999999E-3</v>
      </c>
      <c r="N2518">
        <v>2.9596327699999898E-3</v>
      </c>
      <c r="O2518">
        <v>0</v>
      </c>
      <c r="P2518">
        <v>0</v>
      </c>
      <c r="Q2518">
        <v>0</v>
      </c>
      <c r="R2518" t="s">
        <v>243</v>
      </c>
    </row>
    <row r="2519" spans="1:18" x14ac:dyDescent="0.3">
      <c r="A2519" t="s">
        <v>259</v>
      </c>
      <c r="B2519" t="s">
        <v>429</v>
      </c>
      <c r="C2519" t="s">
        <v>270</v>
      </c>
      <c r="D2519">
        <v>3.1508235999999998E-3</v>
      </c>
      <c r="E2519">
        <v>3.2905370000000001E-3</v>
      </c>
      <c r="F2519">
        <v>3.9365572999999999E-3</v>
      </c>
      <c r="G2519">
        <v>3.68499899999999E-3</v>
      </c>
      <c r="H2519">
        <v>3.5497261499999998E-3</v>
      </c>
      <c r="I2519">
        <v>3.6309074099999902E-3</v>
      </c>
      <c r="J2519">
        <v>3.6068276899999998E-3</v>
      </c>
      <c r="K2519">
        <v>3.6013504799999999E-3</v>
      </c>
      <c r="L2519">
        <v>3.4659926499999898E-3</v>
      </c>
      <c r="M2519">
        <v>3.2713750600000002E-3</v>
      </c>
      <c r="N2519">
        <v>3.1145408599999999E-3</v>
      </c>
      <c r="O2519">
        <v>0</v>
      </c>
      <c r="P2519">
        <v>0</v>
      </c>
      <c r="Q2519">
        <v>0</v>
      </c>
      <c r="R2519" t="s">
        <v>243</v>
      </c>
    </row>
    <row r="2520" spans="1:18" x14ac:dyDescent="0.3">
      <c r="A2520" t="s">
        <v>259</v>
      </c>
      <c r="B2520" t="s">
        <v>429</v>
      </c>
      <c r="C2520" t="s">
        <v>271</v>
      </c>
      <c r="D2520">
        <v>3.3563780000000001E-3</v>
      </c>
      <c r="E2520">
        <v>3.4874347999999901E-3</v>
      </c>
      <c r="F2520">
        <v>4.1524010999999996E-3</v>
      </c>
      <c r="G2520">
        <v>3.9247837000000001E-3</v>
      </c>
      <c r="H2520">
        <v>3.7742149E-3</v>
      </c>
      <c r="I2520">
        <v>3.8499777499999902E-3</v>
      </c>
      <c r="J2520">
        <v>3.81250714E-3</v>
      </c>
      <c r="K2520">
        <v>3.80004581E-3</v>
      </c>
      <c r="L2520">
        <v>3.6536769199999901E-3</v>
      </c>
      <c r="M2520">
        <v>3.4460004700000001E-3</v>
      </c>
      <c r="N2520">
        <v>3.2782791999999999E-3</v>
      </c>
      <c r="O2520">
        <v>0</v>
      </c>
      <c r="P2520">
        <v>0</v>
      </c>
      <c r="Q2520">
        <v>0</v>
      </c>
      <c r="R2520" t="s">
        <v>243</v>
      </c>
    </row>
    <row r="2521" spans="1:18" x14ac:dyDescent="0.3">
      <c r="A2521" t="s">
        <v>259</v>
      </c>
      <c r="B2521" t="s">
        <v>429</v>
      </c>
      <c r="C2521" t="s">
        <v>272</v>
      </c>
      <c r="D2521">
        <v>3.5720211999999999E-3</v>
      </c>
      <c r="E2521">
        <v>3.7078660999999998E-3</v>
      </c>
      <c r="F2521">
        <v>4.4191025999999901E-3</v>
      </c>
      <c r="G2521">
        <v>4.2178122999999897E-3</v>
      </c>
      <c r="H2521">
        <v>4.0358912499999997E-3</v>
      </c>
      <c r="I2521">
        <v>4.1013570499999997E-3</v>
      </c>
      <c r="J2521">
        <v>4.05237032E-3</v>
      </c>
      <c r="K2521">
        <v>4.03303716E-3</v>
      </c>
      <c r="L2521">
        <v>3.8729579100000001E-3</v>
      </c>
      <c r="M2521">
        <v>3.6481327500000001E-3</v>
      </c>
      <c r="N2521">
        <v>3.4675892699999999E-3</v>
      </c>
      <c r="O2521">
        <v>0</v>
      </c>
      <c r="P2521">
        <v>0</v>
      </c>
      <c r="Q2521">
        <v>0</v>
      </c>
      <c r="R2521" t="s">
        <v>243</v>
      </c>
    </row>
    <row r="2522" spans="1:18" x14ac:dyDescent="0.3">
      <c r="A2522" t="s">
        <v>259</v>
      </c>
      <c r="B2522" t="s">
        <v>429</v>
      </c>
      <c r="C2522" t="s">
        <v>273</v>
      </c>
      <c r="D2522">
        <v>3.88554679999999E-3</v>
      </c>
      <c r="E2522">
        <v>3.9748309999999999E-3</v>
      </c>
      <c r="F2522">
        <v>4.7338266000000002E-3</v>
      </c>
      <c r="G2522">
        <v>4.5751958999999997E-3</v>
      </c>
      <c r="H2522">
        <v>4.3760529299999998E-3</v>
      </c>
      <c r="I2522">
        <v>4.43351984999999E-3</v>
      </c>
      <c r="J2522">
        <v>4.3640512199999999E-3</v>
      </c>
      <c r="K2522">
        <v>4.33111651E-3</v>
      </c>
      <c r="L2522">
        <v>4.1513720699999897E-3</v>
      </c>
      <c r="M2522">
        <v>3.9053546299999999E-3</v>
      </c>
      <c r="N2522">
        <v>3.7088937999999998E-3</v>
      </c>
      <c r="O2522">
        <v>0</v>
      </c>
      <c r="P2522">
        <v>0</v>
      </c>
      <c r="Q2522">
        <v>0</v>
      </c>
      <c r="R2522" t="s">
        <v>243</v>
      </c>
    </row>
    <row r="2523" spans="1:18" x14ac:dyDescent="0.3">
      <c r="A2523" t="s">
        <v>259</v>
      </c>
      <c r="B2523" t="s">
        <v>429</v>
      </c>
      <c r="C2523" t="s">
        <v>274</v>
      </c>
      <c r="D2523" s="8">
        <v>1.1910235469999999E-5</v>
      </c>
      <c r="E2523" s="8">
        <v>1.51383990499999E-5</v>
      </c>
      <c r="F2523" s="8">
        <v>1.838957938E-5</v>
      </c>
      <c r="G2523" s="8">
        <v>1.7762661909999999E-5</v>
      </c>
      <c r="H2523" s="8">
        <v>3.3398126759999999E-5</v>
      </c>
      <c r="I2523" s="8">
        <v>3.8880485620000003E-5</v>
      </c>
      <c r="J2523" s="8">
        <v>4.4800708109999901E-5</v>
      </c>
      <c r="K2523" s="8">
        <v>4.9023754567999997E-5</v>
      </c>
      <c r="L2523" s="8">
        <v>5.1112706019999999E-5</v>
      </c>
      <c r="M2523" s="8">
        <v>5.1682524151999897E-5</v>
      </c>
      <c r="N2523" s="8">
        <v>5.1460027002E-5</v>
      </c>
      <c r="O2523">
        <v>0</v>
      </c>
      <c r="P2523">
        <v>0</v>
      </c>
      <c r="Q2523">
        <v>0</v>
      </c>
      <c r="R2523" t="s">
        <v>243</v>
      </c>
    </row>
    <row r="2524" spans="1:18" x14ac:dyDescent="0.3">
      <c r="A2524" t="s">
        <v>259</v>
      </c>
      <c r="B2524" t="s">
        <v>429</v>
      </c>
      <c r="C2524" t="s">
        <v>275</v>
      </c>
      <c r="D2524" s="8">
        <v>8.1111629199999994E-5</v>
      </c>
      <c r="E2524" s="8">
        <v>1.4215571090000001E-4</v>
      </c>
      <c r="F2524" s="8">
        <v>1.325618727E-4</v>
      </c>
      <c r="G2524" s="8">
        <v>1.3652092179999999E-4</v>
      </c>
      <c r="H2524" s="8">
        <v>1.5831933119000001E-4</v>
      </c>
      <c r="I2524" s="8">
        <v>1.5444068511E-4</v>
      </c>
      <c r="J2524" s="8">
        <v>1.4520040865999899E-4</v>
      </c>
      <c r="K2524" s="8">
        <v>1.3864745339000001E-4</v>
      </c>
      <c r="L2524" s="8">
        <v>1.31061531699999E-4</v>
      </c>
      <c r="M2524" s="8">
        <v>1.22115087030999E-4</v>
      </c>
      <c r="N2524" s="8">
        <v>1.14055526024E-4</v>
      </c>
      <c r="O2524">
        <v>0</v>
      </c>
      <c r="P2524">
        <v>0</v>
      </c>
      <c r="Q2524">
        <v>0</v>
      </c>
      <c r="R2524" t="s">
        <v>243</v>
      </c>
    </row>
    <row r="2525" spans="1:18" x14ac:dyDescent="0.3">
      <c r="A2525" t="s">
        <v>259</v>
      </c>
      <c r="B2525" t="s">
        <v>429</v>
      </c>
      <c r="C2525" t="s">
        <v>276</v>
      </c>
      <c r="D2525" s="8">
        <v>2.120386998E-5</v>
      </c>
      <c r="E2525" s="8">
        <v>3.0198487259999999E-5</v>
      </c>
      <c r="F2525" s="8">
        <v>3.63930067E-5</v>
      </c>
      <c r="G2525" s="8">
        <v>3.3189300039999997E-5</v>
      </c>
      <c r="H2525" s="8">
        <v>5.6979511789999999E-5</v>
      </c>
      <c r="I2525" s="8">
        <v>6.3861939019999999E-5</v>
      </c>
      <c r="J2525" s="8">
        <v>7.0045916272000003E-5</v>
      </c>
      <c r="K2525" s="8">
        <v>7.3829038275000005E-5</v>
      </c>
      <c r="L2525" s="8">
        <v>7.4658593409000001E-5</v>
      </c>
      <c r="M2525" s="8">
        <v>7.3393754968000002E-5</v>
      </c>
      <c r="N2525" s="8">
        <v>7.1271108367000001E-5</v>
      </c>
      <c r="O2525">
        <v>0</v>
      </c>
      <c r="P2525">
        <v>0</v>
      </c>
      <c r="Q2525">
        <v>0</v>
      </c>
      <c r="R2525" t="s">
        <v>243</v>
      </c>
    </row>
    <row r="2526" spans="1:18" x14ac:dyDescent="0.3">
      <c r="A2526" t="s">
        <v>259</v>
      </c>
      <c r="B2526" t="s">
        <v>429</v>
      </c>
      <c r="C2526" t="s">
        <v>277</v>
      </c>
      <c r="D2526" s="8">
        <v>2.7571432440000002E-5</v>
      </c>
      <c r="E2526" s="8">
        <v>4.1678379029999901E-5</v>
      </c>
      <c r="F2526" s="8">
        <v>4.8667261590000001E-5</v>
      </c>
      <c r="G2526" s="8">
        <v>4.4580678889999999E-5</v>
      </c>
      <c r="H2526" s="8">
        <v>7.1574056069999896E-5</v>
      </c>
      <c r="I2526" s="8">
        <v>7.8490508930000006E-5</v>
      </c>
      <c r="J2526" s="8">
        <v>8.3803585529999998E-5</v>
      </c>
      <c r="K2526" s="8">
        <v>8.6356909252999998E-5</v>
      </c>
      <c r="L2526" s="8">
        <v>8.5740166018999996E-5</v>
      </c>
      <c r="M2526" s="8">
        <v>8.2968078441999894E-5</v>
      </c>
      <c r="N2526" s="8">
        <v>7.9538943846999997E-5</v>
      </c>
      <c r="O2526">
        <v>0</v>
      </c>
      <c r="P2526">
        <v>0</v>
      </c>
      <c r="Q2526">
        <v>0</v>
      </c>
      <c r="R2526" t="s">
        <v>243</v>
      </c>
    </row>
    <row r="2527" spans="1:18" x14ac:dyDescent="0.3">
      <c r="A2527" t="s">
        <v>259</v>
      </c>
      <c r="B2527" t="s">
        <v>429</v>
      </c>
      <c r="C2527" t="s">
        <v>278</v>
      </c>
      <c r="D2527" s="8">
        <v>3.349619319E-5</v>
      </c>
      <c r="E2527" s="8">
        <v>5.267840428E-5</v>
      </c>
      <c r="F2527" s="8">
        <v>5.9426712229999997E-5</v>
      </c>
      <c r="G2527" s="8">
        <v>5.4929513240000001E-5</v>
      </c>
      <c r="H2527" s="8">
        <v>8.3840582679999896E-5</v>
      </c>
      <c r="I2527" s="8">
        <v>9.0195138380000004E-5</v>
      </c>
      <c r="J2527" s="8">
        <v>9.3834321829999902E-5</v>
      </c>
      <c r="K2527" s="8">
        <v>9.4891856731999996E-5</v>
      </c>
      <c r="L2527" s="8">
        <v>9.2985478030000002E-5</v>
      </c>
      <c r="M2527" s="8">
        <v>8.9010982798999995E-5</v>
      </c>
      <c r="N2527" s="8">
        <v>8.4628489177000004E-5</v>
      </c>
      <c r="O2527">
        <v>0</v>
      </c>
      <c r="P2527">
        <v>0</v>
      </c>
      <c r="Q2527">
        <v>0</v>
      </c>
      <c r="R2527" t="s">
        <v>243</v>
      </c>
    </row>
    <row r="2528" spans="1:18" x14ac:dyDescent="0.3">
      <c r="A2528" t="s">
        <v>259</v>
      </c>
      <c r="B2528" t="s">
        <v>429</v>
      </c>
      <c r="C2528" t="s">
        <v>279</v>
      </c>
      <c r="D2528" s="8">
        <v>3.9092778589999999E-5</v>
      </c>
      <c r="E2528" s="8">
        <v>6.3804647009999994E-5</v>
      </c>
      <c r="F2528" s="8">
        <v>6.926773904E-5</v>
      </c>
      <c r="G2528" s="8">
        <v>6.5067718399999894E-5</v>
      </c>
      <c r="H2528" s="8">
        <v>9.4804101229999896E-5</v>
      </c>
      <c r="I2528" s="8">
        <v>1.00095930839999E-4</v>
      </c>
      <c r="J2528" s="8">
        <v>1.0196603501999901E-4</v>
      </c>
      <c r="K2528" s="8">
        <v>1.01512005726E-4</v>
      </c>
      <c r="L2528" s="8">
        <v>9.8436015829999994E-5</v>
      </c>
      <c r="M2528" s="8">
        <v>9.3503834075999906E-5</v>
      </c>
      <c r="N2528" s="8">
        <v>8.8447998099000003E-5</v>
      </c>
      <c r="O2528">
        <v>0</v>
      </c>
      <c r="P2528">
        <v>0</v>
      </c>
      <c r="Q2528">
        <v>0</v>
      </c>
      <c r="R2528" t="s">
        <v>243</v>
      </c>
    </row>
    <row r="2529" spans="1:18" x14ac:dyDescent="0.3">
      <c r="A2529" t="s">
        <v>259</v>
      </c>
      <c r="B2529" t="s">
        <v>429</v>
      </c>
      <c r="C2529" t="s">
        <v>280</v>
      </c>
      <c r="D2529" s="8">
        <v>4.48045904E-5</v>
      </c>
      <c r="E2529" s="8">
        <v>7.5314842999999997E-5</v>
      </c>
      <c r="F2529" s="8">
        <v>7.8643603199999998E-5</v>
      </c>
      <c r="G2529" s="8">
        <v>7.5279433699999994E-5</v>
      </c>
      <c r="H2529" s="8">
        <v>1.0505206745E-4</v>
      </c>
      <c r="I2529" s="8">
        <v>1.0905305599E-4</v>
      </c>
      <c r="J2529" s="8">
        <v>1.0891587245E-4</v>
      </c>
      <c r="K2529" s="8">
        <v>1.07070699528E-4</v>
      </c>
      <c r="L2529" s="8">
        <v>1.0298491517000001E-4</v>
      </c>
      <c r="M2529" s="8">
        <v>9.7274960569999997E-5</v>
      </c>
      <c r="N2529" s="8">
        <v>9.1718991191999997E-5</v>
      </c>
      <c r="O2529">
        <v>0</v>
      </c>
      <c r="P2529">
        <v>0</v>
      </c>
      <c r="Q2529">
        <v>0</v>
      </c>
      <c r="R2529" t="s">
        <v>243</v>
      </c>
    </row>
    <row r="2530" spans="1:18" x14ac:dyDescent="0.3">
      <c r="A2530" t="s">
        <v>259</v>
      </c>
      <c r="B2530" t="s">
        <v>429</v>
      </c>
      <c r="C2530" t="s">
        <v>281</v>
      </c>
      <c r="D2530" s="8">
        <v>5.1496927499999997E-5</v>
      </c>
      <c r="E2530" s="8">
        <v>8.6776232200000002E-5</v>
      </c>
      <c r="F2530" s="8">
        <v>8.8160586300000001E-5</v>
      </c>
      <c r="G2530" s="8">
        <v>8.5737383199999993E-5</v>
      </c>
      <c r="H2530" s="8">
        <v>1.1506052434999899E-4</v>
      </c>
      <c r="I2530" s="8">
        <v>1.1749215002E-4</v>
      </c>
      <c r="J2530" s="8">
        <v>1.15186565889999E-4</v>
      </c>
      <c r="K2530" s="8">
        <v>1.12078563689E-4</v>
      </c>
      <c r="L2530" s="8">
        <v>1.0720869975E-4</v>
      </c>
      <c r="M2530" s="8">
        <v>1.0090178153599999E-4</v>
      </c>
      <c r="N2530" s="8">
        <v>9.4925582367000005E-5</v>
      </c>
      <c r="O2530">
        <v>0</v>
      </c>
      <c r="P2530">
        <v>0</v>
      </c>
      <c r="Q2530">
        <v>0</v>
      </c>
      <c r="R2530" t="s">
        <v>243</v>
      </c>
    </row>
    <row r="2531" spans="1:18" x14ac:dyDescent="0.3">
      <c r="A2531" t="s">
        <v>259</v>
      </c>
      <c r="B2531" t="s">
        <v>429</v>
      </c>
      <c r="C2531" t="s">
        <v>282</v>
      </c>
      <c r="D2531" s="8">
        <v>5.81234494E-5</v>
      </c>
      <c r="E2531" s="8">
        <v>9.9589008799999898E-5</v>
      </c>
      <c r="F2531" s="8">
        <v>9.9273384599999996E-5</v>
      </c>
      <c r="G2531" s="8">
        <v>9.7777752E-5</v>
      </c>
      <c r="H2531" s="8">
        <v>1.25265354879999E-4</v>
      </c>
      <c r="I2531" s="8">
        <v>1.2575237169000001E-4</v>
      </c>
      <c r="J2531" s="8">
        <v>1.2139884775000001E-4</v>
      </c>
      <c r="K2531" s="8">
        <v>1.1726883625E-4</v>
      </c>
      <c r="L2531" s="8">
        <v>1.1174159813E-4</v>
      </c>
      <c r="M2531" s="8">
        <v>1.0486971311199999E-4</v>
      </c>
      <c r="N2531" s="8">
        <v>9.8499083902999897E-5</v>
      </c>
      <c r="O2531">
        <v>0</v>
      </c>
      <c r="P2531">
        <v>0</v>
      </c>
      <c r="Q2531">
        <v>0</v>
      </c>
      <c r="R2531" t="s">
        <v>243</v>
      </c>
    </row>
    <row r="2532" spans="1:18" x14ac:dyDescent="0.3">
      <c r="A2532" t="s">
        <v>259</v>
      </c>
      <c r="B2532" t="s">
        <v>429</v>
      </c>
      <c r="C2532" t="s">
        <v>283</v>
      </c>
      <c r="D2532" s="8">
        <v>6.6566088499999998E-5</v>
      </c>
      <c r="E2532" s="8">
        <v>1.1381978199999999E-4</v>
      </c>
      <c r="F2532" s="8">
        <v>1.109119537E-4</v>
      </c>
      <c r="G2532" s="8">
        <v>1.106463356E-4</v>
      </c>
      <c r="H2532" s="8">
        <v>1.3624637575999999E-4</v>
      </c>
      <c r="I2532" s="8">
        <v>1.3484967578E-4</v>
      </c>
      <c r="J2532" s="8">
        <v>1.2845288154E-4</v>
      </c>
      <c r="K2532" s="8">
        <v>1.2339335652000001E-4</v>
      </c>
      <c r="L2532" s="8">
        <v>1.1722163587E-4</v>
      </c>
      <c r="M2532" s="8">
        <v>1.09760475524E-4</v>
      </c>
      <c r="N2532" s="8">
        <v>1.0293540987600001E-4</v>
      </c>
      <c r="O2532">
        <v>0</v>
      </c>
      <c r="P2532">
        <v>0</v>
      </c>
      <c r="Q2532">
        <v>0</v>
      </c>
      <c r="R2532" t="s">
        <v>243</v>
      </c>
    </row>
    <row r="2533" spans="1:18" x14ac:dyDescent="0.3">
      <c r="A2533" t="s">
        <v>259</v>
      </c>
      <c r="B2533" t="s">
        <v>429</v>
      </c>
      <c r="C2533" t="s">
        <v>334</v>
      </c>
      <c r="D2533">
        <v>6.5137900000000002E-3</v>
      </c>
      <c r="E2533">
        <v>7.3948800000000004E-3</v>
      </c>
      <c r="F2533">
        <v>3.9721100000000001E-3</v>
      </c>
      <c r="G2533">
        <v>2.4360699999999998E-3</v>
      </c>
      <c r="H2533">
        <v>2.4772100000000001E-3</v>
      </c>
      <c r="I2533">
        <v>2.5943959999999901E-3</v>
      </c>
      <c r="J2533">
        <v>2.679893E-3</v>
      </c>
      <c r="K2533">
        <v>2.756714E-3</v>
      </c>
      <c r="L2533">
        <v>2.7912330000000002E-3</v>
      </c>
      <c r="M2533">
        <v>2.7950840000000002E-3</v>
      </c>
      <c r="N2533">
        <v>2.7928979999999998E-3</v>
      </c>
      <c r="O2533">
        <v>0</v>
      </c>
      <c r="P2533">
        <v>0</v>
      </c>
      <c r="Q2533">
        <v>0</v>
      </c>
      <c r="R2533" t="s">
        <v>243</v>
      </c>
    </row>
    <row r="2534" spans="1:18" x14ac:dyDescent="0.3">
      <c r="A2534" t="s">
        <v>259</v>
      </c>
      <c r="B2534" t="s">
        <v>429</v>
      </c>
      <c r="C2534" t="s">
        <v>335</v>
      </c>
      <c r="D2534" s="8">
        <v>1.51967E-4</v>
      </c>
      <c r="E2534" s="8">
        <v>1.26406E-4</v>
      </c>
      <c r="F2534" s="8">
        <v>1.01808E-4</v>
      </c>
      <c r="G2534" s="8">
        <v>5.1304400000000003E-5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">
        <v>243</v>
      </c>
    </row>
    <row r="2535" spans="1:18" x14ac:dyDescent="0.3">
      <c r="A2535" t="s">
        <v>259</v>
      </c>
      <c r="B2535" t="s">
        <v>429</v>
      </c>
      <c r="C2535" t="s">
        <v>336</v>
      </c>
      <c r="D2535">
        <v>3.467E-3</v>
      </c>
      <c r="E2535">
        <v>3.44999E-3</v>
      </c>
      <c r="F2535">
        <v>1.88573E-3</v>
      </c>
      <c r="G2535">
        <v>1.2821899999999999E-3</v>
      </c>
      <c r="H2535">
        <v>1.3179509999999999E-3</v>
      </c>
      <c r="I2535">
        <v>1.3702899999999999E-3</v>
      </c>
      <c r="J2535">
        <v>1.404509E-3</v>
      </c>
      <c r="K2535">
        <v>1.436489E-3</v>
      </c>
      <c r="L2535">
        <v>1.4496639999999901E-3</v>
      </c>
      <c r="M2535">
        <v>1.4480840000000001E-3</v>
      </c>
      <c r="N2535">
        <v>1.4443150000000001E-3</v>
      </c>
      <c r="O2535">
        <v>0</v>
      </c>
      <c r="P2535">
        <v>0</v>
      </c>
      <c r="Q2535">
        <v>0</v>
      </c>
      <c r="R2535" t="s">
        <v>243</v>
      </c>
    </row>
    <row r="2536" spans="1:18" x14ac:dyDescent="0.3">
      <c r="A2536" t="s">
        <v>259</v>
      </c>
      <c r="B2536" t="s">
        <v>429</v>
      </c>
      <c r="C2536" t="s">
        <v>337</v>
      </c>
      <c r="D2536">
        <v>2.4884E-3</v>
      </c>
      <c r="E2536">
        <v>2.3122799999999999E-3</v>
      </c>
      <c r="F2536">
        <v>1.2972599999999999E-3</v>
      </c>
      <c r="G2536" s="8">
        <v>8.9847699999999996E-4</v>
      </c>
      <c r="H2536" s="8">
        <v>9.1990300000000002E-4</v>
      </c>
      <c r="I2536" s="8">
        <v>9.5365499999999998E-4</v>
      </c>
      <c r="J2536" s="8">
        <v>9.7546000000000004E-4</v>
      </c>
      <c r="K2536" s="8">
        <v>9.9567199999999996E-4</v>
      </c>
      <c r="L2536">
        <v>1.0033139999999999E-3</v>
      </c>
      <c r="M2536">
        <v>1.001133E-3</v>
      </c>
      <c r="N2536" s="8">
        <v>9.9773099999999997E-4</v>
      </c>
      <c r="O2536">
        <v>0</v>
      </c>
      <c r="P2536">
        <v>0</v>
      </c>
      <c r="Q2536">
        <v>0</v>
      </c>
      <c r="R2536" t="s">
        <v>243</v>
      </c>
    </row>
    <row r="2537" spans="1:18" x14ac:dyDescent="0.3">
      <c r="A2537" t="s">
        <v>259</v>
      </c>
      <c r="B2537" t="s">
        <v>429</v>
      </c>
      <c r="C2537" t="s">
        <v>338</v>
      </c>
      <c r="D2537">
        <v>1.8905199999999999E-3</v>
      </c>
      <c r="E2537">
        <v>1.6776300000000001E-3</v>
      </c>
      <c r="F2537" s="8">
        <v>9.6960299999999998E-4</v>
      </c>
      <c r="G2537" s="8">
        <v>6.7581800000000001E-4</v>
      </c>
      <c r="H2537" s="8">
        <v>6.9010100000000004E-4</v>
      </c>
      <c r="I2537" s="8">
        <v>7.13648E-4</v>
      </c>
      <c r="J2537" s="8">
        <v>7.2741099999999996E-4</v>
      </c>
      <c r="K2537" s="8">
        <v>7.40937E-4</v>
      </c>
      <c r="L2537" s="8">
        <v>7.4597699999999999E-4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243</v>
      </c>
    </row>
    <row r="2538" spans="1:18" x14ac:dyDescent="0.3">
      <c r="A2538" t="s">
        <v>259</v>
      </c>
      <c r="B2538" t="s">
        <v>429</v>
      </c>
      <c r="C2538" t="s">
        <v>339</v>
      </c>
      <c r="D2538">
        <v>1.4816199999999999E-3</v>
      </c>
      <c r="E2538">
        <v>1.2543299999999999E-3</v>
      </c>
      <c r="F2538" s="8">
        <v>7.53724E-4</v>
      </c>
      <c r="G2538" s="8">
        <v>5.2043900000000004E-4</v>
      </c>
      <c r="H2538" s="8">
        <v>5.2959100000000005E-4</v>
      </c>
      <c r="I2538" s="8">
        <v>5.4608499999999997E-4</v>
      </c>
      <c r="J2538" s="8">
        <v>5.5553820000000002E-4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243</v>
      </c>
    </row>
    <row r="2539" spans="1:18" x14ac:dyDescent="0.3">
      <c r="A2539" t="s">
        <v>259</v>
      </c>
      <c r="B2539" t="s">
        <v>429</v>
      </c>
      <c r="C2539" t="s">
        <v>340</v>
      </c>
      <c r="D2539">
        <v>1.1627199999999999E-3</v>
      </c>
      <c r="E2539" s="8">
        <v>9.45717E-4</v>
      </c>
      <c r="F2539" s="8">
        <v>5.9506900000000004E-4</v>
      </c>
      <c r="G2539" s="8">
        <v>4.0247699999999999E-4</v>
      </c>
      <c r="H2539" s="8">
        <v>4.08186E-4</v>
      </c>
      <c r="I2539" s="8">
        <v>4.1996500000000001E-4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243</v>
      </c>
    </row>
    <row r="2540" spans="1:18" x14ac:dyDescent="0.3">
      <c r="A2540" t="s">
        <v>259</v>
      </c>
      <c r="B2540" t="s">
        <v>429</v>
      </c>
      <c r="C2540" t="s">
        <v>341</v>
      </c>
      <c r="D2540" s="8">
        <v>8.7260099999999998E-4</v>
      </c>
      <c r="E2540" s="8">
        <v>7.1796700000000002E-4</v>
      </c>
      <c r="F2540" s="8">
        <v>4.6602600000000003E-4</v>
      </c>
      <c r="G2540" s="8">
        <v>3.0799400000000002E-4</v>
      </c>
      <c r="H2540" s="8">
        <v>3.1184799999999999E-4</v>
      </c>
      <c r="I2540" s="8">
        <v>3.2012339999999999E-4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243</v>
      </c>
    </row>
    <row r="2541" spans="1:18" x14ac:dyDescent="0.3">
      <c r="A2541" t="s">
        <v>259</v>
      </c>
      <c r="B2541" t="s">
        <v>429</v>
      </c>
      <c r="C2541" t="s">
        <v>342</v>
      </c>
      <c r="D2541" s="8">
        <v>6.4565E-4</v>
      </c>
      <c r="E2541" s="8">
        <v>5.23363E-4</v>
      </c>
      <c r="F2541" s="8">
        <v>3.4404599999999998E-4</v>
      </c>
      <c r="G2541" s="8">
        <v>2.21623E-4</v>
      </c>
      <c r="H2541" s="8">
        <v>2.231929E-4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">
        <v>243</v>
      </c>
    </row>
    <row r="2542" spans="1:18" x14ac:dyDescent="0.3">
      <c r="A2542" t="s">
        <v>259</v>
      </c>
      <c r="B2542" t="s">
        <v>429</v>
      </c>
      <c r="C2542" t="s">
        <v>343</v>
      </c>
      <c r="D2542" s="8">
        <v>4.16542E-4</v>
      </c>
      <c r="E2542" s="8">
        <v>3.5601200000000001E-4</v>
      </c>
      <c r="F2542" s="8">
        <v>2.4037200000000001E-4</v>
      </c>
      <c r="G2542" s="8">
        <v>1.4818200000000001E-4</v>
      </c>
      <c r="H2542" s="8">
        <v>1.4916609999999901E-4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243</v>
      </c>
    </row>
    <row r="2543" spans="1:18" x14ac:dyDescent="0.3">
      <c r="A2543" t="s">
        <v>259</v>
      </c>
      <c r="B2543" t="s">
        <v>429</v>
      </c>
      <c r="C2543" t="s">
        <v>284</v>
      </c>
      <c r="D2543" s="8">
        <v>7.2363009999999999E-4</v>
      </c>
      <c r="E2543" s="8">
        <v>6.5543909400000001E-4</v>
      </c>
      <c r="F2543" s="8">
        <v>8.2099420849999995E-4</v>
      </c>
      <c r="G2543" s="8">
        <v>7.4405884999999999E-4</v>
      </c>
      <c r="H2543" s="8">
        <v>6.13597464777E-4</v>
      </c>
      <c r="I2543" s="8">
        <v>7.0026355756199995E-4</v>
      </c>
      <c r="J2543" s="8">
        <v>7.3732654577599998E-4</v>
      </c>
      <c r="K2543" s="8">
        <v>7.4320938663300002E-4</v>
      </c>
      <c r="L2543" s="8">
        <v>7.5886420344800003E-4</v>
      </c>
      <c r="M2543" s="8">
        <v>7.5794445665599999E-4</v>
      </c>
      <c r="N2543" s="8">
        <v>7.5646550898699903E-4</v>
      </c>
      <c r="O2543">
        <v>0</v>
      </c>
      <c r="P2543">
        <v>0</v>
      </c>
      <c r="Q2543">
        <v>0</v>
      </c>
      <c r="R2543" t="s">
        <v>243</v>
      </c>
    </row>
    <row r="2544" spans="1:18" x14ac:dyDescent="0.3">
      <c r="A2544" t="s">
        <v>259</v>
      </c>
      <c r="B2544" t="s">
        <v>429</v>
      </c>
      <c r="C2544" t="s">
        <v>285</v>
      </c>
      <c r="D2544">
        <v>1.07885179999999E-2</v>
      </c>
      <c r="E2544">
        <v>1.4780662619999999E-2</v>
      </c>
      <c r="F2544">
        <v>1.4539683560000001E-2</v>
      </c>
      <c r="G2544">
        <v>1.503665375E-2</v>
      </c>
      <c r="H2544">
        <v>1.25453962409E-2</v>
      </c>
      <c r="I2544">
        <v>1.1955457348199999E-2</v>
      </c>
      <c r="J2544">
        <v>1.0077158476129999E-2</v>
      </c>
      <c r="K2544">
        <v>8.2895255484400007E-3</v>
      </c>
      <c r="L2544">
        <v>7.4551469828899996E-3</v>
      </c>
      <c r="M2544">
        <v>6.5945936198399998E-3</v>
      </c>
      <c r="N2544">
        <v>5.8792817065800003E-3</v>
      </c>
      <c r="O2544">
        <v>0</v>
      </c>
      <c r="P2544">
        <v>0</v>
      </c>
      <c r="Q2544">
        <v>0</v>
      </c>
      <c r="R2544" t="s">
        <v>243</v>
      </c>
    </row>
    <row r="2545" spans="1:18" x14ac:dyDescent="0.3">
      <c r="A2545" t="s">
        <v>259</v>
      </c>
      <c r="B2545" t="s">
        <v>429</v>
      </c>
      <c r="C2545" t="s">
        <v>286</v>
      </c>
      <c r="D2545">
        <v>1.3898046999999999E-3</v>
      </c>
      <c r="E2545">
        <v>1.404231415E-3</v>
      </c>
      <c r="F2545">
        <v>1.7919018520000001E-3</v>
      </c>
      <c r="G2545">
        <v>1.5181952940000001E-3</v>
      </c>
      <c r="H2545">
        <v>1.2889777544799999E-3</v>
      </c>
      <c r="I2545">
        <v>1.44072536616E-3</v>
      </c>
      <c r="J2545">
        <v>1.4796472646039999E-3</v>
      </c>
      <c r="K2545">
        <v>1.4728575374790001E-3</v>
      </c>
      <c r="L2545">
        <v>1.4917724926589999E-3</v>
      </c>
      <c r="M2545">
        <v>1.4778655279409901E-3</v>
      </c>
      <c r="N2545">
        <v>1.4618364024329999E-3</v>
      </c>
      <c r="O2545">
        <v>0</v>
      </c>
      <c r="P2545">
        <v>0</v>
      </c>
      <c r="Q2545">
        <v>0</v>
      </c>
      <c r="R2545" t="s">
        <v>243</v>
      </c>
    </row>
    <row r="2546" spans="1:18" x14ac:dyDescent="0.3">
      <c r="A2546" t="s">
        <v>259</v>
      </c>
      <c r="B2546" t="s">
        <v>429</v>
      </c>
      <c r="C2546" t="s">
        <v>287</v>
      </c>
      <c r="D2546">
        <v>1.9061102E-3</v>
      </c>
      <c r="E2546">
        <v>2.046638954E-3</v>
      </c>
      <c r="F2546">
        <v>2.5677960769999899E-3</v>
      </c>
      <c r="G2546">
        <v>2.17921196E-3</v>
      </c>
      <c r="H2546">
        <v>1.83919725752E-3</v>
      </c>
      <c r="I2546">
        <v>2.0337228554799902E-3</v>
      </c>
      <c r="J2546">
        <v>2.06562745088E-3</v>
      </c>
      <c r="K2546">
        <v>2.038015805369E-3</v>
      </c>
      <c r="L2546">
        <v>2.0503288367380002E-3</v>
      </c>
      <c r="M2546">
        <v>2.0163316548689999E-3</v>
      </c>
      <c r="N2546">
        <v>1.9793951910129998E-3</v>
      </c>
      <c r="O2546">
        <v>0</v>
      </c>
      <c r="P2546">
        <v>0</v>
      </c>
      <c r="Q2546">
        <v>0</v>
      </c>
      <c r="R2546" t="s">
        <v>243</v>
      </c>
    </row>
    <row r="2547" spans="1:18" x14ac:dyDescent="0.3">
      <c r="A2547" t="s">
        <v>259</v>
      </c>
      <c r="B2547" t="s">
        <v>429</v>
      </c>
      <c r="C2547" t="s">
        <v>288</v>
      </c>
      <c r="D2547">
        <v>2.4395613999999999E-3</v>
      </c>
      <c r="E2547">
        <v>2.7310917239999999E-3</v>
      </c>
      <c r="F2547">
        <v>3.3444853870000001E-3</v>
      </c>
      <c r="G2547">
        <v>2.8611925269999999E-3</v>
      </c>
      <c r="H2547">
        <v>2.4072574848799902E-3</v>
      </c>
      <c r="I2547">
        <v>2.6364100872499998E-3</v>
      </c>
      <c r="J2547">
        <v>2.6354100766599999E-3</v>
      </c>
      <c r="K2547">
        <v>2.5698273477449901E-3</v>
      </c>
      <c r="L2547">
        <v>2.5686320060669902E-3</v>
      </c>
      <c r="M2547">
        <v>2.5067898074199999E-3</v>
      </c>
      <c r="N2547">
        <v>2.44036563688E-3</v>
      </c>
      <c r="O2547">
        <v>0</v>
      </c>
      <c r="P2547">
        <v>0</v>
      </c>
      <c r="Q2547">
        <v>0</v>
      </c>
      <c r="R2547" t="s">
        <v>243</v>
      </c>
    </row>
    <row r="2548" spans="1:18" x14ac:dyDescent="0.3">
      <c r="A2548" t="s">
        <v>259</v>
      </c>
      <c r="B2548" t="s">
        <v>429</v>
      </c>
      <c r="C2548" t="s">
        <v>289</v>
      </c>
      <c r="D2548">
        <v>3.0003053000000001E-3</v>
      </c>
      <c r="E2548">
        <v>3.5062255009999902E-3</v>
      </c>
      <c r="F2548">
        <v>4.154501907E-3</v>
      </c>
      <c r="G2548">
        <v>3.6230583969999999E-3</v>
      </c>
      <c r="H2548">
        <v>3.0316671772100002E-3</v>
      </c>
      <c r="I2548">
        <v>3.28178959963E-3</v>
      </c>
      <c r="J2548">
        <v>3.2396834902799999E-3</v>
      </c>
      <c r="K2548">
        <v>3.1182165808719998E-3</v>
      </c>
      <c r="L2548">
        <v>3.0904611737499902E-3</v>
      </c>
      <c r="M2548">
        <v>2.9902169477E-3</v>
      </c>
      <c r="N2548">
        <v>2.8875617451699998E-3</v>
      </c>
      <c r="O2548">
        <v>0</v>
      </c>
      <c r="P2548">
        <v>0</v>
      </c>
      <c r="Q2548">
        <v>0</v>
      </c>
      <c r="R2548" t="s">
        <v>243</v>
      </c>
    </row>
    <row r="2549" spans="1:18" x14ac:dyDescent="0.3">
      <c r="A2549" t="s">
        <v>259</v>
      </c>
      <c r="B2549" t="s">
        <v>429</v>
      </c>
      <c r="C2549" t="s">
        <v>290</v>
      </c>
      <c r="D2549">
        <v>3.6427650000000001E-3</v>
      </c>
      <c r="E2549">
        <v>4.4172876199999999E-3</v>
      </c>
      <c r="F2549">
        <v>5.0391777119999899E-3</v>
      </c>
      <c r="G2549">
        <v>4.5102809149999996E-3</v>
      </c>
      <c r="H2549">
        <v>3.7552017032400002E-3</v>
      </c>
      <c r="I2549">
        <v>4.0219925194299897E-3</v>
      </c>
      <c r="J2549">
        <v>3.9124440958699996E-3</v>
      </c>
      <c r="K2549">
        <v>3.7147749252599898E-3</v>
      </c>
      <c r="L2549">
        <v>3.6433011563099999E-3</v>
      </c>
      <c r="M2549">
        <v>3.48813277619E-3</v>
      </c>
      <c r="N2549">
        <v>3.3376282494800001E-3</v>
      </c>
      <c r="O2549">
        <v>0</v>
      </c>
      <c r="P2549">
        <v>0</v>
      </c>
      <c r="Q2549">
        <v>0</v>
      </c>
      <c r="R2549" t="s">
        <v>243</v>
      </c>
    </row>
    <row r="2550" spans="1:18" x14ac:dyDescent="0.3">
      <c r="A2550" t="s">
        <v>259</v>
      </c>
      <c r="B2550" t="s">
        <v>429</v>
      </c>
      <c r="C2550" t="s">
        <v>291</v>
      </c>
      <c r="D2550">
        <v>4.510862E-3</v>
      </c>
      <c r="E2550">
        <v>5.4669624029999898E-3</v>
      </c>
      <c r="F2550">
        <v>6.083642821E-3</v>
      </c>
      <c r="G2550">
        <v>5.5834748379999998E-3</v>
      </c>
      <c r="H2550">
        <v>4.6474490182999897E-3</v>
      </c>
      <c r="I2550">
        <v>4.91903627612E-3</v>
      </c>
      <c r="J2550">
        <v>4.6994323164099997E-3</v>
      </c>
      <c r="K2550">
        <v>4.3881532350899897E-3</v>
      </c>
      <c r="L2550">
        <v>4.2564121538599996E-3</v>
      </c>
      <c r="M2550">
        <v>4.0305247067699999E-3</v>
      </c>
      <c r="N2550">
        <v>3.8129350346699899E-3</v>
      </c>
      <c r="O2550">
        <v>0</v>
      </c>
      <c r="P2550">
        <v>0</v>
      </c>
      <c r="Q2550">
        <v>0</v>
      </c>
      <c r="R2550" t="s">
        <v>243</v>
      </c>
    </row>
    <row r="2551" spans="1:18" x14ac:dyDescent="0.3">
      <c r="A2551" t="s">
        <v>259</v>
      </c>
      <c r="B2551" t="s">
        <v>429</v>
      </c>
      <c r="C2551" t="s">
        <v>292</v>
      </c>
      <c r="D2551">
        <v>5.5338660000000001E-3</v>
      </c>
      <c r="E2551">
        <v>6.8694576499999998E-3</v>
      </c>
      <c r="F2551">
        <v>7.5564863209999899E-3</v>
      </c>
      <c r="G2551">
        <v>7.1053953000000001E-3</v>
      </c>
      <c r="H2551">
        <v>5.8629369703800003E-3</v>
      </c>
      <c r="I2551">
        <v>6.0898694145899903E-3</v>
      </c>
      <c r="J2551">
        <v>5.7002043278000002E-3</v>
      </c>
      <c r="K2551">
        <v>5.2111836364200003E-3</v>
      </c>
      <c r="L2551">
        <v>4.9822986532300001E-3</v>
      </c>
      <c r="M2551">
        <v>4.6462706961899903E-3</v>
      </c>
      <c r="N2551">
        <v>4.3337679867699996E-3</v>
      </c>
      <c r="O2551">
        <v>0</v>
      </c>
      <c r="P2551">
        <v>0</v>
      </c>
      <c r="Q2551">
        <v>0</v>
      </c>
      <c r="R2551" t="s">
        <v>243</v>
      </c>
    </row>
    <row r="2552" spans="1:18" x14ac:dyDescent="0.3">
      <c r="A2552" t="s">
        <v>259</v>
      </c>
      <c r="B2552" t="s">
        <v>429</v>
      </c>
      <c r="C2552" t="s">
        <v>293</v>
      </c>
      <c r="D2552">
        <v>7.1650199999999898E-3</v>
      </c>
      <c r="E2552">
        <v>8.8405045699999994E-3</v>
      </c>
      <c r="F2552">
        <v>9.5106769499999997E-3</v>
      </c>
      <c r="G2552">
        <v>9.2182930299999997E-3</v>
      </c>
      <c r="H2552">
        <v>7.6458550513999997E-3</v>
      </c>
      <c r="I2552">
        <v>7.7701999652E-3</v>
      </c>
      <c r="J2552">
        <v>7.0557454998099898E-3</v>
      </c>
      <c r="K2552">
        <v>6.2486325504799997E-3</v>
      </c>
      <c r="L2552">
        <v>5.8492332354899996E-3</v>
      </c>
      <c r="M2552">
        <v>5.3513585623999899E-3</v>
      </c>
      <c r="N2552">
        <v>4.9069094412100001E-3</v>
      </c>
      <c r="O2552">
        <v>0</v>
      </c>
      <c r="P2552">
        <v>0</v>
      </c>
      <c r="Q2552">
        <v>0</v>
      </c>
      <c r="R2552" t="s">
        <v>243</v>
      </c>
    </row>
    <row r="2553" spans="1:18" x14ac:dyDescent="0.3">
      <c r="A2553" t="s">
        <v>259</v>
      </c>
      <c r="B2553" t="s">
        <v>429</v>
      </c>
      <c r="C2553" t="s">
        <v>344</v>
      </c>
      <c r="D2553" s="8">
        <v>4.6481799999999999E-5</v>
      </c>
      <c r="E2553" s="8">
        <v>5.2325599999999999E-5</v>
      </c>
      <c r="F2553" s="8">
        <v>2.79568E-5</v>
      </c>
      <c r="G2553" s="8">
        <v>1.7243699999999999E-5</v>
      </c>
      <c r="H2553" s="8">
        <v>1.754327E-5</v>
      </c>
      <c r="I2553" s="8">
        <v>1.834817E-5</v>
      </c>
      <c r="J2553" s="8">
        <v>1.8966870000000001E-5</v>
      </c>
      <c r="K2553" s="8">
        <v>1.9517220000000001E-5</v>
      </c>
      <c r="L2553" s="8">
        <v>1.9749289999999898E-5</v>
      </c>
      <c r="M2553" s="8">
        <v>1.9781610000000001E-5</v>
      </c>
      <c r="N2553" s="8">
        <v>1.9768770000000001E-5</v>
      </c>
      <c r="O2553">
        <v>0</v>
      </c>
      <c r="P2553">
        <v>0</v>
      </c>
      <c r="Q2553">
        <v>0</v>
      </c>
      <c r="R2553" t="s">
        <v>243</v>
      </c>
    </row>
    <row r="2554" spans="1:18" x14ac:dyDescent="0.3">
      <c r="A2554" t="s">
        <v>259</v>
      </c>
      <c r="B2554" t="s">
        <v>429</v>
      </c>
      <c r="C2554" t="s">
        <v>345</v>
      </c>
      <c r="D2554" s="8">
        <v>2.3902200000000001E-6</v>
      </c>
      <c r="E2554" s="8">
        <v>2.0800399999999998E-6</v>
      </c>
      <c r="F2554" s="8">
        <v>1.55238E-6</v>
      </c>
      <c r="G2554" s="8">
        <v>8.2751399999999998E-7</v>
      </c>
      <c r="H2554" s="8">
        <v>8.3045499999999995E-7</v>
      </c>
      <c r="I2554" s="8">
        <v>8.3982400000000002E-7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243</v>
      </c>
    </row>
    <row r="2555" spans="1:18" x14ac:dyDescent="0.3">
      <c r="A2555" t="s">
        <v>259</v>
      </c>
      <c r="B2555" t="s">
        <v>429</v>
      </c>
      <c r="C2555" t="s">
        <v>346</v>
      </c>
      <c r="D2555" s="8">
        <v>2.8493700000000001E-5</v>
      </c>
      <c r="E2555" s="8">
        <v>2.88008E-5</v>
      </c>
      <c r="F2555" s="8">
        <v>1.5679300000000001E-5</v>
      </c>
      <c r="G2555" s="8">
        <v>1.05235E-5</v>
      </c>
      <c r="H2555" s="8">
        <v>1.082214E-5</v>
      </c>
      <c r="I2555" s="8">
        <v>1.123675E-5</v>
      </c>
      <c r="J2555" s="8">
        <v>1.152567E-5</v>
      </c>
      <c r="K2555" s="8">
        <v>1.179229E-5</v>
      </c>
      <c r="L2555" s="8">
        <v>1.1892970000000001E-5</v>
      </c>
      <c r="M2555" s="8">
        <v>1.188306E-5</v>
      </c>
      <c r="N2555" s="8">
        <v>1.1853740000000001E-5</v>
      </c>
      <c r="O2555">
        <v>0</v>
      </c>
      <c r="P2555">
        <v>0</v>
      </c>
      <c r="Q2555">
        <v>0</v>
      </c>
      <c r="R2555" t="s">
        <v>243</v>
      </c>
    </row>
    <row r="2556" spans="1:18" x14ac:dyDescent="0.3">
      <c r="A2556" t="s">
        <v>259</v>
      </c>
      <c r="B2556" t="s">
        <v>429</v>
      </c>
      <c r="C2556" t="s">
        <v>347</v>
      </c>
      <c r="D2556" s="8">
        <v>2.1990599999999999E-5</v>
      </c>
      <c r="E2556" s="8">
        <v>2.1023099999999999E-5</v>
      </c>
      <c r="F2556" s="8">
        <v>1.1702000000000001E-5</v>
      </c>
      <c r="G2556" s="8">
        <v>7.9841500000000005E-6</v>
      </c>
      <c r="H2556" s="8">
        <v>8.1784299999999999E-6</v>
      </c>
      <c r="I2556" s="8">
        <v>8.4669899999999997E-6</v>
      </c>
      <c r="J2556" s="8">
        <v>8.6669199999999997E-6</v>
      </c>
      <c r="K2556" s="8">
        <v>8.8496799999999996E-6</v>
      </c>
      <c r="L2556" s="8">
        <v>8.9119300000000006E-6</v>
      </c>
      <c r="M2556" s="8">
        <v>8.8948800000000005E-6</v>
      </c>
      <c r="N2556" s="8">
        <v>8.8658700000000005E-6</v>
      </c>
      <c r="O2556">
        <v>0</v>
      </c>
      <c r="P2556">
        <v>0</v>
      </c>
      <c r="Q2556">
        <v>0</v>
      </c>
      <c r="R2556" t="s">
        <v>243</v>
      </c>
    </row>
    <row r="2557" spans="1:18" x14ac:dyDescent="0.3">
      <c r="A2557" t="s">
        <v>259</v>
      </c>
      <c r="B2557" t="s">
        <v>429</v>
      </c>
      <c r="C2557" t="s">
        <v>348</v>
      </c>
      <c r="D2557" s="8">
        <v>1.77279E-5</v>
      </c>
      <c r="E2557" s="8">
        <v>1.6322899999999999E-5</v>
      </c>
      <c r="F2557" s="8">
        <v>9.3096600000000006E-6</v>
      </c>
      <c r="G2557" s="8">
        <v>6.3927800000000003E-6</v>
      </c>
      <c r="H2557" s="8">
        <v>6.5309999999999896E-6</v>
      </c>
      <c r="I2557" s="8">
        <v>6.7446200000000003E-6</v>
      </c>
      <c r="J2557" s="8">
        <v>6.8797600000000003E-6</v>
      </c>
      <c r="K2557" s="8">
        <v>7.0102369999999998E-6</v>
      </c>
      <c r="L2557" s="8">
        <v>7.0533699999999997E-6</v>
      </c>
      <c r="M2557" s="8">
        <v>7.0337600000000001E-6</v>
      </c>
      <c r="N2557" s="8">
        <v>7.0048799999999999E-6</v>
      </c>
      <c r="O2557">
        <v>0</v>
      </c>
      <c r="P2557">
        <v>0</v>
      </c>
      <c r="Q2557">
        <v>0</v>
      </c>
      <c r="R2557" t="s">
        <v>243</v>
      </c>
    </row>
    <row r="2558" spans="1:18" x14ac:dyDescent="0.3">
      <c r="A2558" t="s">
        <v>259</v>
      </c>
      <c r="B2558" t="s">
        <v>429</v>
      </c>
      <c r="C2558" t="s">
        <v>349</v>
      </c>
      <c r="D2558" s="8">
        <v>1.46358E-5</v>
      </c>
      <c r="E2558" s="8">
        <v>1.2970600000000001E-5</v>
      </c>
      <c r="F2558" s="8">
        <v>7.6366099999999997E-6</v>
      </c>
      <c r="G2558" s="8">
        <v>5.2106100000000004E-6</v>
      </c>
      <c r="H2558" s="8">
        <v>5.30477E-6</v>
      </c>
      <c r="I2558" s="8">
        <v>5.4624800000000001E-6</v>
      </c>
      <c r="J2558" s="8">
        <v>5.5611699999999998E-6</v>
      </c>
      <c r="K2558" s="8">
        <v>5.6554750000000003E-6</v>
      </c>
      <c r="L2558" s="8">
        <v>5.6835400000000001E-6</v>
      </c>
      <c r="M2558" s="8">
        <v>5.6631589999999998E-6</v>
      </c>
      <c r="N2558" s="8">
        <v>5.637108E-6</v>
      </c>
      <c r="O2558">
        <v>0</v>
      </c>
      <c r="P2558">
        <v>0</v>
      </c>
      <c r="Q2558">
        <v>0</v>
      </c>
      <c r="R2558" t="s">
        <v>243</v>
      </c>
    </row>
    <row r="2559" spans="1:18" x14ac:dyDescent="0.3">
      <c r="A2559" t="s">
        <v>259</v>
      </c>
      <c r="B2559" t="s">
        <v>429</v>
      </c>
      <c r="C2559" t="s">
        <v>350</v>
      </c>
      <c r="D2559" s="8">
        <v>1.20885E-5</v>
      </c>
      <c r="E2559" s="8">
        <v>1.0369399999999999E-5</v>
      </c>
      <c r="F2559" s="8">
        <v>6.3348400000000002E-6</v>
      </c>
      <c r="G2559" s="8">
        <v>4.2557900000000001E-6</v>
      </c>
      <c r="H2559" s="8">
        <v>4.31823E-6</v>
      </c>
      <c r="I2559" s="8">
        <v>4.4366999999999901E-6</v>
      </c>
      <c r="J2559" s="8">
        <v>4.5065729999999997E-6</v>
      </c>
      <c r="K2559" s="8">
        <v>4.5756440000000002E-6</v>
      </c>
      <c r="L2559" s="8">
        <v>4.5918499999999898E-6</v>
      </c>
      <c r="M2559" s="8">
        <v>4.5704219999999997E-6</v>
      </c>
      <c r="N2559" s="8">
        <v>4.547107E-6</v>
      </c>
      <c r="O2559">
        <v>0</v>
      </c>
      <c r="P2559">
        <v>0</v>
      </c>
      <c r="Q2559">
        <v>0</v>
      </c>
      <c r="R2559" t="s">
        <v>243</v>
      </c>
    </row>
    <row r="2560" spans="1:18" x14ac:dyDescent="0.3">
      <c r="A2560" t="s">
        <v>259</v>
      </c>
      <c r="B2560" t="s">
        <v>429</v>
      </c>
      <c r="C2560" t="s">
        <v>351</v>
      </c>
      <c r="D2560" s="8">
        <v>9.6345200000000004E-6</v>
      </c>
      <c r="E2560" s="8">
        <v>8.3320099999999999E-6</v>
      </c>
      <c r="F2560" s="8">
        <v>5.2210200000000002E-6</v>
      </c>
      <c r="G2560" s="8">
        <v>3.4464600000000001E-6</v>
      </c>
      <c r="H2560" s="8">
        <v>3.4912699999999902E-6</v>
      </c>
      <c r="I2560" s="8">
        <v>3.5789460000000002E-6</v>
      </c>
      <c r="J2560" s="8">
        <v>3.6247050000000001E-6</v>
      </c>
      <c r="K2560" s="8">
        <v>3.6735609999999998E-6</v>
      </c>
      <c r="L2560" s="8">
        <v>3.682987E-6</v>
      </c>
      <c r="M2560" s="8">
        <v>3.6632969999999999E-6</v>
      </c>
      <c r="N2560" s="8">
        <v>3.6417260000000001E-6</v>
      </c>
      <c r="O2560">
        <v>0</v>
      </c>
      <c r="P2560">
        <v>0</v>
      </c>
      <c r="Q2560">
        <v>0</v>
      </c>
      <c r="R2560" t="s">
        <v>243</v>
      </c>
    </row>
    <row r="2561" spans="1:18" x14ac:dyDescent="0.3">
      <c r="A2561" t="s">
        <v>259</v>
      </c>
      <c r="B2561" t="s">
        <v>429</v>
      </c>
      <c r="C2561" t="s">
        <v>352</v>
      </c>
      <c r="D2561" s="8">
        <v>7.5878600000000004E-6</v>
      </c>
      <c r="E2561" s="8">
        <v>6.4794000000000002E-6</v>
      </c>
      <c r="F2561" s="8">
        <v>4.1048799999999997E-6</v>
      </c>
      <c r="G2561" s="8">
        <v>2.6575899999999999E-6</v>
      </c>
      <c r="H2561" s="8">
        <v>2.6777199999999999E-6</v>
      </c>
      <c r="I2561" s="8">
        <v>2.7352219999999998E-6</v>
      </c>
      <c r="J2561" s="8">
        <v>2.7649E-6</v>
      </c>
      <c r="K2561" s="8">
        <v>2.7978160000000001E-6</v>
      </c>
      <c r="L2561" s="8">
        <v>2.8015469999999898E-6</v>
      </c>
      <c r="M2561" s="8">
        <v>2.783183E-6</v>
      </c>
      <c r="N2561" s="8">
        <v>2.7643360000000001E-6</v>
      </c>
      <c r="O2561">
        <v>0</v>
      </c>
      <c r="P2561">
        <v>0</v>
      </c>
      <c r="Q2561">
        <v>0</v>
      </c>
      <c r="R2561" t="s">
        <v>243</v>
      </c>
    </row>
    <row r="2562" spans="1:18" x14ac:dyDescent="0.3">
      <c r="A2562" t="s">
        <v>259</v>
      </c>
      <c r="B2562" t="s">
        <v>429</v>
      </c>
      <c r="C2562" t="s">
        <v>353</v>
      </c>
      <c r="D2562" s="8">
        <v>5.3546899999999999E-6</v>
      </c>
      <c r="E2562" s="8">
        <v>4.7641900000000002E-6</v>
      </c>
      <c r="F2562" s="8">
        <v>3.0862000000000002E-6</v>
      </c>
      <c r="G2562" s="8">
        <v>1.9301099999999998E-6</v>
      </c>
      <c r="H2562" s="8">
        <v>1.9438610000000001E-6</v>
      </c>
      <c r="I2562" s="8">
        <v>1.9795669999999998E-6</v>
      </c>
      <c r="J2562" s="8">
        <v>1.9937029999999999E-6</v>
      </c>
      <c r="K2562" s="8">
        <v>2.0115749999999999E-6</v>
      </c>
      <c r="L2562" s="8">
        <v>2.010443E-6</v>
      </c>
      <c r="M2562" s="8">
        <v>1.9948270000000001E-6</v>
      </c>
      <c r="N2562" s="8">
        <v>1.9795939999999999E-6</v>
      </c>
      <c r="O2562">
        <v>0</v>
      </c>
      <c r="P2562">
        <v>0</v>
      </c>
      <c r="Q2562">
        <v>0</v>
      </c>
      <c r="R2562" t="s">
        <v>243</v>
      </c>
    </row>
    <row r="2563" spans="1:18" x14ac:dyDescent="0.3">
      <c r="A2563" t="s">
        <v>259</v>
      </c>
      <c r="B2563" t="s">
        <v>429</v>
      </c>
      <c r="C2563" t="s">
        <v>294</v>
      </c>
      <c r="D2563" s="8">
        <v>3.5710538999999999E-4</v>
      </c>
      <c r="E2563" s="8">
        <v>4.4926291999999998E-4</v>
      </c>
      <c r="F2563" s="8">
        <v>5.3770678999999998E-4</v>
      </c>
      <c r="G2563" s="8">
        <v>5.1444856999999895E-4</v>
      </c>
      <c r="H2563" s="8">
        <v>6.6961462019999999E-4</v>
      </c>
      <c r="I2563" s="8">
        <v>7.8160509760000002E-4</v>
      </c>
      <c r="J2563">
        <v>1.3146581813E-3</v>
      </c>
      <c r="K2563">
        <v>1.3789221850999899E-3</v>
      </c>
      <c r="L2563">
        <v>1.3741114500000001E-3</v>
      </c>
      <c r="M2563">
        <v>1.3363541629999899E-3</v>
      </c>
      <c r="N2563">
        <v>1.263516723E-3</v>
      </c>
      <c r="O2563">
        <v>0</v>
      </c>
      <c r="P2563">
        <v>0</v>
      </c>
      <c r="Q2563">
        <v>0</v>
      </c>
      <c r="R2563" t="s">
        <v>243</v>
      </c>
    </row>
    <row r="2564" spans="1:18" x14ac:dyDescent="0.3">
      <c r="A2564" t="s">
        <v>259</v>
      </c>
      <c r="B2564" t="s">
        <v>429</v>
      </c>
      <c r="C2564" t="s">
        <v>295</v>
      </c>
      <c r="D2564">
        <v>2.2193388300000001E-3</v>
      </c>
      <c r="E2564">
        <v>3.9445129900000002E-3</v>
      </c>
      <c r="F2564">
        <v>3.7106952599999998E-3</v>
      </c>
      <c r="G2564">
        <v>3.8208377999999999E-3</v>
      </c>
      <c r="H2564">
        <v>3.8042590359999898E-3</v>
      </c>
      <c r="I2564">
        <v>3.8189620069999999E-3</v>
      </c>
      <c r="J2564">
        <v>3.7334795399000002E-3</v>
      </c>
      <c r="K2564">
        <v>3.6019939828000002E-3</v>
      </c>
      <c r="L2564">
        <v>3.4032576457999901E-3</v>
      </c>
      <c r="M2564">
        <v>3.2045425359999999E-3</v>
      </c>
      <c r="N2564">
        <v>2.9527081393999999E-3</v>
      </c>
      <c r="O2564">
        <v>0</v>
      </c>
      <c r="P2564">
        <v>0</v>
      </c>
      <c r="Q2564">
        <v>0</v>
      </c>
      <c r="R2564" t="s">
        <v>243</v>
      </c>
    </row>
    <row r="2565" spans="1:18" x14ac:dyDescent="0.3">
      <c r="A2565" t="s">
        <v>259</v>
      </c>
      <c r="B2565" t="s">
        <v>429</v>
      </c>
      <c r="C2565" t="s">
        <v>296</v>
      </c>
      <c r="D2565" s="8">
        <v>6.2704942000000002E-4</v>
      </c>
      <c r="E2565" s="8">
        <v>8.8880964999999996E-4</v>
      </c>
      <c r="F2565">
        <v>1.0563827299999999E-3</v>
      </c>
      <c r="G2565" s="8">
        <v>9.5637322000000004E-4</v>
      </c>
      <c r="H2565">
        <v>1.2133486526999899E-3</v>
      </c>
      <c r="I2565">
        <v>1.3621263737999901E-3</v>
      </c>
      <c r="J2565">
        <v>1.8745794818E-3</v>
      </c>
      <c r="K2565">
        <v>1.8847619740999899E-3</v>
      </c>
      <c r="L2565">
        <v>1.8244447947999901E-3</v>
      </c>
      <c r="M2565">
        <v>1.7404719367000001E-3</v>
      </c>
      <c r="N2565">
        <v>1.6201467507999999E-3</v>
      </c>
      <c r="O2565">
        <v>0</v>
      </c>
      <c r="P2565">
        <v>0</v>
      </c>
      <c r="Q2565">
        <v>0</v>
      </c>
      <c r="R2565" t="s">
        <v>243</v>
      </c>
    </row>
    <row r="2566" spans="1:18" x14ac:dyDescent="0.3">
      <c r="A2566" t="s">
        <v>259</v>
      </c>
      <c r="B2566" t="s">
        <v>429</v>
      </c>
      <c r="C2566" t="s">
        <v>297</v>
      </c>
      <c r="D2566" s="8">
        <v>8.0779910999999999E-4</v>
      </c>
      <c r="E2566">
        <v>1.2192161E-3</v>
      </c>
      <c r="F2566">
        <v>1.4057714799999999E-3</v>
      </c>
      <c r="G2566">
        <v>1.27993555E-3</v>
      </c>
      <c r="H2566">
        <v>1.5571476346999901E-3</v>
      </c>
      <c r="I2566">
        <v>1.714134266E-3</v>
      </c>
      <c r="J2566">
        <v>2.1296834644000001E-3</v>
      </c>
      <c r="K2566">
        <v>2.1096439475999998E-3</v>
      </c>
      <c r="L2566">
        <v>2.0238786272000001E-3</v>
      </c>
      <c r="M2566">
        <v>1.92282829089999E-3</v>
      </c>
      <c r="N2566">
        <v>1.7849978666000001E-3</v>
      </c>
      <c r="O2566">
        <v>0</v>
      </c>
      <c r="P2566">
        <v>0</v>
      </c>
      <c r="Q2566">
        <v>0</v>
      </c>
      <c r="R2566" t="s">
        <v>243</v>
      </c>
    </row>
    <row r="2567" spans="1:18" x14ac:dyDescent="0.3">
      <c r="A2567" t="s">
        <v>259</v>
      </c>
      <c r="B2567" t="s">
        <v>429</v>
      </c>
      <c r="C2567" t="s">
        <v>298</v>
      </c>
      <c r="D2567" s="8">
        <v>9.7286043999999996E-4</v>
      </c>
      <c r="E2567">
        <v>1.5319557E-3</v>
      </c>
      <c r="F2567">
        <v>1.7090893499999999E-3</v>
      </c>
      <c r="G2567">
        <v>1.5717868199999999E-3</v>
      </c>
      <c r="H2567">
        <v>1.8486837029999901E-3</v>
      </c>
      <c r="I2567">
        <v>2.0017048799999999E-3</v>
      </c>
      <c r="J2567">
        <v>2.3095750414000001E-3</v>
      </c>
      <c r="K2567">
        <v>2.2693092803999998E-3</v>
      </c>
      <c r="L2567">
        <v>2.1688070216999999E-3</v>
      </c>
      <c r="M2567">
        <v>2.0579475132999998E-3</v>
      </c>
      <c r="N2567">
        <v>1.9087297582999999E-3</v>
      </c>
      <c r="O2567">
        <v>0</v>
      </c>
      <c r="P2567">
        <v>0</v>
      </c>
      <c r="Q2567">
        <v>0</v>
      </c>
      <c r="R2567" t="s">
        <v>243</v>
      </c>
    </row>
    <row r="2568" spans="1:18" x14ac:dyDescent="0.3">
      <c r="A2568" t="s">
        <v>259</v>
      </c>
      <c r="B2568" t="s">
        <v>429</v>
      </c>
      <c r="C2568" t="s">
        <v>299</v>
      </c>
      <c r="D2568">
        <v>1.12596192E-3</v>
      </c>
      <c r="E2568">
        <v>1.8443102699999901E-3</v>
      </c>
      <c r="F2568">
        <v>1.9840017300000001E-3</v>
      </c>
      <c r="G2568">
        <v>1.85566968E-3</v>
      </c>
      <c r="H2568">
        <v>2.111140026E-3</v>
      </c>
      <c r="I2568">
        <v>2.2497693493999998E-3</v>
      </c>
      <c r="J2568">
        <v>2.4623568004999998E-3</v>
      </c>
      <c r="K2568">
        <v>2.4078975304999998E-3</v>
      </c>
      <c r="L2568">
        <v>2.2959105509999999E-3</v>
      </c>
      <c r="M2568">
        <v>2.1771004574000002E-3</v>
      </c>
      <c r="N2568">
        <v>2.0185543005999998E-3</v>
      </c>
      <c r="O2568">
        <v>0</v>
      </c>
      <c r="P2568">
        <v>0</v>
      </c>
      <c r="Q2568">
        <v>0</v>
      </c>
      <c r="R2568" t="s">
        <v>243</v>
      </c>
    </row>
    <row r="2569" spans="1:18" x14ac:dyDescent="0.3">
      <c r="A2569" t="s">
        <v>259</v>
      </c>
      <c r="B2569" t="s">
        <v>429</v>
      </c>
      <c r="C2569" t="s">
        <v>300</v>
      </c>
      <c r="D2569">
        <v>1.2793117299999999E-3</v>
      </c>
      <c r="E2569">
        <v>2.16304243E-3</v>
      </c>
      <c r="F2569">
        <v>2.24361588E-3</v>
      </c>
      <c r="G2569">
        <v>2.13953188E-3</v>
      </c>
      <c r="H2569">
        <v>2.3587054899999898E-3</v>
      </c>
      <c r="I2569">
        <v>2.4794297387999899E-3</v>
      </c>
      <c r="J2569">
        <v>2.6070489170999999E-3</v>
      </c>
      <c r="K2569">
        <v>2.5421912673999898E-3</v>
      </c>
      <c r="L2569">
        <v>2.4194760180000002E-3</v>
      </c>
      <c r="M2569">
        <v>2.2922947978E-3</v>
      </c>
      <c r="N2569">
        <v>2.1244993149999998E-3</v>
      </c>
      <c r="O2569">
        <v>0</v>
      </c>
      <c r="P2569">
        <v>0</v>
      </c>
      <c r="Q2569">
        <v>0</v>
      </c>
      <c r="R2569" t="s">
        <v>243</v>
      </c>
    </row>
    <row r="2570" spans="1:18" x14ac:dyDescent="0.3">
      <c r="A2570" t="s">
        <v>259</v>
      </c>
      <c r="B2570" t="s">
        <v>429</v>
      </c>
      <c r="C2570" t="s">
        <v>301</v>
      </c>
      <c r="D2570">
        <v>1.4552770899999999E-3</v>
      </c>
      <c r="E2570">
        <v>2.4757920399999999E-3</v>
      </c>
      <c r="F2570">
        <v>2.50480893E-3</v>
      </c>
      <c r="G2570">
        <v>2.4280608600000001E-3</v>
      </c>
      <c r="H2570">
        <v>2.6042290349999999E-3</v>
      </c>
      <c r="I2570">
        <v>2.702725439E-3</v>
      </c>
      <c r="J2570">
        <v>2.7572010571E-3</v>
      </c>
      <c r="K2570">
        <v>2.6825373046000002E-3</v>
      </c>
      <c r="L2570">
        <v>2.5501675562999999E-3</v>
      </c>
      <c r="M2570">
        <v>2.4147442236999998E-3</v>
      </c>
      <c r="N2570">
        <v>2.2363197525999902E-3</v>
      </c>
      <c r="O2570">
        <v>0</v>
      </c>
      <c r="P2570">
        <v>0</v>
      </c>
      <c r="Q2570">
        <v>0</v>
      </c>
      <c r="R2570" t="s">
        <v>243</v>
      </c>
    </row>
    <row r="2571" spans="1:18" x14ac:dyDescent="0.3">
      <c r="A2571" t="s">
        <v>259</v>
      </c>
      <c r="B2571" t="s">
        <v>429</v>
      </c>
      <c r="C2571" t="s">
        <v>302</v>
      </c>
      <c r="D2571">
        <v>1.6259007499999901E-3</v>
      </c>
      <c r="E2571">
        <v>2.81983699E-3</v>
      </c>
      <c r="F2571">
        <v>2.8070152399999999E-3</v>
      </c>
      <c r="G2571">
        <v>2.7577054300000001E-3</v>
      </c>
      <c r="H2571">
        <v>2.8615957589999898E-3</v>
      </c>
      <c r="I2571">
        <v>2.930957457E-3</v>
      </c>
      <c r="J2571">
        <v>2.9307200432999998E-3</v>
      </c>
      <c r="K2571">
        <v>2.847339648E-3</v>
      </c>
      <c r="L2571">
        <v>2.7036693746999999E-3</v>
      </c>
      <c r="M2571">
        <v>2.5568535629999999E-3</v>
      </c>
      <c r="N2571">
        <v>2.3653099871000002E-3</v>
      </c>
      <c r="O2571">
        <v>0</v>
      </c>
      <c r="P2571">
        <v>0</v>
      </c>
      <c r="Q2571">
        <v>0</v>
      </c>
      <c r="R2571" t="s">
        <v>243</v>
      </c>
    </row>
    <row r="2572" spans="1:18" x14ac:dyDescent="0.3">
      <c r="A2572" t="s">
        <v>259</v>
      </c>
      <c r="B2572" t="s">
        <v>429</v>
      </c>
      <c r="C2572" t="s">
        <v>303</v>
      </c>
      <c r="D2572">
        <v>1.84000957E-3</v>
      </c>
      <c r="E2572">
        <v>3.19570687999999E-3</v>
      </c>
      <c r="F2572">
        <v>3.12129003E-3</v>
      </c>
      <c r="G2572">
        <v>3.1082123699999898E-3</v>
      </c>
      <c r="H2572">
        <v>3.1542455940000002E-3</v>
      </c>
      <c r="I2572">
        <v>3.1987691219999901E-3</v>
      </c>
      <c r="J2572">
        <v>3.1560553852999999E-3</v>
      </c>
      <c r="K2572">
        <v>3.0582879549E-3</v>
      </c>
      <c r="L2572">
        <v>2.8987647342000001E-3</v>
      </c>
      <c r="M2572">
        <v>2.7376873269999999E-3</v>
      </c>
      <c r="N2572">
        <v>2.5296912736E-3</v>
      </c>
      <c r="O2572">
        <v>0</v>
      </c>
      <c r="P2572">
        <v>0</v>
      </c>
      <c r="Q2572">
        <v>0</v>
      </c>
      <c r="R2572" t="s">
        <v>243</v>
      </c>
    </row>
    <row r="2573" spans="1:18" x14ac:dyDescent="0.3">
      <c r="A2573" t="s">
        <v>259</v>
      </c>
      <c r="B2573" t="s">
        <v>429</v>
      </c>
      <c r="C2573" t="s">
        <v>304</v>
      </c>
      <c r="D2573" s="8">
        <v>8.3313599999999995E-4</v>
      </c>
      <c r="E2573">
        <v>1.1520499999999999E-3</v>
      </c>
      <c r="F2573">
        <v>1.31266E-3</v>
      </c>
      <c r="G2573">
        <v>1.24855E-3</v>
      </c>
      <c r="H2573">
        <v>1.404577E-3</v>
      </c>
      <c r="I2573">
        <v>1.5135539999999901E-3</v>
      </c>
      <c r="J2573">
        <v>1.6261190000000001E-3</v>
      </c>
      <c r="K2573">
        <v>1.7135010000000001E-3</v>
      </c>
      <c r="L2573">
        <v>1.7534969999999999E-3</v>
      </c>
      <c r="M2573">
        <v>1.7673630000000001E-3</v>
      </c>
      <c r="N2573">
        <v>1.7714339999999999E-3</v>
      </c>
      <c r="O2573">
        <v>0</v>
      </c>
      <c r="P2573">
        <v>0</v>
      </c>
      <c r="Q2573">
        <v>0</v>
      </c>
      <c r="R2573" t="s">
        <v>243</v>
      </c>
    </row>
    <row r="2574" spans="1:18" x14ac:dyDescent="0.3">
      <c r="A2574" t="s">
        <v>259</v>
      </c>
      <c r="B2574" t="s">
        <v>429</v>
      </c>
      <c r="C2574" t="s">
        <v>305</v>
      </c>
      <c r="D2574">
        <v>2.3188000000000002E-3</v>
      </c>
      <c r="E2574">
        <v>3.8648799999999998E-3</v>
      </c>
      <c r="F2574">
        <v>3.8388799999999998E-3</v>
      </c>
      <c r="G2574">
        <v>3.9681600000000001E-3</v>
      </c>
      <c r="H2574">
        <v>3.9817699999999999E-3</v>
      </c>
      <c r="I2574">
        <v>4.0262099999999997E-3</v>
      </c>
      <c r="J2574">
        <v>4.029337E-3</v>
      </c>
      <c r="K2574">
        <v>4.0457710000000001E-3</v>
      </c>
      <c r="L2574">
        <v>4.0297709999999997E-3</v>
      </c>
      <c r="M2574">
        <v>3.98701E-3</v>
      </c>
      <c r="N2574">
        <v>3.9472860000000004E-3</v>
      </c>
      <c r="O2574">
        <v>0</v>
      </c>
      <c r="P2574">
        <v>0</v>
      </c>
      <c r="Q2574">
        <v>0</v>
      </c>
      <c r="R2574" t="s">
        <v>243</v>
      </c>
    </row>
    <row r="2575" spans="1:18" x14ac:dyDescent="0.3">
      <c r="A2575" t="s">
        <v>259</v>
      </c>
      <c r="B2575" t="s">
        <v>429</v>
      </c>
      <c r="C2575" t="s">
        <v>306</v>
      </c>
      <c r="D2575">
        <v>1.1469099999999999E-3</v>
      </c>
      <c r="E2575">
        <v>1.7935099999999999E-3</v>
      </c>
      <c r="F2575">
        <v>1.9549900000000002E-3</v>
      </c>
      <c r="G2575">
        <v>1.8145100000000001E-3</v>
      </c>
      <c r="H2575">
        <v>1.94813E-3</v>
      </c>
      <c r="I2575">
        <v>2.039412E-3</v>
      </c>
      <c r="J2575">
        <v>2.1084419999999999E-3</v>
      </c>
      <c r="K2575">
        <v>2.162986E-3</v>
      </c>
      <c r="L2575">
        <v>2.1831869999999901E-3</v>
      </c>
      <c r="M2575">
        <v>2.1821319999999998E-3</v>
      </c>
      <c r="N2575">
        <v>2.1767620000000001E-3</v>
      </c>
      <c r="O2575">
        <v>0</v>
      </c>
      <c r="P2575">
        <v>0</v>
      </c>
      <c r="Q2575">
        <v>0</v>
      </c>
      <c r="R2575" t="s">
        <v>243</v>
      </c>
    </row>
    <row r="2576" spans="1:18" x14ac:dyDescent="0.3">
      <c r="A2576" t="s">
        <v>259</v>
      </c>
      <c r="B2576" t="s">
        <v>429</v>
      </c>
      <c r="C2576" t="s">
        <v>307</v>
      </c>
      <c r="D2576">
        <v>1.2940199999999999E-3</v>
      </c>
      <c r="E2576">
        <v>2.1170999999999998E-3</v>
      </c>
      <c r="F2576">
        <v>2.2418999999999998E-3</v>
      </c>
      <c r="G2576">
        <v>2.1000599999999999E-3</v>
      </c>
      <c r="H2576">
        <v>2.1920830000000001E-3</v>
      </c>
      <c r="I2576">
        <v>2.2756199999999999E-3</v>
      </c>
      <c r="J2576">
        <v>2.3342979999999998E-3</v>
      </c>
      <c r="K2576">
        <v>2.3843919999999999E-3</v>
      </c>
      <c r="L2576">
        <v>2.4013649999999999E-3</v>
      </c>
      <c r="M2576">
        <v>2.396928E-3</v>
      </c>
      <c r="N2576">
        <v>2.3890489999999999E-3</v>
      </c>
      <c r="O2576">
        <v>0</v>
      </c>
      <c r="P2576">
        <v>0</v>
      </c>
      <c r="Q2576">
        <v>0</v>
      </c>
      <c r="R2576" t="s">
        <v>243</v>
      </c>
    </row>
    <row r="2577" spans="1:18" x14ac:dyDescent="0.3">
      <c r="A2577" t="s">
        <v>259</v>
      </c>
      <c r="B2577" t="s">
        <v>429</v>
      </c>
      <c r="C2577" t="s">
        <v>308</v>
      </c>
      <c r="D2577">
        <v>1.4054499999999999E-3</v>
      </c>
      <c r="E2577">
        <v>2.35075E-3</v>
      </c>
      <c r="F2577">
        <v>2.4438699999999999E-3</v>
      </c>
      <c r="G2577">
        <v>2.3084199999999998E-3</v>
      </c>
      <c r="H2577">
        <v>2.3768349999999999E-3</v>
      </c>
      <c r="I2577">
        <v>2.4564840000000001E-3</v>
      </c>
      <c r="J2577">
        <v>2.5068909999999998E-3</v>
      </c>
      <c r="K2577">
        <v>2.5544829999999902E-3</v>
      </c>
      <c r="L2577">
        <v>2.5702300000000002E-3</v>
      </c>
      <c r="M2577">
        <v>2.563142E-3</v>
      </c>
      <c r="N2577">
        <v>2.55258E-3</v>
      </c>
      <c r="O2577">
        <v>0</v>
      </c>
      <c r="P2577">
        <v>0</v>
      </c>
      <c r="Q2577">
        <v>0</v>
      </c>
      <c r="R2577" t="s">
        <v>243</v>
      </c>
    </row>
    <row r="2578" spans="1:18" x14ac:dyDescent="0.3">
      <c r="A2578" t="s">
        <v>259</v>
      </c>
      <c r="B2578" t="s">
        <v>429</v>
      </c>
      <c r="C2578" t="s">
        <v>309</v>
      </c>
      <c r="D2578">
        <v>1.4985300000000001E-3</v>
      </c>
      <c r="E2578">
        <v>2.5420799999999999E-3</v>
      </c>
      <c r="F2578">
        <v>2.6077600000000002E-3</v>
      </c>
      <c r="G2578">
        <v>2.48731E-3</v>
      </c>
      <c r="H2578">
        <v>2.5392800000000001E-3</v>
      </c>
      <c r="I2578">
        <v>2.6150779999999998E-3</v>
      </c>
      <c r="J2578">
        <v>2.6623879999999999E-3</v>
      </c>
      <c r="K2578">
        <v>2.7075049999999998E-3</v>
      </c>
      <c r="L2578">
        <v>2.7209349999999998E-3</v>
      </c>
      <c r="M2578">
        <v>2.7111940000000001E-3</v>
      </c>
      <c r="N2578">
        <v>2.698715E-3</v>
      </c>
      <c r="O2578">
        <v>0</v>
      </c>
      <c r="P2578">
        <v>0</v>
      </c>
      <c r="Q2578">
        <v>0</v>
      </c>
      <c r="R2578" t="s">
        <v>243</v>
      </c>
    </row>
    <row r="2579" spans="1:18" x14ac:dyDescent="0.3">
      <c r="A2579" t="s">
        <v>259</v>
      </c>
      <c r="B2579" t="s">
        <v>429</v>
      </c>
      <c r="C2579" t="s">
        <v>310</v>
      </c>
      <c r="D2579">
        <v>1.58803E-3</v>
      </c>
      <c r="E2579">
        <v>2.7141499999999998E-3</v>
      </c>
      <c r="F2579">
        <v>2.75633E-3</v>
      </c>
      <c r="G2579">
        <v>2.6565099999999999E-3</v>
      </c>
      <c r="H2579">
        <v>2.6974500000000001E-3</v>
      </c>
      <c r="I2579">
        <v>2.7712520000000001E-3</v>
      </c>
      <c r="J2579">
        <v>2.8146349999999998E-3</v>
      </c>
      <c r="K2579">
        <v>2.8577479999999998E-3</v>
      </c>
      <c r="L2579">
        <v>2.8678760000000001E-3</v>
      </c>
      <c r="M2579">
        <v>2.8545060000000001E-3</v>
      </c>
      <c r="N2579">
        <v>2.8399319999999999E-3</v>
      </c>
      <c r="O2579">
        <v>0</v>
      </c>
      <c r="P2579">
        <v>0</v>
      </c>
      <c r="Q2579">
        <v>0</v>
      </c>
      <c r="R2579" t="s">
        <v>243</v>
      </c>
    </row>
    <row r="2580" spans="1:18" x14ac:dyDescent="0.3">
      <c r="A2580" t="s">
        <v>259</v>
      </c>
      <c r="B2580" t="s">
        <v>429</v>
      </c>
      <c r="C2580" t="s">
        <v>311</v>
      </c>
      <c r="D2580">
        <v>1.69232E-3</v>
      </c>
      <c r="E2580">
        <v>2.8747199999999999E-3</v>
      </c>
      <c r="F2580">
        <v>2.9076000000000002E-3</v>
      </c>
      <c r="G2580">
        <v>2.8294000000000001E-3</v>
      </c>
      <c r="H2580">
        <v>2.8663500000000001E-3</v>
      </c>
      <c r="I2580">
        <v>2.937996E-3</v>
      </c>
      <c r="J2580">
        <v>2.9751930000000001E-3</v>
      </c>
      <c r="K2580">
        <v>3.015294E-3</v>
      </c>
      <c r="L2580">
        <v>3.0230410000000002E-3</v>
      </c>
      <c r="M2580">
        <v>3.0068719999999998E-3</v>
      </c>
      <c r="N2580">
        <v>2.9891559999999902E-3</v>
      </c>
      <c r="O2580">
        <v>0</v>
      </c>
      <c r="P2580">
        <v>0</v>
      </c>
      <c r="Q2580">
        <v>0</v>
      </c>
      <c r="R2580" t="s">
        <v>243</v>
      </c>
    </row>
    <row r="2581" spans="1:18" x14ac:dyDescent="0.3">
      <c r="A2581" t="s">
        <v>259</v>
      </c>
      <c r="B2581" t="s">
        <v>429</v>
      </c>
      <c r="C2581" t="s">
        <v>312</v>
      </c>
      <c r="D2581">
        <v>1.8012099999999999E-3</v>
      </c>
      <c r="E2581">
        <v>3.0556200000000002E-3</v>
      </c>
      <c r="F2581">
        <v>3.0944000000000002E-3</v>
      </c>
      <c r="G2581">
        <v>3.0406700000000001E-3</v>
      </c>
      <c r="H2581">
        <v>3.0633600000000002E-3</v>
      </c>
      <c r="I2581">
        <v>3.1287799999999998E-3</v>
      </c>
      <c r="J2581">
        <v>3.1623239999999898E-3</v>
      </c>
      <c r="K2581">
        <v>3.1999619999999898E-3</v>
      </c>
      <c r="L2581">
        <v>3.204232E-3</v>
      </c>
      <c r="M2581">
        <v>3.1832340000000001E-3</v>
      </c>
      <c r="N2581">
        <v>3.1616819999999999E-3</v>
      </c>
      <c r="O2581">
        <v>0</v>
      </c>
      <c r="P2581">
        <v>0</v>
      </c>
      <c r="Q2581">
        <v>0</v>
      </c>
      <c r="R2581" t="s">
        <v>243</v>
      </c>
    </row>
    <row r="2582" spans="1:18" x14ac:dyDescent="0.3">
      <c r="A2582" t="s">
        <v>259</v>
      </c>
      <c r="B2582" t="s">
        <v>429</v>
      </c>
      <c r="C2582" t="s">
        <v>313</v>
      </c>
      <c r="D2582">
        <v>1.95933E-3</v>
      </c>
      <c r="E2582">
        <v>3.2754199999999998E-3</v>
      </c>
      <c r="F2582">
        <v>3.3147900000000002E-3</v>
      </c>
      <c r="G2582">
        <v>3.29831E-3</v>
      </c>
      <c r="H2582">
        <v>3.3214099999999999E-3</v>
      </c>
      <c r="I2582">
        <v>3.3819979999999898E-3</v>
      </c>
      <c r="J2582">
        <v>3.4057240000000002E-3</v>
      </c>
      <c r="K2582">
        <v>3.4362469999999999E-3</v>
      </c>
      <c r="L2582">
        <v>3.434313E-3</v>
      </c>
      <c r="M2582">
        <v>3.4076459999999999E-3</v>
      </c>
      <c r="N2582">
        <v>3.3816100000000002E-3</v>
      </c>
      <c r="O2582">
        <v>0</v>
      </c>
      <c r="P2582">
        <v>0</v>
      </c>
      <c r="Q2582">
        <v>0</v>
      </c>
      <c r="R2582" t="s">
        <v>243</v>
      </c>
    </row>
    <row r="2583" spans="1:18" x14ac:dyDescent="0.3">
      <c r="A2583" t="s">
        <v>259</v>
      </c>
      <c r="B2583" t="s">
        <v>429</v>
      </c>
      <c r="C2583" t="s">
        <v>314</v>
      </c>
      <c r="D2583" s="8">
        <v>1.1911239999999999E-4</v>
      </c>
      <c r="E2583" s="8">
        <v>1.523626E-4</v>
      </c>
      <c r="F2583" s="8">
        <v>1.7910499999999999E-4</v>
      </c>
      <c r="G2583" s="8">
        <v>1.7680549999999999E-4</v>
      </c>
      <c r="H2583" s="8">
        <v>1.9525631E-4</v>
      </c>
      <c r="I2583" s="8">
        <v>2.1078517999999999E-4</v>
      </c>
      <c r="J2583" s="8">
        <v>2.2976777000000001E-4</v>
      </c>
      <c r="K2583" s="8">
        <v>2.4242247E-4</v>
      </c>
      <c r="L2583" s="8">
        <v>2.4726811999999999E-4</v>
      </c>
      <c r="M2583" s="8">
        <v>2.4830039999999999E-4</v>
      </c>
      <c r="N2583" s="8">
        <v>2.4713192E-4</v>
      </c>
      <c r="O2583">
        <v>0</v>
      </c>
      <c r="P2583">
        <v>0</v>
      </c>
      <c r="Q2583">
        <v>0</v>
      </c>
      <c r="R2583" t="s">
        <v>243</v>
      </c>
    </row>
    <row r="2584" spans="1:18" x14ac:dyDescent="0.3">
      <c r="A2584" t="s">
        <v>259</v>
      </c>
      <c r="B2584" t="s">
        <v>429</v>
      </c>
      <c r="C2584" t="s">
        <v>315</v>
      </c>
      <c r="D2584" s="8">
        <v>3.6844649999999998E-4</v>
      </c>
      <c r="E2584" s="8">
        <v>5.9101429999999897E-4</v>
      </c>
      <c r="F2584" s="8">
        <v>5.8735880000000001E-4</v>
      </c>
      <c r="G2584" s="8">
        <v>6.2378009999999905E-4</v>
      </c>
      <c r="H2584" s="8">
        <v>5.9919819999999996E-4</v>
      </c>
      <c r="I2584" s="8">
        <v>5.963524E-4</v>
      </c>
      <c r="J2584" s="8">
        <v>5.9460869999999996E-4</v>
      </c>
      <c r="K2584" s="8">
        <v>5.8788769999999996E-4</v>
      </c>
      <c r="L2584" s="8">
        <v>5.7787259999999999E-4</v>
      </c>
      <c r="M2584" s="8">
        <v>5.662725E-4</v>
      </c>
      <c r="N2584" s="8">
        <v>5.5431180999999995E-4</v>
      </c>
      <c r="O2584">
        <v>0</v>
      </c>
      <c r="P2584">
        <v>0</v>
      </c>
      <c r="Q2584">
        <v>0</v>
      </c>
      <c r="R2584" t="s">
        <v>243</v>
      </c>
    </row>
    <row r="2585" spans="1:18" x14ac:dyDescent="0.3">
      <c r="A2585" t="s">
        <v>259</v>
      </c>
      <c r="B2585" t="s">
        <v>429</v>
      </c>
      <c r="C2585" t="s">
        <v>316</v>
      </c>
      <c r="D2585" s="8">
        <v>1.7298009999999999E-4</v>
      </c>
      <c r="E2585" s="8">
        <v>2.5173179999999999E-4</v>
      </c>
      <c r="F2585" s="8">
        <v>2.8342889999999999E-4</v>
      </c>
      <c r="G2585" s="8">
        <v>2.7038339999999999E-4</v>
      </c>
      <c r="H2585" s="8">
        <v>2.852094E-4</v>
      </c>
      <c r="I2585" s="8">
        <v>2.9691079999999897E-4</v>
      </c>
      <c r="J2585" s="8">
        <v>3.0842039999999998E-4</v>
      </c>
      <c r="K2585" s="8">
        <v>3.1332940999999998E-4</v>
      </c>
      <c r="L2585" s="8">
        <v>3.1275215999999997E-4</v>
      </c>
      <c r="M2585" s="8">
        <v>3.0975787000000002E-4</v>
      </c>
      <c r="N2585" s="8">
        <v>3.0564736000000001E-4</v>
      </c>
      <c r="O2585">
        <v>0</v>
      </c>
      <c r="P2585">
        <v>0</v>
      </c>
      <c r="Q2585">
        <v>0</v>
      </c>
      <c r="R2585" t="s">
        <v>243</v>
      </c>
    </row>
    <row r="2586" spans="1:18" x14ac:dyDescent="0.3">
      <c r="A2586" t="s">
        <v>259</v>
      </c>
      <c r="B2586" t="s">
        <v>429</v>
      </c>
      <c r="C2586" t="s">
        <v>317</v>
      </c>
      <c r="D2586" s="8">
        <v>1.9965439999999901E-4</v>
      </c>
      <c r="E2586" s="8">
        <v>3.0668070000000001E-4</v>
      </c>
      <c r="F2586" s="8">
        <v>3.3325459999999999E-4</v>
      </c>
      <c r="G2586" s="8">
        <v>3.2042270000000002E-4</v>
      </c>
      <c r="H2586" s="8">
        <v>3.2611080000000001E-4</v>
      </c>
      <c r="I2586" s="8">
        <v>3.3512089999999999E-4</v>
      </c>
      <c r="J2586" s="8">
        <v>3.4369380000000001E-4</v>
      </c>
      <c r="K2586" s="8">
        <v>3.4633283999999998E-4</v>
      </c>
      <c r="L2586" s="8">
        <v>3.4438276000000001E-4</v>
      </c>
      <c r="M2586" s="8">
        <v>3.4041468999999999E-4</v>
      </c>
      <c r="N2586" s="8">
        <v>3.3550902999999999E-4</v>
      </c>
      <c r="O2586">
        <v>0</v>
      </c>
      <c r="P2586">
        <v>0</v>
      </c>
      <c r="Q2586">
        <v>0</v>
      </c>
      <c r="R2586" t="s">
        <v>243</v>
      </c>
    </row>
    <row r="2587" spans="1:18" x14ac:dyDescent="0.3">
      <c r="A2587" t="s">
        <v>259</v>
      </c>
      <c r="B2587" t="s">
        <v>429</v>
      </c>
      <c r="C2587" t="s">
        <v>318</v>
      </c>
      <c r="D2587" s="8">
        <v>2.1982449999999901E-4</v>
      </c>
      <c r="E2587" s="8">
        <v>3.4796060000000001E-4</v>
      </c>
      <c r="F2587" s="8">
        <v>3.6835200000000001E-4</v>
      </c>
      <c r="G2587" s="8">
        <v>3.5713879999999898E-4</v>
      </c>
      <c r="H2587" s="8">
        <v>3.5608539999999999E-4</v>
      </c>
      <c r="I2587" s="8">
        <v>3.6326529999999998E-4</v>
      </c>
      <c r="J2587" s="8">
        <v>3.6973000000000003E-4</v>
      </c>
      <c r="K2587" s="8">
        <v>3.7119729999999899E-4</v>
      </c>
      <c r="L2587" s="8">
        <v>3.6863635E-4</v>
      </c>
      <c r="M2587" s="8">
        <v>3.6403743000000001E-4</v>
      </c>
      <c r="N2587" s="8">
        <v>3.5847336999999998E-4</v>
      </c>
      <c r="O2587">
        <v>0</v>
      </c>
      <c r="P2587">
        <v>0</v>
      </c>
      <c r="Q2587">
        <v>0</v>
      </c>
      <c r="R2587" t="s">
        <v>243</v>
      </c>
    </row>
    <row r="2588" spans="1:18" x14ac:dyDescent="0.3">
      <c r="A2588" t="s">
        <v>259</v>
      </c>
      <c r="B2588" t="s">
        <v>429</v>
      </c>
      <c r="C2588" t="s">
        <v>319</v>
      </c>
      <c r="D2588" s="8">
        <v>2.36242399999999E-4</v>
      </c>
      <c r="E2588" s="8">
        <v>3.8188859999999997E-4</v>
      </c>
      <c r="F2588" s="8">
        <v>3.960918E-4</v>
      </c>
      <c r="G2588" s="8">
        <v>3.8801809999999999E-4</v>
      </c>
      <c r="H2588" s="8">
        <v>3.8155699999999998E-4</v>
      </c>
      <c r="I2588" s="8">
        <v>3.8726389999999998E-4</v>
      </c>
      <c r="J2588" s="8">
        <v>3.92842499999999E-4</v>
      </c>
      <c r="K2588" s="8">
        <v>3.9345279999999997E-4</v>
      </c>
      <c r="L2588" s="8">
        <v>3.9024422999999999E-4</v>
      </c>
      <c r="M2588" s="8">
        <v>3.8507133E-4</v>
      </c>
      <c r="N2588" s="8">
        <v>3.7899342E-4</v>
      </c>
      <c r="O2588">
        <v>0</v>
      </c>
      <c r="P2588">
        <v>0</v>
      </c>
      <c r="Q2588">
        <v>0</v>
      </c>
      <c r="R2588" t="s">
        <v>243</v>
      </c>
    </row>
    <row r="2589" spans="1:18" x14ac:dyDescent="0.3">
      <c r="A2589" t="s">
        <v>259</v>
      </c>
      <c r="B2589" t="s">
        <v>429</v>
      </c>
      <c r="C2589" t="s">
        <v>320</v>
      </c>
      <c r="D2589" s="8">
        <v>2.5148359999999998E-4</v>
      </c>
      <c r="E2589" s="8">
        <v>4.1159840000000003E-4</v>
      </c>
      <c r="F2589" s="8">
        <v>4.203888E-4</v>
      </c>
      <c r="G2589" s="8">
        <v>4.163042E-4</v>
      </c>
      <c r="H2589" s="8">
        <v>4.0578640000000002E-4</v>
      </c>
      <c r="I2589" s="8">
        <v>4.1056250000000001E-4</v>
      </c>
      <c r="J2589" s="8">
        <v>4.153518E-4</v>
      </c>
      <c r="K2589" s="8">
        <v>4.152863E-4</v>
      </c>
      <c r="L2589" s="8">
        <v>4.1130844000000002E-4</v>
      </c>
      <c r="M2589" s="8">
        <v>4.0542490000000002E-4</v>
      </c>
      <c r="N2589" s="8">
        <v>3.9882352000000001E-4</v>
      </c>
      <c r="O2589">
        <v>0</v>
      </c>
      <c r="P2589">
        <v>0</v>
      </c>
      <c r="Q2589">
        <v>0</v>
      </c>
      <c r="R2589" t="s">
        <v>243</v>
      </c>
    </row>
    <row r="2590" spans="1:18" x14ac:dyDescent="0.3">
      <c r="A2590" t="s">
        <v>259</v>
      </c>
      <c r="B2590" t="s">
        <v>429</v>
      </c>
      <c r="C2590" t="s">
        <v>321</v>
      </c>
      <c r="D2590" s="8">
        <v>2.686446E-4</v>
      </c>
      <c r="E2590" s="8">
        <v>4.3816040000000002E-4</v>
      </c>
      <c r="F2590" s="8">
        <v>4.4437790000000001E-4</v>
      </c>
      <c r="G2590" s="8">
        <v>4.4434710000000003E-4</v>
      </c>
      <c r="H2590" s="8">
        <v>4.3135020000000001E-4</v>
      </c>
      <c r="I2590" s="8">
        <v>4.3529669999999899E-4</v>
      </c>
      <c r="J2590" s="8">
        <v>4.3904980000000001E-4</v>
      </c>
      <c r="K2590" s="8">
        <v>4.381737E-4</v>
      </c>
      <c r="L2590" s="8">
        <v>4.3355519999999998E-4</v>
      </c>
      <c r="M2590" s="8">
        <v>4.2706573999999999E-4</v>
      </c>
      <c r="N2590" s="8">
        <v>4.1977707000000002E-4</v>
      </c>
      <c r="O2590">
        <v>0</v>
      </c>
      <c r="P2590">
        <v>0</v>
      </c>
      <c r="Q2590">
        <v>0</v>
      </c>
      <c r="R2590" t="s">
        <v>243</v>
      </c>
    </row>
    <row r="2591" spans="1:18" x14ac:dyDescent="0.3">
      <c r="A2591" t="s">
        <v>259</v>
      </c>
      <c r="B2591" t="s">
        <v>429</v>
      </c>
      <c r="C2591" t="s">
        <v>322</v>
      </c>
      <c r="D2591" s="8">
        <v>2.8615179999999898E-4</v>
      </c>
      <c r="E2591" s="8">
        <v>4.6687169999999899E-4</v>
      </c>
      <c r="F2591" s="8">
        <v>4.7334739999999899E-4</v>
      </c>
      <c r="G2591" s="8">
        <v>4.7790939999999899E-4</v>
      </c>
      <c r="H2591" s="8">
        <v>4.6100850000000001E-4</v>
      </c>
      <c r="I2591" s="8">
        <v>4.6352490000000002E-4</v>
      </c>
      <c r="J2591" s="8">
        <v>4.6667760000000002E-4</v>
      </c>
      <c r="K2591" s="8">
        <v>4.65005E-4</v>
      </c>
      <c r="L2591" s="8">
        <v>4.5952889999999999E-4</v>
      </c>
      <c r="M2591" s="8">
        <v>4.5211650999999999E-4</v>
      </c>
      <c r="N2591" s="8">
        <v>4.4400119999999998E-4</v>
      </c>
      <c r="O2591">
        <v>0</v>
      </c>
      <c r="P2591">
        <v>0</v>
      </c>
      <c r="Q2591">
        <v>0</v>
      </c>
      <c r="R2591" t="s">
        <v>243</v>
      </c>
    </row>
    <row r="2592" spans="1:18" x14ac:dyDescent="0.3">
      <c r="A2592" t="s">
        <v>259</v>
      </c>
      <c r="B2592" t="s">
        <v>429</v>
      </c>
      <c r="C2592" t="s">
        <v>323</v>
      </c>
      <c r="D2592" s="8">
        <v>3.1132449999999998E-4</v>
      </c>
      <c r="E2592" s="8">
        <v>5.0082640000000003E-4</v>
      </c>
      <c r="F2592" s="8">
        <v>5.0716119999999996E-4</v>
      </c>
      <c r="G2592" s="8">
        <v>5.184775E-4</v>
      </c>
      <c r="H2592" s="8">
        <v>4.9984339999999995E-4</v>
      </c>
      <c r="I2592" s="8">
        <v>5.0101200000000001E-4</v>
      </c>
      <c r="J2592" s="8">
        <v>5.0258759999999997E-4</v>
      </c>
      <c r="K2592" s="8">
        <v>4.9933200000000001E-4</v>
      </c>
      <c r="L2592" s="8">
        <v>4.925121E-4</v>
      </c>
      <c r="M2592" s="8">
        <v>4.8398818999999997E-4</v>
      </c>
      <c r="N2592" s="8">
        <v>4.7488556000000002E-4</v>
      </c>
      <c r="O2592">
        <v>0</v>
      </c>
      <c r="P2592">
        <v>0</v>
      </c>
      <c r="Q2592">
        <v>0</v>
      </c>
      <c r="R2592" t="s">
        <v>243</v>
      </c>
    </row>
    <row r="2593" spans="1:18" x14ac:dyDescent="0.3">
      <c r="A2593" t="s">
        <v>259</v>
      </c>
      <c r="B2593" t="s">
        <v>60</v>
      </c>
      <c r="C2593" t="s">
        <v>261</v>
      </c>
      <c r="D2593" s="8">
        <v>4.6190599999999999E-4</v>
      </c>
      <c r="E2593">
        <v>1.0445044000000001E-3</v>
      </c>
      <c r="F2593">
        <v>1.3508107999999899E-3</v>
      </c>
      <c r="G2593">
        <v>1.1376315E-3</v>
      </c>
      <c r="H2593">
        <v>1.1458545100000001E-3</v>
      </c>
      <c r="I2593">
        <v>1.1940335100000001E-3</v>
      </c>
      <c r="J2593">
        <v>1.1754594100000001E-3</v>
      </c>
      <c r="K2593">
        <v>1.1803585400000001E-3</v>
      </c>
      <c r="L2593">
        <v>1.16838817999999E-3</v>
      </c>
      <c r="M2593">
        <v>1.1359871799999999E-3</v>
      </c>
      <c r="N2593">
        <v>1.1015322199999899E-3</v>
      </c>
      <c r="O2593">
        <v>0</v>
      </c>
      <c r="P2593">
        <v>0</v>
      </c>
      <c r="Q2593">
        <v>0</v>
      </c>
      <c r="R2593" t="s">
        <v>243</v>
      </c>
    </row>
    <row r="2594" spans="1:18" x14ac:dyDescent="0.3">
      <c r="A2594" t="s">
        <v>259</v>
      </c>
      <c r="B2594" t="s">
        <v>60</v>
      </c>
      <c r="C2594" t="s">
        <v>262</v>
      </c>
      <c r="D2594">
        <v>0.11429755602</v>
      </c>
      <c r="E2594">
        <v>3.7645720119999997E-2</v>
      </c>
      <c r="F2594">
        <v>4.6069444139999902E-2</v>
      </c>
      <c r="G2594">
        <v>2.3105147399999901E-2</v>
      </c>
      <c r="H2594">
        <v>2.1564257359999998E-2</v>
      </c>
      <c r="I2594">
        <v>2.15811188849999E-2</v>
      </c>
      <c r="J2594">
        <v>2.1082566539000001E-2</v>
      </c>
      <c r="K2594">
        <v>1.9260846726000001E-2</v>
      </c>
      <c r="L2594">
        <v>1.6754028593999899E-2</v>
      </c>
      <c r="M2594">
        <v>1.59901058589999E-2</v>
      </c>
      <c r="N2594">
        <v>1.52055413609999E-2</v>
      </c>
      <c r="O2594">
        <v>0</v>
      </c>
      <c r="P2594">
        <v>0</v>
      </c>
      <c r="Q2594">
        <v>0</v>
      </c>
      <c r="R2594" t="s">
        <v>243</v>
      </c>
    </row>
    <row r="2595" spans="1:18" x14ac:dyDescent="0.3">
      <c r="A2595" t="s">
        <v>259</v>
      </c>
      <c r="B2595" t="s">
        <v>60</v>
      </c>
      <c r="C2595" t="s">
        <v>263</v>
      </c>
      <c r="D2595">
        <v>3.5795818E-2</v>
      </c>
      <c r="E2595">
        <v>3.2848311060000003E-2</v>
      </c>
      <c r="F2595">
        <v>3.8842980999999999E-2</v>
      </c>
      <c r="G2595">
        <v>2.9186478999999901E-2</v>
      </c>
      <c r="H2595">
        <v>2.8267219499999999E-2</v>
      </c>
      <c r="I2595">
        <v>3.0635307389999901E-2</v>
      </c>
      <c r="J2595">
        <v>3.2545772000000001E-2</v>
      </c>
      <c r="K2595">
        <v>3.3513048699999999E-2</v>
      </c>
      <c r="L2595">
        <v>3.4176915699999998E-2</v>
      </c>
      <c r="M2595">
        <v>3.4656715599999902E-2</v>
      </c>
      <c r="N2595">
        <v>3.4907092799999997E-2</v>
      </c>
      <c r="O2595">
        <v>0</v>
      </c>
      <c r="P2595">
        <v>0</v>
      </c>
      <c r="Q2595">
        <v>0</v>
      </c>
      <c r="R2595" t="s">
        <v>243</v>
      </c>
    </row>
    <row r="2596" spans="1:18" x14ac:dyDescent="0.3">
      <c r="A2596" t="s">
        <v>259</v>
      </c>
      <c r="B2596" t="s">
        <v>60</v>
      </c>
      <c r="C2596" t="s">
        <v>324</v>
      </c>
      <c r="D2596" s="8">
        <v>1.2259799999999999E-4</v>
      </c>
      <c r="E2596" s="8">
        <v>1.5858500000000001E-5</v>
      </c>
      <c r="F2596" s="8">
        <v>1.62014E-5</v>
      </c>
      <c r="G2596" s="8">
        <v>5.4265800000000001E-6</v>
      </c>
      <c r="H2596" s="8">
        <v>5.6781900000000003E-6</v>
      </c>
      <c r="I2596" s="8">
        <v>5.8596200000000003E-6</v>
      </c>
      <c r="J2596" s="8">
        <v>5.8341769999999902E-6</v>
      </c>
      <c r="K2596" s="8">
        <v>5.8439619999999997E-6</v>
      </c>
      <c r="L2596" s="8">
        <v>5.8339600000000001E-6</v>
      </c>
      <c r="M2596" s="8">
        <v>5.7898519999999998E-6</v>
      </c>
      <c r="N2596" s="8">
        <v>5.7368779999999999E-6</v>
      </c>
      <c r="O2596">
        <v>0</v>
      </c>
      <c r="P2596">
        <v>0</v>
      </c>
      <c r="Q2596">
        <v>0</v>
      </c>
      <c r="R2596" t="s">
        <v>243</v>
      </c>
    </row>
    <row r="2597" spans="1:18" x14ac:dyDescent="0.3">
      <c r="A2597" t="s">
        <v>259</v>
      </c>
      <c r="B2597" t="s">
        <v>60</v>
      </c>
      <c r="C2597" t="s">
        <v>325</v>
      </c>
      <c r="D2597" s="8">
        <v>8.5841899999999992E-6</v>
      </c>
      <c r="E2597" s="8">
        <v>7.01244E-7</v>
      </c>
      <c r="F2597" s="8">
        <v>8.4696499999999999E-7</v>
      </c>
      <c r="G2597" s="8">
        <v>3.0236099999999999E-7</v>
      </c>
      <c r="H2597" s="8">
        <v>3.0897499999999902E-7</v>
      </c>
      <c r="I2597" s="8">
        <v>3.16922699999999E-7</v>
      </c>
      <c r="J2597" s="8">
        <v>3.1334360000000001E-7</v>
      </c>
      <c r="K2597" s="8">
        <v>3.1174659999999902E-7</v>
      </c>
      <c r="L2597" s="8">
        <v>3.0949359999999998E-7</v>
      </c>
      <c r="M2597" s="8">
        <v>3.0592830000000001E-7</v>
      </c>
      <c r="N2597">
        <v>0</v>
      </c>
      <c r="O2597">
        <v>0</v>
      </c>
      <c r="P2597">
        <v>0</v>
      </c>
      <c r="Q2597">
        <v>0</v>
      </c>
      <c r="R2597" t="s">
        <v>243</v>
      </c>
    </row>
    <row r="2598" spans="1:18" x14ac:dyDescent="0.3">
      <c r="A2598" t="s">
        <v>259</v>
      </c>
      <c r="B2598" t="s">
        <v>60</v>
      </c>
      <c r="C2598" t="s">
        <v>326</v>
      </c>
      <c r="D2598" s="8">
        <v>7.1834299999999998E-5</v>
      </c>
      <c r="E2598" s="8">
        <v>8.6234100000000002E-6</v>
      </c>
      <c r="F2598" s="8">
        <v>8.6367300000000002E-6</v>
      </c>
      <c r="G2598" s="8">
        <v>2.9053899999999999E-6</v>
      </c>
      <c r="H2598" s="8">
        <v>2.9812700000000002E-6</v>
      </c>
      <c r="I2598" s="8">
        <v>3.0643119999999999E-6</v>
      </c>
      <c r="J2598" s="8">
        <v>3.0467200000000001E-6</v>
      </c>
      <c r="K2598" s="8">
        <v>3.04872999999999E-6</v>
      </c>
      <c r="L2598" s="8">
        <v>3.041576E-6</v>
      </c>
      <c r="M2598" s="8">
        <v>3.018801E-6</v>
      </c>
      <c r="N2598" s="8">
        <v>2.99293899999999E-6</v>
      </c>
      <c r="O2598">
        <v>0</v>
      </c>
      <c r="P2598">
        <v>0</v>
      </c>
      <c r="Q2598">
        <v>0</v>
      </c>
      <c r="R2598" t="s">
        <v>243</v>
      </c>
    </row>
    <row r="2599" spans="1:18" x14ac:dyDescent="0.3">
      <c r="A2599" t="s">
        <v>259</v>
      </c>
      <c r="B2599" t="s">
        <v>60</v>
      </c>
      <c r="C2599" t="s">
        <v>327</v>
      </c>
      <c r="D2599" s="8">
        <v>5.16524E-5</v>
      </c>
      <c r="E2599" s="8">
        <v>6.0529699999999999E-6</v>
      </c>
      <c r="F2599" s="8">
        <v>6.22578E-6</v>
      </c>
      <c r="G2599" s="8">
        <v>2.0824300000000002E-6</v>
      </c>
      <c r="H2599" s="8">
        <v>2.1200789999999999E-6</v>
      </c>
      <c r="I2599" s="8">
        <v>2.1795649999999999E-6</v>
      </c>
      <c r="J2599" s="8">
        <v>2.1622429999999999E-6</v>
      </c>
      <c r="K2599" s="8">
        <v>2.16044999999999E-6</v>
      </c>
      <c r="L2599" s="8">
        <v>2.1526969999999999E-6</v>
      </c>
      <c r="M2599" s="8">
        <v>2.1335870000000001E-6</v>
      </c>
      <c r="N2599" s="8">
        <v>2.11259E-6</v>
      </c>
      <c r="O2599">
        <v>0</v>
      </c>
      <c r="P2599">
        <v>0</v>
      </c>
      <c r="Q2599">
        <v>0</v>
      </c>
      <c r="R2599" t="s">
        <v>243</v>
      </c>
    </row>
    <row r="2600" spans="1:18" x14ac:dyDescent="0.3">
      <c r="A2600" t="s">
        <v>259</v>
      </c>
      <c r="B2600" t="s">
        <v>60</v>
      </c>
      <c r="C2600" t="s">
        <v>328</v>
      </c>
      <c r="D2600" s="8">
        <v>4.2206799999999997E-5</v>
      </c>
      <c r="E2600" s="8">
        <v>4.6623199999999999E-6</v>
      </c>
      <c r="F2600" s="8">
        <v>4.8543899999999998E-6</v>
      </c>
      <c r="G2600" s="8">
        <v>1.63684E-6</v>
      </c>
      <c r="H2600" s="8">
        <v>1.6585850000000001E-6</v>
      </c>
      <c r="I2600" s="8">
        <v>1.701356E-6</v>
      </c>
      <c r="J2600" s="8">
        <v>1.6870609999999899E-6</v>
      </c>
      <c r="K2600" s="8">
        <v>1.68484E-6</v>
      </c>
      <c r="L2600" s="8">
        <v>1.678127E-6</v>
      </c>
      <c r="M2600" s="8">
        <v>1.663942E-6</v>
      </c>
      <c r="N2600" s="8">
        <v>1.6485509999999999E-6</v>
      </c>
      <c r="O2600">
        <v>0</v>
      </c>
      <c r="P2600">
        <v>0</v>
      </c>
      <c r="Q2600">
        <v>0</v>
      </c>
      <c r="R2600" t="s">
        <v>243</v>
      </c>
    </row>
    <row r="2601" spans="1:18" x14ac:dyDescent="0.3">
      <c r="A2601" t="s">
        <v>259</v>
      </c>
      <c r="B2601" t="s">
        <v>60</v>
      </c>
      <c r="C2601" t="s">
        <v>329</v>
      </c>
      <c r="D2601" s="8">
        <v>3.5149099999999999E-5</v>
      </c>
      <c r="E2601" s="8">
        <v>3.6815299999999998E-6</v>
      </c>
      <c r="F2601" s="8">
        <v>3.9447700000000003E-6</v>
      </c>
      <c r="G2601" s="8">
        <v>1.32766E-6</v>
      </c>
      <c r="H2601" s="8">
        <v>1.339045E-6</v>
      </c>
      <c r="I2601" s="8">
        <v>1.3741910000000001E-6</v>
      </c>
      <c r="J2601" s="8">
        <v>1.362312E-6</v>
      </c>
      <c r="K2601" s="8">
        <v>1.3599529999999899E-6</v>
      </c>
      <c r="L2601" s="8">
        <v>1.35389E-6</v>
      </c>
      <c r="M2601" s="8">
        <v>1.3410880000000001E-6</v>
      </c>
      <c r="N2601" s="8">
        <v>1.3280729999999999E-6</v>
      </c>
      <c r="O2601">
        <v>0</v>
      </c>
      <c r="P2601">
        <v>0</v>
      </c>
      <c r="Q2601">
        <v>0</v>
      </c>
      <c r="R2601" t="s">
        <v>243</v>
      </c>
    </row>
    <row r="2602" spans="1:18" x14ac:dyDescent="0.3">
      <c r="A2602" t="s">
        <v>259</v>
      </c>
      <c r="B2602" t="s">
        <v>60</v>
      </c>
      <c r="C2602" t="s">
        <v>330</v>
      </c>
      <c r="D2602" s="8">
        <v>2.9117099999999999E-5</v>
      </c>
      <c r="E2602" s="8">
        <v>2.9660699999999999E-6</v>
      </c>
      <c r="F2602" s="8">
        <v>3.2764800000000002E-6</v>
      </c>
      <c r="G2602" s="8">
        <v>1.10259E-6</v>
      </c>
      <c r="H2602" s="8">
        <v>1.111603E-6</v>
      </c>
      <c r="I2602" s="8">
        <v>1.140825E-6</v>
      </c>
      <c r="J2602" s="8">
        <v>1.1303480000000001E-6</v>
      </c>
      <c r="K2602" s="8">
        <v>1.127055E-6</v>
      </c>
      <c r="L2602" s="8">
        <v>1.1208759999999999E-6</v>
      </c>
      <c r="M2602" s="8">
        <v>1.110024E-6</v>
      </c>
      <c r="N2602" s="8">
        <v>1.098838E-6</v>
      </c>
      <c r="O2602">
        <v>0</v>
      </c>
      <c r="P2602">
        <v>0</v>
      </c>
      <c r="Q2602">
        <v>0</v>
      </c>
      <c r="R2602" t="s">
        <v>243</v>
      </c>
    </row>
    <row r="2603" spans="1:18" x14ac:dyDescent="0.3">
      <c r="A2603" t="s">
        <v>259</v>
      </c>
      <c r="B2603" t="s">
        <v>60</v>
      </c>
      <c r="C2603" t="s">
        <v>331</v>
      </c>
      <c r="D2603" s="8">
        <v>2.39022E-5</v>
      </c>
      <c r="E2603" s="8">
        <v>2.4093399999999998E-6</v>
      </c>
      <c r="F2603" s="8">
        <v>2.7218899999999999E-6</v>
      </c>
      <c r="G2603" s="8">
        <v>9.3208999999999998E-7</v>
      </c>
      <c r="H2603" s="8">
        <v>9.4374100000000003E-7</v>
      </c>
      <c r="I2603" s="8">
        <v>9.6710599999999998E-7</v>
      </c>
      <c r="J2603" s="8">
        <v>9.5739099999999905E-7</v>
      </c>
      <c r="K2603" s="8">
        <v>9.550510000000001E-7</v>
      </c>
      <c r="L2603" s="8">
        <v>9.5028800000000002E-7</v>
      </c>
      <c r="M2603" s="8">
        <v>9.4106699999999896E-7</v>
      </c>
      <c r="N2603" s="8">
        <v>9.3146200000000001E-7</v>
      </c>
      <c r="O2603">
        <v>0</v>
      </c>
      <c r="P2603">
        <v>0</v>
      </c>
      <c r="Q2603">
        <v>0</v>
      </c>
      <c r="R2603" t="s">
        <v>243</v>
      </c>
    </row>
    <row r="2604" spans="1:18" x14ac:dyDescent="0.3">
      <c r="A2604" t="s">
        <v>259</v>
      </c>
      <c r="B2604" t="s">
        <v>60</v>
      </c>
      <c r="C2604" t="s">
        <v>332</v>
      </c>
      <c r="D2604" s="8">
        <v>1.9489900000000001E-5</v>
      </c>
      <c r="E2604" s="8">
        <v>1.9165799999999999E-6</v>
      </c>
      <c r="F2604" s="8">
        <v>2.2183500000000001E-6</v>
      </c>
      <c r="G2604" s="8">
        <v>7.5476599999999997E-7</v>
      </c>
      <c r="H2604" s="8">
        <v>7.6314299999999997E-7</v>
      </c>
      <c r="I2604" s="8">
        <v>7.82871E-7</v>
      </c>
      <c r="J2604" s="8">
        <v>7.7497549999999995E-7</v>
      </c>
      <c r="K2604" s="8">
        <v>7.7239869999999995E-7</v>
      </c>
      <c r="L2604" s="8">
        <v>7.6805100000000003E-7</v>
      </c>
      <c r="M2604" s="8">
        <v>7.6015099999999996E-7</v>
      </c>
      <c r="N2604" s="8">
        <v>7.52082E-7</v>
      </c>
      <c r="O2604">
        <v>0</v>
      </c>
      <c r="P2604">
        <v>0</v>
      </c>
      <c r="Q2604">
        <v>0</v>
      </c>
      <c r="R2604" t="s">
        <v>243</v>
      </c>
    </row>
    <row r="2605" spans="1:18" x14ac:dyDescent="0.3">
      <c r="A2605" t="s">
        <v>259</v>
      </c>
      <c r="B2605" t="s">
        <v>60</v>
      </c>
      <c r="C2605" t="s">
        <v>333</v>
      </c>
      <c r="D2605" s="8">
        <v>1.41229E-5</v>
      </c>
      <c r="E2605" s="8">
        <v>1.4546100000000001E-6</v>
      </c>
      <c r="F2605" s="8">
        <v>1.6568E-6</v>
      </c>
      <c r="G2605" s="8">
        <v>5.7971500000000003E-7</v>
      </c>
      <c r="H2605" s="8">
        <v>5.8866199999999998E-7</v>
      </c>
      <c r="I2605" s="8">
        <v>6.0315800000000001E-7</v>
      </c>
      <c r="J2605" s="8">
        <v>5.9660190000000005E-7</v>
      </c>
      <c r="K2605" s="8">
        <v>5.9447049999999896E-7</v>
      </c>
      <c r="L2605" s="8">
        <v>5.9073099999999897E-7</v>
      </c>
      <c r="M2605" s="8">
        <v>5.8420749999999899E-7</v>
      </c>
      <c r="N2605" s="8">
        <v>5.7755129999999898E-7</v>
      </c>
      <c r="O2605">
        <v>0</v>
      </c>
      <c r="P2605">
        <v>0</v>
      </c>
      <c r="Q2605">
        <v>0</v>
      </c>
      <c r="R2605" t="s">
        <v>243</v>
      </c>
    </row>
    <row r="2606" spans="1:18" x14ac:dyDescent="0.3">
      <c r="A2606" t="s">
        <v>259</v>
      </c>
      <c r="B2606" t="s">
        <v>60</v>
      </c>
      <c r="C2606" t="s">
        <v>264</v>
      </c>
      <c r="D2606" s="8">
        <v>1.11152E-4</v>
      </c>
      <c r="E2606" s="8">
        <v>1.2063888E-4</v>
      </c>
      <c r="F2606" s="8">
        <v>1.3404106E-4</v>
      </c>
      <c r="G2606" s="8">
        <v>1.0807292E-4</v>
      </c>
      <c r="H2606" s="8">
        <v>1.15091317999999E-4</v>
      </c>
      <c r="I2606" s="8">
        <v>1.3119749799999901E-4</v>
      </c>
      <c r="J2606" s="8">
        <v>1.48305718E-4</v>
      </c>
      <c r="K2606" s="8">
        <v>1.6245465599999901E-4</v>
      </c>
      <c r="L2606" s="8">
        <v>1.6999325900000001E-4</v>
      </c>
      <c r="M2606" s="8">
        <v>1.79239851E-4</v>
      </c>
      <c r="N2606" s="8">
        <v>1.8785329499999999E-4</v>
      </c>
      <c r="O2606">
        <v>0</v>
      </c>
      <c r="P2606">
        <v>0</v>
      </c>
      <c r="Q2606">
        <v>0</v>
      </c>
      <c r="R2606" t="s">
        <v>243</v>
      </c>
    </row>
    <row r="2607" spans="1:18" x14ac:dyDescent="0.3">
      <c r="A2607" t="s">
        <v>259</v>
      </c>
      <c r="B2607" t="s">
        <v>60</v>
      </c>
      <c r="C2607" t="s">
        <v>265</v>
      </c>
      <c r="D2607">
        <v>1.0794379999999901E-3</v>
      </c>
      <c r="E2607">
        <v>1.5794775999999999E-3</v>
      </c>
      <c r="F2607">
        <v>1.4392354E-3</v>
      </c>
      <c r="G2607">
        <v>1.1174306E-3</v>
      </c>
      <c r="H2607">
        <v>1.13863218E-3</v>
      </c>
      <c r="I2607">
        <v>1.25789928E-3</v>
      </c>
      <c r="J2607">
        <v>1.3480396999999999E-3</v>
      </c>
      <c r="K2607">
        <v>1.4090146899999999E-3</v>
      </c>
      <c r="L2607">
        <v>1.4268044099999999E-3</v>
      </c>
      <c r="M2607">
        <v>1.43432901E-3</v>
      </c>
      <c r="N2607">
        <v>1.43657095E-3</v>
      </c>
      <c r="O2607">
        <v>0</v>
      </c>
      <c r="P2607">
        <v>0</v>
      </c>
      <c r="Q2607">
        <v>0</v>
      </c>
      <c r="R2607" t="s">
        <v>243</v>
      </c>
    </row>
    <row r="2608" spans="1:18" x14ac:dyDescent="0.3">
      <c r="A2608" t="s">
        <v>259</v>
      </c>
      <c r="B2608" t="s">
        <v>60</v>
      </c>
      <c r="C2608" t="s">
        <v>266</v>
      </c>
      <c r="D2608" s="8">
        <v>1.890664E-4</v>
      </c>
      <c r="E2608" s="8">
        <v>2.2441158E-4</v>
      </c>
      <c r="F2608" s="8">
        <v>2.5246003999999998E-4</v>
      </c>
      <c r="G2608" s="8">
        <v>2.0289702000000001E-4</v>
      </c>
      <c r="H2608" s="8">
        <v>2.0478988200000001E-4</v>
      </c>
      <c r="I2608" s="8">
        <v>2.3173251599999901E-4</v>
      </c>
      <c r="J2608" s="8">
        <v>2.6241439599999997E-4</v>
      </c>
      <c r="K2608" s="8">
        <v>2.8782624199999999E-4</v>
      </c>
      <c r="L2608" s="8">
        <v>3.02128231999999E-4</v>
      </c>
      <c r="M2608" s="8">
        <v>3.19434259E-4</v>
      </c>
      <c r="N2608" s="8">
        <v>3.3599142599999998E-4</v>
      </c>
      <c r="O2608">
        <v>0</v>
      </c>
      <c r="P2608">
        <v>0</v>
      </c>
      <c r="Q2608">
        <v>0</v>
      </c>
      <c r="R2608" t="s">
        <v>243</v>
      </c>
    </row>
    <row r="2609" spans="1:18" x14ac:dyDescent="0.3">
      <c r="A2609" t="s">
        <v>259</v>
      </c>
      <c r="B2609" t="s">
        <v>60</v>
      </c>
      <c r="C2609" t="s">
        <v>267</v>
      </c>
      <c r="D2609" s="8">
        <v>2.5766679999999998E-4</v>
      </c>
      <c r="E2609" s="8">
        <v>3.1354939E-4</v>
      </c>
      <c r="F2609" s="8">
        <v>3.4150960999999999E-4</v>
      </c>
      <c r="G2609" s="8">
        <v>2.7587682999999998E-4</v>
      </c>
      <c r="H2609" s="8">
        <v>2.7193288999999998E-4</v>
      </c>
      <c r="I2609" s="8">
        <v>3.0869532099999899E-4</v>
      </c>
      <c r="J2609" s="8">
        <v>3.4714098299999901E-4</v>
      </c>
      <c r="K2609" s="8">
        <v>3.7908537000000002E-4</v>
      </c>
      <c r="L2609" s="8">
        <v>3.9669219499999898E-4</v>
      </c>
      <c r="M2609" s="8">
        <v>4.1707393999999999E-4</v>
      </c>
      <c r="N2609" s="8">
        <v>4.3619486799999999E-4</v>
      </c>
      <c r="O2609">
        <v>0</v>
      </c>
      <c r="P2609">
        <v>0</v>
      </c>
      <c r="Q2609">
        <v>0</v>
      </c>
      <c r="R2609" t="s">
        <v>243</v>
      </c>
    </row>
    <row r="2610" spans="1:18" x14ac:dyDescent="0.3">
      <c r="A2610" t="s">
        <v>259</v>
      </c>
      <c r="B2610" t="s">
        <v>60</v>
      </c>
      <c r="C2610" t="s">
        <v>268</v>
      </c>
      <c r="D2610" s="8">
        <v>3.0936869999999999E-4</v>
      </c>
      <c r="E2610" s="8">
        <v>3.9658413999999999E-4</v>
      </c>
      <c r="F2610" s="8">
        <v>4.2472039999999999E-4</v>
      </c>
      <c r="G2610" s="8">
        <v>3.4073965999999899E-4</v>
      </c>
      <c r="H2610" s="8">
        <v>3.3098041999999998E-4</v>
      </c>
      <c r="I2610" s="8">
        <v>3.7280335499999999E-4</v>
      </c>
      <c r="J2610" s="8">
        <v>4.1859003999999999E-4</v>
      </c>
      <c r="K2610" s="8">
        <v>4.5638219999999998E-4</v>
      </c>
      <c r="L2610" s="8">
        <v>4.7716562999999899E-4</v>
      </c>
      <c r="M2610" s="8">
        <v>5.0218045999999997E-4</v>
      </c>
      <c r="N2610" s="8">
        <v>5.2587186000000005E-4</v>
      </c>
      <c r="O2610">
        <v>0</v>
      </c>
      <c r="P2610">
        <v>0</v>
      </c>
      <c r="Q2610">
        <v>0</v>
      </c>
      <c r="R2610" t="s">
        <v>243</v>
      </c>
    </row>
    <row r="2611" spans="1:18" x14ac:dyDescent="0.3">
      <c r="A2611" t="s">
        <v>259</v>
      </c>
      <c r="B2611" t="s">
        <v>60</v>
      </c>
      <c r="C2611" t="s">
        <v>269</v>
      </c>
      <c r="D2611" s="8">
        <v>3.6348890000000001E-4</v>
      </c>
      <c r="E2611" s="8">
        <v>4.8650191999999998E-4</v>
      </c>
      <c r="F2611" s="8">
        <v>5.0538919999999895E-4</v>
      </c>
      <c r="G2611" s="8">
        <v>4.0619109999999898E-4</v>
      </c>
      <c r="H2611" s="8">
        <v>3.8850050000000002E-4</v>
      </c>
      <c r="I2611" s="8">
        <v>4.38504675E-4</v>
      </c>
      <c r="J2611" s="8">
        <v>4.9165191000000001E-4</v>
      </c>
      <c r="K2611" s="8">
        <v>5.3499169000000002E-4</v>
      </c>
      <c r="L2611" s="8">
        <v>5.5838904000000001E-4</v>
      </c>
      <c r="M2611" s="8">
        <v>5.8458861999999897E-4</v>
      </c>
      <c r="N2611" s="8">
        <v>6.1011819999999995E-4</v>
      </c>
      <c r="O2611">
        <v>0</v>
      </c>
      <c r="P2611">
        <v>0</v>
      </c>
      <c r="Q2611">
        <v>0</v>
      </c>
      <c r="R2611" t="s">
        <v>243</v>
      </c>
    </row>
    <row r="2612" spans="1:18" x14ac:dyDescent="0.3">
      <c r="A2612" t="s">
        <v>259</v>
      </c>
      <c r="B2612" t="s">
        <v>60</v>
      </c>
      <c r="C2612" t="s">
        <v>270</v>
      </c>
      <c r="D2612" s="8">
        <v>4.2717120000000002E-4</v>
      </c>
      <c r="E2612" s="8">
        <v>5.8212002000000002E-4</v>
      </c>
      <c r="F2612" s="8">
        <v>5.8694400000000005E-4</v>
      </c>
      <c r="G2612" s="8">
        <v>4.7145077999999899E-4</v>
      </c>
      <c r="H2612" s="8">
        <v>4.5118320999999999E-4</v>
      </c>
      <c r="I2612" s="8">
        <v>5.0936938800000004E-4</v>
      </c>
      <c r="J2612" s="8">
        <v>5.6931441000000001E-4</v>
      </c>
      <c r="K2612" s="8">
        <v>6.1612940999999997E-4</v>
      </c>
      <c r="L2612" s="8">
        <v>6.4026657000000001E-4</v>
      </c>
      <c r="M2612" s="8">
        <v>6.6860140999999999E-4</v>
      </c>
      <c r="N2612" s="8">
        <v>6.9545002000000005E-4</v>
      </c>
      <c r="O2612">
        <v>0</v>
      </c>
      <c r="P2612">
        <v>0</v>
      </c>
      <c r="Q2612">
        <v>0</v>
      </c>
      <c r="R2612" t="s">
        <v>243</v>
      </c>
    </row>
    <row r="2613" spans="1:18" x14ac:dyDescent="0.3">
      <c r="A2613" t="s">
        <v>259</v>
      </c>
      <c r="B2613" t="s">
        <v>60</v>
      </c>
      <c r="C2613" t="s">
        <v>271</v>
      </c>
      <c r="D2613" s="8">
        <v>5.0341749999999999E-4</v>
      </c>
      <c r="E2613" s="8">
        <v>6.8680420000000002E-4</v>
      </c>
      <c r="F2613" s="8">
        <v>6.7757430000000001E-4</v>
      </c>
      <c r="G2613" s="8">
        <v>5.3659596999999998E-4</v>
      </c>
      <c r="H2613" s="8">
        <v>5.2326975999999895E-4</v>
      </c>
      <c r="I2613" s="8">
        <v>5.8708991E-4</v>
      </c>
      <c r="J2613" s="8">
        <v>6.5294451999999904E-4</v>
      </c>
      <c r="K2613" s="8">
        <v>7.0714137999999902E-4</v>
      </c>
      <c r="L2613" s="8">
        <v>7.3572586000000004E-4</v>
      </c>
      <c r="M2613" s="8">
        <v>7.6646528999999995E-4</v>
      </c>
      <c r="N2613" s="8">
        <v>7.94731389999999E-4</v>
      </c>
      <c r="O2613">
        <v>0</v>
      </c>
      <c r="P2613">
        <v>0</v>
      </c>
      <c r="Q2613">
        <v>0</v>
      </c>
      <c r="R2613" t="s">
        <v>243</v>
      </c>
    </row>
    <row r="2614" spans="1:18" x14ac:dyDescent="0.3">
      <c r="A2614" t="s">
        <v>259</v>
      </c>
      <c r="B2614" t="s">
        <v>60</v>
      </c>
      <c r="C2614" t="s">
        <v>272</v>
      </c>
      <c r="D2614" s="8">
        <v>5.9333279999999996E-4</v>
      </c>
      <c r="E2614" s="8">
        <v>8.1792270000000003E-4</v>
      </c>
      <c r="F2614" s="8">
        <v>7.8830060000000001E-4</v>
      </c>
      <c r="G2614" s="8">
        <v>6.2823000999999998E-4</v>
      </c>
      <c r="H2614" s="8">
        <v>6.107854E-4</v>
      </c>
      <c r="I2614" s="8">
        <v>6.8733184000000001E-4</v>
      </c>
      <c r="J2614" s="8">
        <v>7.6203296000000001E-4</v>
      </c>
      <c r="K2614" s="8">
        <v>8.2044457999999999E-4</v>
      </c>
      <c r="L2614" s="8">
        <v>8.5011777000000002E-4</v>
      </c>
      <c r="M2614" s="8">
        <v>8.8067249999999896E-4</v>
      </c>
      <c r="N2614" s="8">
        <v>9.0845501999999999E-4</v>
      </c>
      <c r="O2614">
        <v>0</v>
      </c>
      <c r="P2614">
        <v>0</v>
      </c>
      <c r="Q2614">
        <v>0</v>
      </c>
      <c r="R2614" t="s">
        <v>243</v>
      </c>
    </row>
    <row r="2615" spans="1:18" x14ac:dyDescent="0.3">
      <c r="A2615" t="s">
        <v>259</v>
      </c>
      <c r="B2615" t="s">
        <v>60</v>
      </c>
      <c r="C2615" t="s">
        <v>273</v>
      </c>
      <c r="D2615" s="8">
        <v>7.5980060000000002E-4</v>
      </c>
      <c r="E2615" s="8">
        <v>9.9850699999999896E-4</v>
      </c>
      <c r="F2615" s="8">
        <v>9.6456459999999999E-4</v>
      </c>
      <c r="G2615" s="8">
        <v>7.5522735000000004E-4</v>
      </c>
      <c r="H2615" s="8">
        <v>7.4875482999999996E-4</v>
      </c>
      <c r="I2615" s="8">
        <v>8.3620030000000004E-4</v>
      </c>
      <c r="J2615" s="8">
        <v>9.1910573000000004E-4</v>
      </c>
      <c r="K2615" s="8">
        <v>9.8418353000000007E-4</v>
      </c>
      <c r="L2615">
        <v>1.0139006999999999E-3</v>
      </c>
      <c r="M2615">
        <v>1.04142021E-3</v>
      </c>
      <c r="N2615">
        <v>1.06493282E-3</v>
      </c>
      <c r="O2615">
        <v>0</v>
      </c>
      <c r="P2615">
        <v>0</v>
      </c>
      <c r="Q2615">
        <v>0</v>
      </c>
      <c r="R2615" t="s">
        <v>243</v>
      </c>
    </row>
    <row r="2616" spans="1:18" x14ac:dyDescent="0.3">
      <c r="A2616" t="s">
        <v>259</v>
      </c>
      <c r="B2616" t="s">
        <v>60</v>
      </c>
      <c r="C2616" t="s">
        <v>274</v>
      </c>
      <c r="D2616" s="8">
        <v>1.8861543699999999E-6</v>
      </c>
      <c r="E2616" s="8">
        <v>1.9694793799999899E-6</v>
      </c>
      <c r="F2616" s="8">
        <v>2.1013842299999899E-6</v>
      </c>
      <c r="G2616" s="8">
        <v>2.55414826E-6</v>
      </c>
      <c r="H2616" s="8">
        <v>4.2164622900000004E-6</v>
      </c>
      <c r="I2616" s="8">
        <v>4.4987842920000002E-6</v>
      </c>
      <c r="J2616" s="8">
        <v>4.6849074449999996E-6</v>
      </c>
      <c r="K2616" s="8">
        <v>5.0710637780000001E-6</v>
      </c>
      <c r="L2616" s="8">
        <v>5.3786590279999999E-6</v>
      </c>
      <c r="M2616" s="8">
        <v>5.56280711299999E-6</v>
      </c>
      <c r="N2616" s="8">
        <v>5.6596778049999899E-6</v>
      </c>
      <c r="O2616">
        <v>0</v>
      </c>
      <c r="P2616">
        <v>0</v>
      </c>
      <c r="Q2616">
        <v>0</v>
      </c>
      <c r="R2616" t="s">
        <v>243</v>
      </c>
    </row>
    <row r="2617" spans="1:18" x14ac:dyDescent="0.3">
      <c r="A2617" t="s">
        <v>259</v>
      </c>
      <c r="B2617" t="s">
        <v>60</v>
      </c>
      <c r="C2617" t="s">
        <v>275</v>
      </c>
      <c r="D2617" s="8">
        <v>1.8266278499999999E-5</v>
      </c>
      <c r="E2617" s="8">
        <v>2.4905530700000001E-5</v>
      </c>
      <c r="F2617" s="8">
        <v>2.1062595E-5</v>
      </c>
      <c r="G2617" s="8">
        <v>2.30800714E-5</v>
      </c>
      <c r="H2617" s="8">
        <v>2.842174226E-5</v>
      </c>
      <c r="I2617" s="8">
        <v>2.9031610070000001E-5</v>
      </c>
      <c r="J2617" s="8">
        <v>2.8118466789999999E-5</v>
      </c>
      <c r="K2617" s="8">
        <v>2.762806797E-5</v>
      </c>
      <c r="L2617" s="8">
        <v>2.67494720299999E-5</v>
      </c>
      <c r="M2617" s="8">
        <v>2.5440491669999999E-5</v>
      </c>
      <c r="N2617" s="8">
        <v>2.4085084679999999E-5</v>
      </c>
      <c r="O2617">
        <v>0</v>
      </c>
      <c r="P2617">
        <v>0</v>
      </c>
      <c r="Q2617">
        <v>0</v>
      </c>
      <c r="R2617" t="s">
        <v>243</v>
      </c>
    </row>
    <row r="2618" spans="1:18" x14ac:dyDescent="0.3">
      <c r="A2618" t="s">
        <v>259</v>
      </c>
      <c r="B2618" t="s">
        <v>60</v>
      </c>
      <c r="C2618" t="s">
        <v>276</v>
      </c>
      <c r="D2618" s="8">
        <v>3.2078932599999999E-6</v>
      </c>
      <c r="E2618" s="8">
        <v>3.65365201E-6</v>
      </c>
      <c r="F2618" s="8">
        <v>3.93143479999999E-6</v>
      </c>
      <c r="G2618" s="8">
        <v>4.7298411599999901E-6</v>
      </c>
      <c r="H2618" s="8">
        <v>7.0306074999999998E-6</v>
      </c>
      <c r="I2618" s="8">
        <v>7.4137480699999999E-6</v>
      </c>
      <c r="J2618" s="8">
        <v>7.6770764319999905E-6</v>
      </c>
      <c r="K2618" s="8">
        <v>8.2654717300000005E-6</v>
      </c>
      <c r="L2618" s="8">
        <v>8.7167128989999994E-6</v>
      </c>
      <c r="M2618" s="8">
        <v>8.970930861E-6</v>
      </c>
      <c r="N2618" s="8">
        <v>9.0948934579999904E-6</v>
      </c>
      <c r="O2618">
        <v>0</v>
      </c>
      <c r="P2618">
        <v>0</v>
      </c>
      <c r="Q2618">
        <v>0</v>
      </c>
      <c r="R2618" t="s">
        <v>243</v>
      </c>
    </row>
    <row r="2619" spans="1:18" x14ac:dyDescent="0.3">
      <c r="A2619" t="s">
        <v>259</v>
      </c>
      <c r="B2619" t="s">
        <v>60</v>
      </c>
      <c r="C2619" t="s">
        <v>277</v>
      </c>
      <c r="D2619" s="8">
        <v>4.3706077499999997E-6</v>
      </c>
      <c r="E2619" s="8">
        <v>5.0938294299999997E-6</v>
      </c>
      <c r="F2619" s="8">
        <v>5.29357898E-6</v>
      </c>
      <c r="G2619" s="8">
        <v>6.3681194599999999E-6</v>
      </c>
      <c r="H2619" s="8">
        <v>9.0180694599999999E-6</v>
      </c>
      <c r="I2619" s="8">
        <v>9.5152399300000006E-6</v>
      </c>
      <c r="J2619" s="8">
        <v>9.7626650540000002E-6</v>
      </c>
      <c r="K2619" s="8">
        <v>1.042316153E-5</v>
      </c>
      <c r="L2619" s="8">
        <v>1.090106101E-5</v>
      </c>
      <c r="M2619" s="8">
        <v>1.11157817779999E-5</v>
      </c>
      <c r="N2619" s="8">
        <v>1.1171141663999999E-5</v>
      </c>
      <c r="O2619">
        <v>0</v>
      </c>
      <c r="P2619">
        <v>0</v>
      </c>
      <c r="Q2619">
        <v>0</v>
      </c>
      <c r="R2619" t="s">
        <v>243</v>
      </c>
    </row>
    <row r="2620" spans="1:18" x14ac:dyDescent="0.3">
      <c r="A2620" t="s">
        <v>259</v>
      </c>
      <c r="B2620" t="s">
        <v>60</v>
      </c>
      <c r="C2620" t="s">
        <v>278</v>
      </c>
      <c r="D2620" s="8">
        <v>5.2471844499999996E-6</v>
      </c>
      <c r="E2620" s="8">
        <v>6.4302625800000003E-6</v>
      </c>
      <c r="F2620" s="8">
        <v>6.5549140700000001E-6</v>
      </c>
      <c r="G2620" s="8">
        <v>7.7981121699999905E-6</v>
      </c>
      <c r="H2620" s="8">
        <v>1.069329103E-5</v>
      </c>
      <c r="I2620" s="8">
        <v>1.119228184E-5</v>
      </c>
      <c r="J2620" s="8">
        <v>1.1440051519999999E-5</v>
      </c>
      <c r="K2620" s="8">
        <v>1.21500167549999E-5</v>
      </c>
      <c r="L2620" s="8">
        <v>1.263909253E-5</v>
      </c>
      <c r="M2620" s="8">
        <v>1.2847760314999999E-5</v>
      </c>
      <c r="N2620" s="8">
        <v>1.2879396491E-5</v>
      </c>
      <c r="O2620">
        <v>0</v>
      </c>
      <c r="P2620">
        <v>0</v>
      </c>
      <c r="Q2620">
        <v>0</v>
      </c>
      <c r="R2620" t="s">
        <v>243</v>
      </c>
    </row>
    <row r="2621" spans="1:18" x14ac:dyDescent="0.3">
      <c r="A2621" t="s">
        <v>259</v>
      </c>
      <c r="B2621" t="s">
        <v>60</v>
      </c>
      <c r="C2621" t="s">
        <v>279</v>
      </c>
      <c r="D2621" s="8">
        <v>6.1640028899999999E-6</v>
      </c>
      <c r="E2621" s="8">
        <v>7.8717713199999999E-6</v>
      </c>
      <c r="F2621" s="8">
        <v>7.7679568699999903E-6</v>
      </c>
      <c r="G2621" s="8">
        <v>9.2168643300000006E-6</v>
      </c>
      <c r="H2621" s="8">
        <v>1.2265738569999999E-5</v>
      </c>
      <c r="I2621" s="8">
        <v>1.2848331809999999E-5</v>
      </c>
      <c r="J2621" s="8">
        <v>1.3091615700000001E-5</v>
      </c>
      <c r="K2621" s="8">
        <v>1.3830253961999899E-5</v>
      </c>
      <c r="L2621" s="8">
        <v>1.43012859E-5</v>
      </c>
      <c r="M2621" s="8">
        <v>1.4424901894E-5</v>
      </c>
      <c r="N2621" s="8">
        <v>1.4377224276E-5</v>
      </c>
      <c r="O2621">
        <v>0</v>
      </c>
      <c r="P2621">
        <v>0</v>
      </c>
      <c r="Q2621">
        <v>0</v>
      </c>
      <c r="R2621" t="s">
        <v>243</v>
      </c>
    </row>
    <row r="2622" spans="1:18" x14ac:dyDescent="0.3">
      <c r="A2622" t="s">
        <v>259</v>
      </c>
      <c r="B2622" t="s">
        <v>60</v>
      </c>
      <c r="C2622" t="s">
        <v>280</v>
      </c>
      <c r="D2622" s="8">
        <v>7.2422988699999996E-6</v>
      </c>
      <c r="E2622" s="8">
        <v>9.3981153399999992E-6</v>
      </c>
      <c r="F2622" s="8">
        <v>8.9843433200000001E-6</v>
      </c>
      <c r="G2622" s="8">
        <v>1.060756011E-5</v>
      </c>
      <c r="H2622" s="8">
        <v>1.392103981E-5</v>
      </c>
      <c r="I2622" s="8">
        <v>1.4568938989999901E-5</v>
      </c>
      <c r="J2622" s="8">
        <v>1.4777887269999999E-5</v>
      </c>
      <c r="K2622" s="8">
        <v>1.5478318491999999E-5</v>
      </c>
      <c r="L2622" s="8">
        <v>1.5876219059999902E-5</v>
      </c>
      <c r="M2622" s="8">
        <v>1.5923488139999999E-5</v>
      </c>
      <c r="N2622" s="8">
        <v>1.5780115708E-5</v>
      </c>
      <c r="O2622">
        <v>0</v>
      </c>
      <c r="P2622">
        <v>0</v>
      </c>
      <c r="Q2622">
        <v>0</v>
      </c>
      <c r="R2622" t="s">
        <v>243</v>
      </c>
    </row>
    <row r="2623" spans="1:18" x14ac:dyDescent="0.3">
      <c r="A2623" t="s">
        <v>259</v>
      </c>
      <c r="B2623" t="s">
        <v>60</v>
      </c>
      <c r="C2623" t="s">
        <v>281</v>
      </c>
      <c r="D2623" s="8">
        <v>8.5331179999999904E-6</v>
      </c>
      <c r="E2623" s="8">
        <v>1.1061617200000001E-5</v>
      </c>
      <c r="F2623" s="8">
        <v>1.03242734E-5</v>
      </c>
      <c r="G2623" s="8">
        <v>1.19720414E-5</v>
      </c>
      <c r="H2623" s="8">
        <v>1.5755283049999899E-5</v>
      </c>
      <c r="I2623" s="8">
        <v>1.638536894E-5</v>
      </c>
      <c r="J2623" s="8">
        <v>1.6521517119999999E-5</v>
      </c>
      <c r="K2623" s="8">
        <v>1.7232124219999901E-5</v>
      </c>
      <c r="L2623" s="8">
        <v>1.76016265E-5</v>
      </c>
      <c r="M2623" s="8">
        <v>1.755145751E-5</v>
      </c>
      <c r="N2623" s="8">
        <v>1.7291547588E-5</v>
      </c>
      <c r="O2623">
        <v>0</v>
      </c>
      <c r="P2623">
        <v>0</v>
      </c>
      <c r="Q2623">
        <v>0</v>
      </c>
      <c r="R2623" t="s">
        <v>243</v>
      </c>
    </row>
    <row r="2624" spans="1:18" x14ac:dyDescent="0.3">
      <c r="A2624" t="s">
        <v>259</v>
      </c>
      <c r="B2624" t="s">
        <v>60</v>
      </c>
      <c r="C2624" t="s">
        <v>282</v>
      </c>
      <c r="D2624" s="8">
        <v>1.0054623699999999E-5</v>
      </c>
      <c r="E2624" s="8">
        <v>1.3134E-5</v>
      </c>
      <c r="F2624" s="8">
        <v>1.1944226700000001E-5</v>
      </c>
      <c r="G2624" s="8">
        <v>1.3851606199999999E-5</v>
      </c>
      <c r="H2624" s="8">
        <v>1.786725083E-5</v>
      </c>
      <c r="I2624" s="8">
        <v>1.8604942479999999E-5</v>
      </c>
      <c r="J2624" s="8">
        <v>1.866979664E-5</v>
      </c>
      <c r="K2624" s="8">
        <v>1.9274678719999899E-5</v>
      </c>
      <c r="L2624" s="8">
        <v>1.950268778E-5</v>
      </c>
      <c r="M2624" s="8">
        <v>1.9274636919999999E-5</v>
      </c>
      <c r="N2624" s="8">
        <v>1.8844082260000001E-5</v>
      </c>
      <c r="O2624">
        <v>0</v>
      </c>
      <c r="P2624">
        <v>0</v>
      </c>
      <c r="Q2624">
        <v>0</v>
      </c>
      <c r="R2624" t="s">
        <v>243</v>
      </c>
    </row>
    <row r="2625" spans="1:18" x14ac:dyDescent="0.3">
      <c r="A2625" t="s">
        <v>259</v>
      </c>
      <c r="B2625" t="s">
        <v>60</v>
      </c>
      <c r="C2625" t="s">
        <v>283</v>
      </c>
      <c r="D2625" s="8">
        <v>1.2869341600000001E-5</v>
      </c>
      <c r="E2625" s="8">
        <v>1.5966847100000001E-5</v>
      </c>
      <c r="F2625" s="8">
        <v>1.44828740999999E-5</v>
      </c>
      <c r="G2625" s="8">
        <v>1.6378478799999998E-5</v>
      </c>
      <c r="H2625" s="8">
        <v>2.0985280179999901E-5</v>
      </c>
      <c r="I2625" s="8">
        <v>2.1686710899999999E-5</v>
      </c>
      <c r="J2625" s="8">
        <v>2.1549406740000001E-5</v>
      </c>
      <c r="K2625" s="8">
        <v>2.197117243E-5</v>
      </c>
      <c r="L2625" s="8">
        <v>2.1946702359999899E-5</v>
      </c>
      <c r="M2625" s="8">
        <v>2.1425816019999899E-5</v>
      </c>
      <c r="N2625" s="8">
        <v>2.0718737710000001E-5</v>
      </c>
      <c r="O2625">
        <v>0</v>
      </c>
      <c r="P2625">
        <v>0</v>
      </c>
      <c r="Q2625">
        <v>0</v>
      </c>
      <c r="R2625" t="s">
        <v>243</v>
      </c>
    </row>
    <row r="2626" spans="1:18" x14ac:dyDescent="0.3">
      <c r="A2626" t="s">
        <v>259</v>
      </c>
      <c r="B2626" t="s">
        <v>60</v>
      </c>
      <c r="C2626" t="s">
        <v>334</v>
      </c>
      <c r="D2626">
        <v>3.25297E-3</v>
      </c>
      <c r="E2626" s="8">
        <v>4.2000099999999998E-4</v>
      </c>
      <c r="F2626" s="8">
        <v>4.2926100000000001E-4</v>
      </c>
      <c r="G2626" s="8">
        <v>1.4483899999999999E-4</v>
      </c>
      <c r="H2626" s="8">
        <v>1.5142969999999901E-4</v>
      </c>
      <c r="I2626" s="8">
        <v>1.5662569999999999E-4</v>
      </c>
      <c r="J2626" s="8">
        <v>1.557749E-4</v>
      </c>
      <c r="K2626" s="8">
        <v>1.5593550000000001E-4</v>
      </c>
      <c r="L2626" s="8">
        <v>1.558482E-4</v>
      </c>
      <c r="M2626" s="8">
        <v>1.545885E-4</v>
      </c>
      <c r="N2626" s="8">
        <v>1.5314220000000001E-4</v>
      </c>
      <c r="O2626">
        <v>0</v>
      </c>
      <c r="P2626">
        <v>0</v>
      </c>
      <c r="Q2626">
        <v>0</v>
      </c>
      <c r="R2626" t="s">
        <v>243</v>
      </c>
    </row>
    <row r="2627" spans="1:18" x14ac:dyDescent="0.3">
      <c r="A2627" t="s">
        <v>259</v>
      </c>
      <c r="B2627" t="s">
        <v>60</v>
      </c>
      <c r="C2627" t="s">
        <v>335</v>
      </c>
      <c r="D2627" s="8">
        <v>2.3097999999999999E-4</v>
      </c>
      <c r="E2627" s="8">
        <v>1.89098E-5</v>
      </c>
      <c r="F2627" s="8">
        <v>2.28162E-5</v>
      </c>
      <c r="G2627" s="8">
        <v>8.2110499999999999E-6</v>
      </c>
      <c r="H2627" s="8">
        <v>8.3835999999999903E-6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243</v>
      </c>
    </row>
    <row r="2628" spans="1:18" x14ac:dyDescent="0.3">
      <c r="A2628" t="s">
        <v>259</v>
      </c>
      <c r="B2628" t="s">
        <v>60</v>
      </c>
      <c r="C2628" t="s">
        <v>336</v>
      </c>
      <c r="D2628">
        <v>1.9115899999999999E-3</v>
      </c>
      <c r="E2628" s="8">
        <v>2.29137E-4</v>
      </c>
      <c r="F2628" s="8">
        <v>2.2962500000000001E-4</v>
      </c>
      <c r="G2628" s="8">
        <v>7.7816299999999996E-5</v>
      </c>
      <c r="H2628" s="8">
        <v>7.9781600000000002E-5</v>
      </c>
      <c r="I2628" s="8">
        <v>8.2196799999999999E-5</v>
      </c>
      <c r="J2628" s="8">
        <v>8.1629899999999996E-5</v>
      </c>
      <c r="K2628" s="8">
        <v>8.1631299999999999E-5</v>
      </c>
      <c r="L2628" s="8">
        <v>8.1537200000000003E-5</v>
      </c>
      <c r="M2628" s="8">
        <v>8.0881E-5</v>
      </c>
      <c r="N2628" s="8">
        <v>8.0171800000000004E-5</v>
      </c>
      <c r="O2628">
        <v>0</v>
      </c>
      <c r="P2628">
        <v>0</v>
      </c>
      <c r="Q2628">
        <v>0</v>
      </c>
      <c r="R2628" t="s">
        <v>243</v>
      </c>
    </row>
    <row r="2629" spans="1:18" x14ac:dyDescent="0.3">
      <c r="A2629" t="s">
        <v>259</v>
      </c>
      <c r="B2629" t="s">
        <v>60</v>
      </c>
      <c r="C2629" t="s">
        <v>337</v>
      </c>
      <c r="D2629">
        <v>1.3770099999999999E-3</v>
      </c>
      <c r="E2629" s="8">
        <v>1.6115699999999999E-4</v>
      </c>
      <c r="F2629" s="8">
        <v>1.65864E-4</v>
      </c>
      <c r="G2629" s="8">
        <v>5.5893899999999997E-5</v>
      </c>
      <c r="H2629" s="8">
        <v>5.6856499999999899E-5</v>
      </c>
      <c r="I2629" s="8">
        <v>5.8590700000000001E-5</v>
      </c>
      <c r="J2629" s="8">
        <v>5.80559099999999E-5</v>
      </c>
      <c r="K2629" s="8">
        <v>5.7970829999999999E-5</v>
      </c>
      <c r="L2629" s="8">
        <v>5.7832699999999999E-5</v>
      </c>
      <c r="M2629" s="8">
        <v>5.72861E-5</v>
      </c>
      <c r="N2629" s="8">
        <v>5.67111E-5</v>
      </c>
      <c r="O2629">
        <v>0</v>
      </c>
      <c r="P2629">
        <v>0</v>
      </c>
      <c r="Q2629">
        <v>0</v>
      </c>
      <c r="R2629" t="s">
        <v>243</v>
      </c>
    </row>
    <row r="2630" spans="1:18" x14ac:dyDescent="0.3">
      <c r="A2630" t="s">
        <v>259</v>
      </c>
      <c r="B2630" t="s">
        <v>60</v>
      </c>
      <c r="C2630" t="s">
        <v>338</v>
      </c>
      <c r="D2630">
        <v>1.12637E-3</v>
      </c>
      <c r="E2630" s="8">
        <v>1.24315E-4</v>
      </c>
      <c r="F2630" s="8">
        <v>1.2949399999999999E-4</v>
      </c>
      <c r="G2630" s="8">
        <v>4.39696E-5</v>
      </c>
      <c r="H2630" s="8">
        <v>4.4515999999999999E-5</v>
      </c>
      <c r="I2630" s="8">
        <v>4.5773299999999998E-5</v>
      </c>
      <c r="J2630" s="8">
        <v>4.5333819999999998E-5</v>
      </c>
      <c r="K2630" s="8">
        <v>4.5245199999999998E-5</v>
      </c>
      <c r="L2630" s="8">
        <v>4.51200999999999E-5</v>
      </c>
      <c r="M2630" s="8">
        <v>4.4712419999999997E-5</v>
      </c>
      <c r="N2630" s="8">
        <v>4.4289880000000003E-5</v>
      </c>
      <c r="O2630">
        <v>0</v>
      </c>
      <c r="P2630">
        <v>0</v>
      </c>
      <c r="Q2630">
        <v>0</v>
      </c>
      <c r="R2630" t="s">
        <v>243</v>
      </c>
    </row>
    <row r="2631" spans="1:18" x14ac:dyDescent="0.3">
      <c r="A2631" t="s">
        <v>259</v>
      </c>
      <c r="B2631" t="s">
        <v>60</v>
      </c>
      <c r="C2631" t="s">
        <v>339</v>
      </c>
      <c r="D2631" s="8">
        <v>9.3894400000000004E-4</v>
      </c>
      <c r="E2631" s="8">
        <v>9.8252100000000001E-5</v>
      </c>
      <c r="F2631" s="8">
        <v>1.05355E-4</v>
      </c>
      <c r="G2631" s="8">
        <v>3.56907E-5</v>
      </c>
      <c r="H2631" s="8">
        <v>3.5966100000000001E-5</v>
      </c>
      <c r="I2631" s="8">
        <v>3.6998949999999999E-5</v>
      </c>
      <c r="J2631" s="8">
        <v>3.6634180000000001E-5</v>
      </c>
      <c r="K2631" s="8">
        <v>3.654757E-5</v>
      </c>
      <c r="L2631" s="8">
        <v>3.6429539999999997E-5</v>
      </c>
      <c r="M2631" s="8">
        <v>3.606353E-5</v>
      </c>
      <c r="N2631" s="8">
        <v>3.570639E-5</v>
      </c>
      <c r="O2631">
        <v>0</v>
      </c>
      <c r="P2631">
        <v>0</v>
      </c>
      <c r="Q2631">
        <v>0</v>
      </c>
      <c r="R2631" t="s">
        <v>243</v>
      </c>
    </row>
    <row r="2632" spans="1:18" x14ac:dyDescent="0.3">
      <c r="A2632" t="s">
        <v>259</v>
      </c>
      <c r="B2632" t="s">
        <v>60</v>
      </c>
      <c r="C2632" t="s">
        <v>340</v>
      </c>
      <c r="D2632" s="8">
        <v>7.7856400000000004E-4</v>
      </c>
      <c r="E2632" s="8">
        <v>7.9248599999999999E-5</v>
      </c>
      <c r="F2632" s="8">
        <v>8.7582600000000004E-5</v>
      </c>
      <c r="G2632" s="8">
        <v>2.9683500000000001E-5</v>
      </c>
      <c r="H2632" s="8">
        <v>2.9900499999999901E-5</v>
      </c>
      <c r="I2632" s="8">
        <v>3.0760560000000002E-5</v>
      </c>
      <c r="J2632" s="8">
        <v>3.0440650000000001E-5</v>
      </c>
      <c r="K2632" s="8">
        <v>3.0332729999999899E-5</v>
      </c>
      <c r="L2632" s="8">
        <v>3.0203829999999999E-5</v>
      </c>
      <c r="M2632" s="8">
        <v>2.974829E-5</v>
      </c>
      <c r="N2632">
        <v>0</v>
      </c>
      <c r="O2632">
        <v>0</v>
      </c>
      <c r="P2632">
        <v>0</v>
      </c>
      <c r="Q2632">
        <v>0</v>
      </c>
      <c r="R2632" t="s">
        <v>243</v>
      </c>
    </row>
    <row r="2633" spans="1:18" x14ac:dyDescent="0.3">
      <c r="A2633" t="s">
        <v>259</v>
      </c>
      <c r="B2633" t="s">
        <v>60</v>
      </c>
      <c r="C2633" t="s">
        <v>341</v>
      </c>
      <c r="D2633" s="8">
        <v>6.3978099999999997E-4</v>
      </c>
      <c r="E2633" s="8">
        <v>6.44863E-5</v>
      </c>
      <c r="F2633" s="8">
        <v>7.2815499999999994E-5</v>
      </c>
      <c r="G2633" s="8">
        <v>2.5135199999999999E-5</v>
      </c>
      <c r="H2633" s="8">
        <v>2.5427800000000001E-5</v>
      </c>
      <c r="I2633" s="8">
        <v>2.611985E-5</v>
      </c>
      <c r="J2633" s="8">
        <v>2.5826129999999999E-5</v>
      </c>
      <c r="K2633" s="8">
        <v>2.5746359999999999E-5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">
        <v>243</v>
      </c>
    </row>
    <row r="2634" spans="1:18" x14ac:dyDescent="0.3">
      <c r="A2634" t="s">
        <v>259</v>
      </c>
      <c r="B2634" t="s">
        <v>60</v>
      </c>
      <c r="C2634" t="s">
        <v>342</v>
      </c>
      <c r="D2634" s="8">
        <v>5.2220700000000001E-4</v>
      </c>
      <c r="E2634" s="8">
        <v>5.1357799999999998E-5</v>
      </c>
      <c r="F2634" s="8">
        <v>5.9393900000000001E-5</v>
      </c>
      <c r="G2634" s="8">
        <v>2.0334199999999999E-5</v>
      </c>
      <c r="H2634" s="8">
        <v>2.054238E-5</v>
      </c>
      <c r="I2634" s="8">
        <v>2.1124120000000001E-5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243</v>
      </c>
    </row>
    <row r="2635" spans="1:18" x14ac:dyDescent="0.3">
      <c r="A2635" t="s">
        <v>259</v>
      </c>
      <c r="B2635" t="s">
        <v>60</v>
      </c>
      <c r="C2635" t="s">
        <v>343</v>
      </c>
      <c r="D2635" s="8">
        <v>3.79062E-4</v>
      </c>
      <c r="E2635" s="8">
        <v>3.9010600000000002E-5</v>
      </c>
      <c r="F2635" s="8">
        <v>4.4459200000000003E-5</v>
      </c>
      <c r="G2635" s="8">
        <v>1.56311E-5</v>
      </c>
      <c r="H2635" s="8">
        <v>1.585898E-5</v>
      </c>
      <c r="I2635" s="8">
        <v>1.6288340000000001E-5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243</v>
      </c>
    </row>
    <row r="2636" spans="1:18" x14ac:dyDescent="0.3">
      <c r="A2636" t="s">
        <v>259</v>
      </c>
      <c r="B2636" t="s">
        <v>60</v>
      </c>
      <c r="C2636" t="s">
        <v>284</v>
      </c>
      <c r="D2636">
        <v>1.4480987730299999E-3</v>
      </c>
      <c r="E2636">
        <v>1.7484708562999899E-3</v>
      </c>
      <c r="F2636">
        <v>1.74930317E-3</v>
      </c>
      <c r="G2636">
        <v>1.499820613E-3</v>
      </c>
      <c r="H2636">
        <v>1.428666999E-3</v>
      </c>
      <c r="I2636">
        <v>1.5497592379999901E-3</v>
      </c>
      <c r="J2636">
        <v>1.6615110137E-3</v>
      </c>
      <c r="K2636">
        <v>1.6038844751E-3</v>
      </c>
      <c r="L2636">
        <v>1.5986605407E-3</v>
      </c>
      <c r="M2636">
        <v>1.60826763379999E-3</v>
      </c>
      <c r="N2636">
        <v>1.604300783E-3</v>
      </c>
      <c r="O2636">
        <v>0</v>
      </c>
      <c r="P2636">
        <v>0</v>
      </c>
      <c r="Q2636">
        <v>0</v>
      </c>
      <c r="R2636" t="s">
        <v>243</v>
      </c>
    </row>
    <row r="2637" spans="1:18" x14ac:dyDescent="0.3">
      <c r="A2637" t="s">
        <v>259</v>
      </c>
      <c r="B2637" t="s">
        <v>60</v>
      </c>
      <c r="C2637" t="s">
        <v>285</v>
      </c>
      <c r="D2637">
        <v>1.0590267442299999E-2</v>
      </c>
      <c r="E2637">
        <v>1.5288379883999999E-2</v>
      </c>
      <c r="F2637">
        <v>1.2788978669999999E-2</v>
      </c>
      <c r="G2637">
        <v>1.0417482069999999E-2</v>
      </c>
      <c r="H2637">
        <v>9.5793367699999899E-3</v>
      </c>
      <c r="I2637">
        <v>9.5526275669999897E-3</v>
      </c>
      <c r="J2637">
        <v>9.2220656009999995E-3</v>
      </c>
      <c r="K2637">
        <v>8.0617688920000003E-3</v>
      </c>
      <c r="L2637">
        <v>7.5844872034E-3</v>
      </c>
      <c r="M2637">
        <v>7.1005327009999999E-3</v>
      </c>
      <c r="N2637">
        <v>6.6109995939999996E-3</v>
      </c>
      <c r="O2637">
        <v>0</v>
      </c>
      <c r="P2637">
        <v>0</v>
      </c>
      <c r="Q2637">
        <v>0</v>
      </c>
      <c r="R2637" t="s">
        <v>243</v>
      </c>
    </row>
    <row r="2638" spans="1:18" x14ac:dyDescent="0.3">
      <c r="A2638" t="s">
        <v>259</v>
      </c>
      <c r="B2638" t="s">
        <v>60</v>
      </c>
      <c r="C2638" t="s">
        <v>286</v>
      </c>
      <c r="D2638">
        <v>2.3970944606699898E-3</v>
      </c>
      <c r="E2638">
        <v>3.1410102938E-3</v>
      </c>
      <c r="F2638">
        <v>3.16405572E-3</v>
      </c>
      <c r="G2638">
        <v>2.6958171000000001E-3</v>
      </c>
      <c r="H2638">
        <v>2.437165166E-3</v>
      </c>
      <c r="I2638">
        <v>2.5847085189999999E-3</v>
      </c>
      <c r="J2638">
        <v>2.7303955583999999E-3</v>
      </c>
      <c r="K2638">
        <v>2.6045156445000002E-3</v>
      </c>
      <c r="L2638">
        <v>2.5925382435999901E-3</v>
      </c>
      <c r="M2638">
        <v>2.5984777149999998E-3</v>
      </c>
      <c r="N2638">
        <v>2.5815028479999899E-3</v>
      </c>
      <c r="O2638">
        <v>0</v>
      </c>
      <c r="P2638">
        <v>0</v>
      </c>
      <c r="Q2638">
        <v>0</v>
      </c>
      <c r="R2638" t="s">
        <v>243</v>
      </c>
    </row>
    <row r="2639" spans="1:18" x14ac:dyDescent="0.3">
      <c r="A2639" t="s">
        <v>259</v>
      </c>
      <c r="B2639" t="s">
        <v>60</v>
      </c>
      <c r="C2639" t="s">
        <v>287</v>
      </c>
      <c r="D2639">
        <v>3.1947984706499999E-3</v>
      </c>
      <c r="E2639">
        <v>4.2689116881999998E-3</v>
      </c>
      <c r="F2639">
        <v>4.1604774549999996E-3</v>
      </c>
      <c r="G2639">
        <v>3.5529511199999999E-3</v>
      </c>
      <c r="H2639">
        <v>3.1483731179999998E-3</v>
      </c>
      <c r="I2639">
        <v>3.3231947579999998E-3</v>
      </c>
      <c r="J2639">
        <v>3.4645196309999902E-3</v>
      </c>
      <c r="K2639">
        <v>3.2684816205999999E-3</v>
      </c>
      <c r="L2639">
        <v>3.2357724959999998E-3</v>
      </c>
      <c r="M2639">
        <v>3.2145477929999902E-3</v>
      </c>
      <c r="N2639">
        <v>3.1646042159999901E-3</v>
      </c>
      <c r="O2639">
        <v>0</v>
      </c>
      <c r="P2639">
        <v>0</v>
      </c>
      <c r="Q2639">
        <v>0</v>
      </c>
      <c r="R2639" t="s">
        <v>243</v>
      </c>
    </row>
    <row r="2640" spans="1:18" x14ac:dyDescent="0.3">
      <c r="A2640" t="s">
        <v>259</v>
      </c>
      <c r="B2640" t="s">
        <v>60</v>
      </c>
      <c r="C2640" t="s">
        <v>288</v>
      </c>
      <c r="D2640">
        <v>3.7742906818599999E-3</v>
      </c>
      <c r="E2640">
        <v>5.2678049259999998E-3</v>
      </c>
      <c r="F2640">
        <v>5.043495177E-3</v>
      </c>
      <c r="G2640">
        <v>4.2724350399999996E-3</v>
      </c>
      <c r="H2640">
        <v>3.7443548199999998E-3</v>
      </c>
      <c r="I2640">
        <v>3.9090826919999898E-3</v>
      </c>
      <c r="J2640">
        <v>4.0480144109999996E-3</v>
      </c>
      <c r="K2640">
        <v>3.7907469491999901E-3</v>
      </c>
      <c r="L2640">
        <v>3.74054033139999E-3</v>
      </c>
      <c r="M2640">
        <v>3.7059500299999998E-3</v>
      </c>
      <c r="N2640">
        <v>3.637602152E-3</v>
      </c>
      <c r="O2640">
        <v>0</v>
      </c>
      <c r="P2640">
        <v>0</v>
      </c>
      <c r="Q2640">
        <v>0</v>
      </c>
      <c r="R2640" t="s">
        <v>243</v>
      </c>
    </row>
    <row r="2641" spans="1:18" x14ac:dyDescent="0.3">
      <c r="A2641" t="s">
        <v>259</v>
      </c>
      <c r="B2641" t="s">
        <v>60</v>
      </c>
      <c r="C2641" t="s">
        <v>289</v>
      </c>
      <c r="D2641">
        <v>4.3618991561399896E-3</v>
      </c>
      <c r="E2641">
        <v>6.29676591E-3</v>
      </c>
      <c r="F2641">
        <v>5.8576385419999996E-3</v>
      </c>
      <c r="G2641">
        <v>4.9604999499999903E-3</v>
      </c>
      <c r="H2641">
        <v>4.301904019E-3</v>
      </c>
      <c r="I2641">
        <v>4.4803353769999896E-3</v>
      </c>
      <c r="J2641">
        <v>4.612903927E-3</v>
      </c>
      <c r="K2641">
        <v>4.2914110052999898E-3</v>
      </c>
      <c r="L2641">
        <v>4.2189702358999904E-3</v>
      </c>
      <c r="M2641">
        <v>4.149288032E-3</v>
      </c>
      <c r="N2641">
        <v>4.04820100199999E-3</v>
      </c>
      <c r="O2641">
        <v>0</v>
      </c>
      <c r="P2641">
        <v>0</v>
      </c>
      <c r="Q2641">
        <v>0</v>
      </c>
      <c r="R2641" t="s">
        <v>243</v>
      </c>
    </row>
    <row r="2642" spans="1:18" x14ac:dyDescent="0.3">
      <c r="A2642" t="s">
        <v>259</v>
      </c>
      <c r="B2642" t="s">
        <v>60</v>
      </c>
      <c r="C2642" t="s">
        <v>290</v>
      </c>
      <c r="D2642">
        <v>5.0295337535900004E-3</v>
      </c>
      <c r="E2642">
        <v>7.334159487E-3</v>
      </c>
      <c r="F2642">
        <v>6.6408297019999998E-3</v>
      </c>
      <c r="G2642">
        <v>5.6105484599999998E-3</v>
      </c>
      <c r="H2642">
        <v>4.8764077430000002E-3</v>
      </c>
      <c r="I2642">
        <v>5.0612869849999999E-3</v>
      </c>
      <c r="J2642">
        <v>5.1761784630000003E-3</v>
      </c>
      <c r="K2642">
        <v>4.7751022479999997E-3</v>
      </c>
      <c r="L2642">
        <v>4.66613874089999E-3</v>
      </c>
      <c r="M2642">
        <v>4.564716517E-3</v>
      </c>
      <c r="N2642">
        <v>4.4272763520000003E-3</v>
      </c>
      <c r="O2642">
        <v>0</v>
      </c>
      <c r="P2642">
        <v>0</v>
      </c>
      <c r="Q2642">
        <v>0</v>
      </c>
      <c r="R2642" t="s">
        <v>243</v>
      </c>
    </row>
    <row r="2643" spans="1:18" x14ac:dyDescent="0.3">
      <c r="A2643" t="s">
        <v>259</v>
      </c>
      <c r="B2643" t="s">
        <v>60</v>
      </c>
      <c r="C2643" t="s">
        <v>291</v>
      </c>
      <c r="D2643">
        <v>5.7964971240999997E-3</v>
      </c>
      <c r="E2643">
        <v>8.4064595809999997E-3</v>
      </c>
      <c r="F2643">
        <v>7.46617876899999E-3</v>
      </c>
      <c r="G2643">
        <v>6.2252849699999998E-3</v>
      </c>
      <c r="H2643">
        <v>5.4959751589999904E-3</v>
      </c>
      <c r="I2643">
        <v>5.6600941640000003E-3</v>
      </c>
      <c r="J2643">
        <v>5.7437157989999998E-3</v>
      </c>
      <c r="K2643">
        <v>5.2816275219999898E-3</v>
      </c>
      <c r="L2643">
        <v>5.1474838223999897E-3</v>
      </c>
      <c r="M2643">
        <v>5.0094819140000003E-3</v>
      </c>
      <c r="N2643">
        <v>4.8311990389999903E-3</v>
      </c>
      <c r="O2643">
        <v>0</v>
      </c>
      <c r="P2643">
        <v>0</v>
      </c>
      <c r="Q2643">
        <v>0</v>
      </c>
      <c r="R2643" t="s">
        <v>243</v>
      </c>
    </row>
    <row r="2644" spans="1:18" x14ac:dyDescent="0.3">
      <c r="A2644" t="s">
        <v>259</v>
      </c>
      <c r="B2644" t="s">
        <v>60</v>
      </c>
      <c r="C2644" t="s">
        <v>292</v>
      </c>
      <c r="D2644">
        <v>6.6577358286999998E-3</v>
      </c>
      <c r="E2644">
        <v>9.6611301210000004E-3</v>
      </c>
      <c r="F2644">
        <v>8.4132246719999994E-3</v>
      </c>
      <c r="G2644">
        <v>7.0351048799999899E-3</v>
      </c>
      <c r="H2644">
        <v>6.2129592700000003E-3</v>
      </c>
      <c r="I2644">
        <v>6.385042023E-3</v>
      </c>
      <c r="J2644">
        <v>6.4310767809999999E-3</v>
      </c>
      <c r="K2644">
        <v>5.8562369789999999E-3</v>
      </c>
      <c r="L2644">
        <v>5.6705025125999998E-3</v>
      </c>
      <c r="M2644">
        <v>5.4734702709999996E-3</v>
      </c>
      <c r="N2644">
        <v>5.23879471199999E-3</v>
      </c>
      <c r="O2644">
        <v>0</v>
      </c>
      <c r="P2644">
        <v>0</v>
      </c>
      <c r="Q2644">
        <v>0</v>
      </c>
      <c r="R2644" t="s">
        <v>243</v>
      </c>
    </row>
    <row r="2645" spans="1:18" x14ac:dyDescent="0.3">
      <c r="A2645" t="s">
        <v>259</v>
      </c>
      <c r="B2645" t="s">
        <v>60</v>
      </c>
      <c r="C2645" t="s">
        <v>293</v>
      </c>
      <c r="D2645">
        <v>8.1360083364999999E-3</v>
      </c>
      <c r="E2645">
        <v>1.1238895687999999E-2</v>
      </c>
      <c r="F2645">
        <v>9.78980369999999E-3</v>
      </c>
      <c r="G2645">
        <v>8.0578734599999896E-3</v>
      </c>
      <c r="H2645">
        <v>7.2362875299999997E-3</v>
      </c>
      <c r="I2645">
        <v>7.3586966720000004E-3</v>
      </c>
      <c r="J2645">
        <v>7.3190509879999897E-3</v>
      </c>
      <c r="K2645">
        <v>6.593826134E-3</v>
      </c>
      <c r="L2645">
        <v>6.3268766602000001E-3</v>
      </c>
      <c r="M2645">
        <v>6.0429791879999997E-3</v>
      </c>
      <c r="N2645">
        <v>5.7254452910000002E-3</v>
      </c>
      <c r="O2645">
        <v>0</v>
      </c>
      <c r="P2645">
        <v>0</v>
      </c>
      <c r="Q2645">
        <v>0</v>
      </c>
      <c r="R2645" t="s">
        <v>243</v>
      </c>
    </row>
    <row r="2646" spans="1:18" x14ac:dyDescent="0.3">
      <c r="A2646" t="s">
        <v>259</v>
      </c>
      <c r="B2646" t="s">
        <v>60</v>
      </c>
      <c r="C2646" t="s">
        <v>344</v>
      </c>
      <c r="D2646">
        <v>1.62349E-3</v>
      </c>
      <c r="E2646" s="8">
        <v>2.0686500000000001E-4</v>
      </c>
      <c r="F2646" s="8">
        <v>2.1133799999999999E-4</v>
      </c>
      <c r="G2646" s="8">
        <v>7.13163E-5</v>
      </c>
      <c r="H2646" s="8">
        <v>7.4596299999999996E-5</v>
      </c>
      <c r="I2646" s="8">
        <v>7.7053700000000004E-5</v>
      </c>
      <c r="J2646" s="8">
        <v>7.6688100000000002E-5</v>
      </c>
      <c r="K2646" s="8">
        <v>7.6795699999999994E-5</v>
      </c>
      <c r="L2646" s="8">
        <v>7.6704299999999997E-5</v>
      </c>
      <c r="M2646" s="8">
        <v>7.6103899999999995E-5</v>
      </c>
      <c r="N2646" s="8">
        <v>7.5402199999999994E-5</v>
      </c>
      <c r="O2646">
        <v>0</v>
      </c>
      <c r="P2646">
        <v>0</v>
      </c>
      <c r="Q2646">
        <v>0</v>
      </c>
      <c r="R2646" t="s">
        <v>243</v>
      </c>
    </row>
    <row r="2647" spans="1:18" x14ac:dyDescent="0.3">
      <c r="A2647" t="s">
        <v>259</v>
      </c>
      <c r="B2647" t="s">
        <v>60</v>
      </c>
      <c r="C2647" t="s">
        <v>345</v>
      </c>
      <c r="D2647" s="8">
        <v>1.99397E-4</v>
      </c>
      <c r="E2647" s="8">
        <v>1.77277E-5</v>
      </c>
      <c r="F2647" s="8">
        <v>2.0675200000000002E-5</v>
      </c>
      <c r="G2647" s="8">
        <v>7.3453300000000002E-6</v>
      </c>
      <c r="H2647" s="8">
        <v>7.5032600000000004E-6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">
        <v>243</v>
      </c>
    </row>
    <row r="2648" spans="1:18" x14ac:dyDescent="0.3">
      <c r="A2648" t="s">
        <v>259</v>
      </c>
      <c r="B2648" t="s">
        <v>60</v>
      </c>
      <c r="C2648" t="s">
        <v>346</v>
      </c>
      <c r="D2648">
        <v>1.0701700000000001E-3</v>
      </c>
      <c r="E2648" s="8">
        <v>1.28906E-4</v>
      </c>
      <c r="F2648" s="8">
        <v>1.2970399999999999E-4</v>
      </c>
      <c r="G2648" s="8">
        <v>4.3921899999999997E-5</v>
      </c>
      <c r="H2648" s="8">
        <v>4.5052600000000003E-5</v>
      </c>
      <c r="I2648" s="8">
        <v>4.63531999999999E-5</v>
      </c>
      <c r="J2648" s="8">
        <v>4.6067119999999999E-5</v>
      </c>
      <c r="K2648" s="8">
        <v>4.6085080000000002E-5</v>
      </c>
      <c r="L2648" s="8">
        <v>4.6001799999999997E-5</v>
      </c>
      <c r="M2648" s="8">
        <v>4.564402E-5</v>
      </c>
      <c r="N2648" s="8">
        <v>4.525007E-5</v>
      </c>
      <c r="O2648">
        <v>0</v>
      </c>
      <c r="P2648">
        <v>0</v>
      </c>
      <c r="Q2648">
        <v>0</v>
      </c>
      <c r="R2648" t="s">
        <v>243</v>
      </c>
    </row>
    <row r="2649" spans="1:18" x14ac:dyDescent="0.3">
      <c r="A2649" t="s">
        <v>259</v>
      </c>
      <c r="B2649" t="s">
        <v>60</v>
      </c>
      <c r="C2649" t="s">
        <v>347</v>
      </c>
      <c r="D2649" s="8">
        <v>8.2633299999999995E-4</v>
      </c>
      <c r="E2649" s="8">
        <v>9.7740599999999997E-5</v>
      </c>
      <c r="F2649" s="8">
        <v>1.0042199999999999E-4</v>
      </c>
      <c r="G2649" s="8">
        <v>3.3857599999999999E-5</v>
      </c>
      <c r="H2649" s="8">
        <v>3.4457199999999999E-5</v>
      </c>
      <c r="I2649" s="8">
        <v>3.5459369999999999E-5</v>
      </c>
      <c r="J2649" s="8">
        <v>3.5161799999999999E-5</v>
      </c>
      <c r="K2649" s="8">
        <v>3.5123280000000002E-5</v>
      </c>
      <c r="L2649" s="8">
        <v>3.5016389999999998E-5</v>
      </c>
      <c r="M2649" s="8">
        <v>3.4695179999999998E-5</v>
      </c>
      <c r="N2649" s="8">
        <v>3.435162E-5</v>
      </c>
      <c r="O2649">
        <v>0</v>
      </c>
      <c r="P2649">
        <v>0</v>
      </c>
      <c r="Q2649">
        <v>0</v>
      </c>
      <c r="R2649" t="s">
        <v>243</v>
      </c>
    </row>
    <row r="2650" spans="1:18" x14ac:dyDescent="0.3">
      <c r="A2650" t="s">
        <v>259</v>
      </c>
      <c r="B2650" t="s">
        <v>60</v>
      </c>
      <c r="C2650" t="s">
        <v>348</v>
      </c>
      <c r="D2650" s="8">
        <v>7.0496899999999995E-4</v>
      </c>
      <c r="E2650" s="8">
        <v>7.9631500000000005E-5</v>
      </c>
      <c r="F2650" s="8">
        <v>8.2591900000000005E-5</v>
      </c>
      <c r="G2650" s="8">
        <v>2.80127E-5</v>
      </c>
      <c r="H2650" s="8">
        <v>2.8374500000000001E-5</v>
      </c>
      <c r="I2650" s="8">
        <v>2.9135430000000001E-5</v>
      </c>
      <c r="J2650" s="8">
        <v>2.8877399999999999E-5</v>
      </c>
      <c r="K2650" s="8">
        <v>2.8831669999999998E-5</v>
      </c>
      <c r="L2650" s="8">
        <v>2.8732729999999999E-5</v>
      </c>
      <c r="M2650" s="8">
        <v>2.8481269999999999E-5</v>
      </c>
      <c r="N2650" s="8">
        <v>2.821607E-5</v>
      </c>
      <c r="O2650">
        <v>0</v>
      </c>
      <c r="P2650">
        <v>0</v>
      </c>
      <c r="Q2650">
        <v>0</v>
      </c>
      <c r="R2650" t="s">
        <v>243</v>
      </c>
    </row>
    <row r="2651" spans="1:18" x14ac:dyDescent="0.3">
      <c r="A2651" t="s">
        <v>259</v>
      </c>
      <c r="B2651" t="s">
        <v>60</v>
      </c>
      <c r="C2651" t="s">
        <v>349</v>
      </c>
      <c r="D2651" s="8">
        <v>6.1031400000000004E-4</v>
      </c>
      <c r="E2651" s="8">
        <v>6.6097000000000001E-5</v>
      </c>
      <c r="F2651" s="8">
        <v>7.0145E-5</v>
      </c>
      <c r="G2651" s="8">
        <v>2.3745599999999998E-5</v>
      </c>
      <c r="H2651" s="8">
        <v>2.3940349999999999E-5</v>
      </c>
      <c r="I2651" s="8">
        <v>2.4593640000000001E-5</v>
      </c>
      <c r="J2651" s="8">
        <v>2.4369659999999999E-5</v>
      </c>
      <c r="K2651" s="8">
        <v>2.4321029999999998E-5</v>
      </c>
      <c r="L2651" s="8">
        <v>2.4226140000000001E-5</v>
      </c>
      <c r="M2651" s="8">
        <v>2.398973E-5</v>
      </c>
      <c r="N2651" s="8">
        <v>2.3755389999999999E-5</v>
      </c>
      <c r="O2651">
        <v>0</v>
      </c>
      <c r="P2651">
        <v>0</v>
      </c>
      <c r="Q2651">
        <v>0</v>
      </c>
      <c r="R2651" t="s">
        <v>243</v>
      </c>
    </row>
    <row r="2652" spans="1:18" x14ac:dyDescent="0.3">
      <c r="A2652" t="s">
        <v>259</v>
      </c>
      <c r="B2652" t="s">
        <v>60</v>
      </c>
      <c r="C2652" t="s">
        <v>350</v>
      </c>
      <c r="D2652" s="8">
        <v>5.26014E-4</v>
      </c>
      <c r="E2652" s="8">
        <v>5.5729900000000003E-5</v>
      </c>
      <c r="F2652" s="8">
        <v>6.0577800000000001E-5</v>
      </c>
      <c r="G2652" s="8">
        <v>2.0515099999999999E-5</v>
      </c>
      <c r="H2652" s="8">
        <v>2.0675100000000001E-5</v>
      </c>
      <c r="I2652" s="8">
        <v>2.12401E-5</v>
      </c>
      <c r="J2652" s="8">
        <v>2.1035209999999999E-5</v>
      </c>
      <c r="K2652" s="8">
        <v>2.0968410000000001E-5</v>
      </c>
      <c r="L2652" s="8">
        <v>2.08650999999999E-5</v>
      </c>
      <c r="M2652" s="8">
        <v>2.065672E-5</v>
      </c>
      <c r="N2652" s="8">
        <v>2.04473E-5</v>
      </c>
      <c r="O2652">
        <v>0</v>
      </c>
      <c r="P2652">
        <v>0</v>
      </c>
      <c r="Q2652">
        <v>0</v>
      </c>
      <c r="R2652" t="s">
        <v>243</v>
      </c>
    </row>
    <row r="2653" spans="1:18" x14ac:dyDescent="0.3">
      <c r="A2653" t="s">
        <v>259</v>
      </c>
      <c r="B2653" t="s">
        <v>60</v>
      </c>
      <c r="C2653" t="s">
        <v>351</v>
      </c>
      <c r="D2653" s="8">
        <v>4.4999800000000001E-4</v>
      </c>
      <c r="E2653" s="8">
        <v>4.7303199999999998E-5</v>
      </c>
      <c r="F2653" s="8">
        <v>5.2305300000000002E-5</v>
      </c>
      <c r="G2653" s="8">
        <v>1.79734E-5</v>
      </c>
      <c r="H2653" s="8">
        <v>1.8191439999999999E-5</v>
      </c>
      <c r="I2653" s="8">
        <v>1.866061E-5</v>
      </c>
      <c r="J2653" s="8">
        <v>1.8464670000000001E-5</v>
      </c>
      <c r="K2653" s="8">
        <v>1.8414590000000001E-5</v>
      </c>
      <c r="L2653" s="8">
        <v>1.8332949999999999E-5</v>
      </c>
      <c r="M2653" s="8">
        <v>1.814956E-5</v>
      </c>
      <c r="N2653" s="8">
        <v>1.796319E-5</v>
      </c>
      <c r="O2653">
        <v>0</v>
      </c>
      <c r="P2653">
        <v>0</v>
      </c>
      <c r="Q2653">
        <v>0</v>
      </c>
      <c r="R2653" t="s">
        <v>243</v>
      </c>
    </row>
    <row r="2654" spans="1:18" x14ac:dyDescent="0.3">
      <c r="A2654" t="s">
        <v>259</v>
      </c>
      <c r="B2654" t="s">
        <v>60</v>
      </c>
      <c r="C2654" t="s">
        <v>352</v>
      </c>
      <c r="D2654" s="8">
        <v>3.8280399999999999E-4</v>
      </c>
      <c r="E2654" s="8">
        <v>3.9456799999999998E-5</v>
      </c>
      <c r="F2654" s="8">
        <v>4.4469199999999998E-5</v>
      </c>
      <c r="G2654" s="8">
        <v>1.5179400000000001E-5</v>
      </c>
      <c r="H2654" s="8">
        <v>1.534225E-5</v>
      </c>
      <c r="I2654" s="8">
        <v>1.57548E-5</v>
      </c>
      <c r="J2654" s="8">
        <v>1.5588649999999999E-5</v>
      </c>
      <c r="K2654" s="8">
        <v>1.553273E-5</v>
      </c>
      <c r="L2654" s="8">
        <v>1.5453900000000001E-5</v>
      </c>
      <c r="M2654" s="8">
        <v>1.5290259999999999E-5</v>
      </c>
      <c r="N2654" s="8">
        <v>1.5127020000000001E-5</v>
      </c>
      <c r="O2654">
        <v>0</v>
      </c>
      <c r="P2654">
        <v>0</v>
      </c>
      <c r="Q2654">
        <v>0</v>
      </c>
      <c r="R2654" t="s">
        <v>243</v>
      </c>
    </row>
    <row r="2655" spans="1:18" x14ac:dyDescent="0.3">
      <c r="A2655" t="s">
        <v>259</v>
      </c>
      <c r="B2655" t="s">
        <v>60</v>
      </c>
      <c r="C2655" t="s">
        <v>353</v>
      </c>
      <c r="D2655" s="8">
        <v>2.9643900000000001E-4</v>
      </c>
      <c r="E2655" s="8">
        <v>3.1676800000000001E-5</v>
      </c>
      <c r="F2655" s="8">
        <v>3.5289500000000002E-5</v>
      </c>
      <c r="G2655" s="8">
        <v>1.23036E-5</v>
      </c>
      <c r="H2655" s="8">
        <v>1.2488909999999901E-5</v>
      </c>
      <c r="I2655" s="8">
        <v>1.280931E-5</v>
      </c>
      <c r="J2655" s="8">
        <v>1.26643E-5</v>
      </c>
      <c r="K2655" s="8">
        <v>1.261568E-5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243</v>
      </c>
    </row>
    <row r="2656" spans="1:18" x14ac:dyDescent="0.3">
      <c r="A2656" t="s">
        <v>259</v>
      </c>
      <c r="B2656" t="s">
        <v>60</v>
      </c>
      <c r="C2656" t="s">
        <v>294</v>
      </c>
      <c r="D2656" s="8">
        <v>2.5622660000000001E-4</v>
      </c>
      <c r="E2656" s="8">
        <v>3.1794788000000002E-4</v>
      </c>
      <c r="F2656" s="8">
        <v>3.3013930000000001E-4</v>
      </c>
      <c r="G2656" s="8">
        <v>3.0179708999999999E-4</v>
      </c>
      <c r="H2656" s="8">
        <v>3.0990875499999998E-4</v>
      </c>
      <c r="I2656" s="8">
        <v>3.5382417900000002E-4</v>
      </c>
      <c r="J2656" s="8">
        <v>4.0012732299999899E-4</v>
      </c>
      <c r="K2656" s="8">
        <v>4.2598083329999998E-4</v>
      </c>
      <c r="L2656" s="8">
        <v>4.4235973859999998E-4</v>
      </c>
      <c r="M2656" s="8">
        <v>4.6479243199999898E-4</v>
      </c>
      <c r="N2656" s="8">
        <v>4.8389964500000001E-4</v>
      </c>
      <c r="O2656">
        <v>0</v>
      </c>
      <c r="P2656">
        <v>0</v>
      </c>
      <c r="Q2656">
        <v>0</v>
      </c>
      <c r="R2656" t="s">
        <v>243</v>
      </c>
    </row>
    <row r="2657" spans="1:18" x14ac:dyDescent="0.3">
      <c r="A2657" t="s">
        <v>259</v>
      </c>
      <c r="B2657" t="s">
        <v>60</v>
      </c>
      <c r="C2657" t="s">
        <v>295</v>
      </c>
      <c r="D2657">
        <v>2.0179149999999999E-3</v>
      </c>
      <c r="E2657">
        <v>2.9490021000000001E-3</v>
      </c>
      <c r="F2657">
        <v>2.4478719999999998E-3</v>
      </c>
      <c r="G2657">
        <v>2.1387298900000002E-3</v>
      </c>
      <c r="H2657">
        <v>2.12434123999999E-3</v>
      </c>
      <c r="I2657">
        <v>2.2359615499999998E-3</v>
      </c>
      <c r="J2657">
        <v>2.2762242029999999E-3</v>
      </c>
      <c r="K2657">
        <v>2.2675313869999999E-3</v>
      </c>
      <c r="L2657">
        <v>2.2593915959999902E-3</v>
      </c>
      <c r="M2657">
        <v>2.2373761989999898E-3</v>
      </c>
      <c r="N2657">
        <v>2.2063209879999899E-3</v>
      </c>
      <c r="O2657">
        <v>0</v>
      </c>
      <c r="P2657">
        <v>0</v>
      </c>
      <c r="Q2657">
        <v>0</v>
      </c>
      <c r="R2657" t="s">
        <v>243</v>
      </c>
    </row>
    <row r="2658" spans="1:18" x14ac:dyDescent="0.3">
      <c r="A2658" t="s">
        <v>259</v>
      </c>
      <c r="B2658" t="s">
        <v>60</v>
      </c>
      <c r="C2658" t="s">
        <v>296</v>
      </c>
      <c r="D2658" s="8">
        <v>4.273201E-4</v>
      </c>
      <c r="E2658" s="8">
        <v>5.7438754999999996E-4</v>
      </c>
      <c r="F2658" s="8">
        <v>5.9813119999999997E-4</v>
      </c>
      <c r="G2658" s="8">
        <v>5.4379177000000002E-4</v>
      </c>
      <c r="H2658" s="8">
        <v>5.2712335499999999E-4</v>
      </c>
      <c r="I2658" s="8">
        <v>5.8986728299999995E-4</v>
      </c>
      <c r="J2658" s="8">
        <v>6.59500037E-4</v>
      </c>
      <c r="K2658" s="8">
        <v>7.0071407299999902E-4</v>
      </c>
      <c r="L2658" s="8">
        <v>7.2874599399999998E-4</v>
      </c>
      <c r="M2658" s="8">
        <v>7.6541850099999997E-4</v>
      </c>
      <c r="N2658" s="8">
        <v>7.9687192399999999E-4</v>
      </c>
      <c r="O2658">
        <v>0</v>
      </c>
      <c r="P2658">
        <v>0</v>
      </c>
      <c r="Q2658">
        <v>0</v>
      </c>
      <c r="R2658" t="s">
        <v>243</v>
      </c>
    </row>
    <row r="2659" spans="1:18" x14ac:dyDescent="0.3">
      <c r="A2659" t="s">
        <v>259</v>
      </c>
      <c r="B2659" t="s">
        <v>60</v>
      </c>
      <c r="C2659" t="s">
        <v>297</v>
      </c>
      <c r="D2659" s="8">
        <v>5.7299100000000002E-4</v>
      </c>
      <c r="E2659" s="8">
        <v>7.8408655E-4</v>
      </c>
      <c r="F2659" s="8">
        <v>7.8739374999999999E-4</v>
      </c>
      <c r="G2659" s="8">
        <v>7.1793265999999998E-4</v>
      </c>
      <c r="H2659" s="8">
        <v>6.8074623799999903E-4</v>
      </c>
      <c r="I2659" s="8">
        <v>7.5918215099999903E-4</v>
      </c>
      <c r="J2659" s="8">
        <v>8.38173434E-4</v>
      </c>
      <c r="K2659" s="8">
        <v>8.8480442499999895E-4</v>
      </c>
      <c r="L2659" s="8">
        <v>9.1649814899999904E-4</v>
      </c>
      <c r="M2659" s="8">
        <v>9.5568787599999996E-4</v>
      </c>
      <c r="N2659" s="8">
        <v>9.8773141200000003E-4</v>
      </c>
      <c r="O2659">
        <v>0</v>
      </c>
      <c r="P2659">
        <v>0</v>
      </c>
      <c r="Q2659">
        <v>0</v>
      </c>
      <c r="R2659" t="s">
        <v>243</v>
      </c>
    </row>
    <row r="2660" spans="1:18" x14ac:dyDescent="0.3">
      <c r="A2660" t="s">
        <v>259</v>
      </c>
      <c r="B2660" t="s">
        <v>60</v>
      </c>
      <c r="C2660" t="s">
        <v>298</v>
      </c>
      <c r="D2660" s="8">
        <v>6.7989500000000002E-4</v>
      </c>
      <c r="E2660" s="8">
        <v>9.7132621999999999E-4</v>
      </c>
      <c r="F2660" s="8">
        <v>9.5548205999999999E-4</v>
      </c>
      <c r="G2660" s="8">
        <v>8.6458344000000002E-4</v>
      </c>
      <c r="H2660" s="8">
        <v>8.1001333999999999E-4</v>
      </c>
      <c r="I2660" s="8">
        <v>8.9362821900000004E-4</v>
      </c>
      <c r="J2660" s="8">
        <v>9.8060913699999893E-4</v>
      </c>
      <c r="K2660">
        <v>1.0312409879999901E-3</v>
      </c>
      <c r="L2660">
        <v>1.065963981E-3</v>
      </c>
      <c r="M2660">
        <v>1.10989560999999E-3</v>
      </c>
      <c r="N2660">
        <v>1.1455118210000001E-3</v>
      </c>
      <c r="O2660">
        <v>0</v>
      </c>
      <c r="P2660">
        <v>0</v>
      </c>
      <c r="Q2660">
        <v>0</v>
      </c>
      <c r="R2660" t="s">
        <v>243</v>
      </c>
    </row>
    <row r="2661" spans="1:18" x14ac:dyDescent="0.3">
      <c r="A2661" t="s">
        <v>259</v>
      </c>
      <c r="B2661" t="s">
        <v>60</v>
      </c>
      <c r="C2661" t="s">
        <v>299</v>
      </c>
      <c r="D2661" s="8">
        <v>7.8924699999999997E-4</v>
      </c>
      <c r="E2661">
        <v>1.16575519E-3</v>
      </c>
      <c r="F2661">
        <v>1.1107788299999999E-3</v>
      </c>
      <c r="G2661">
        <v>1.0052523300000001E-3</v>
      </c>
      <c r="H2661" s="8">
        <v>9.3100033700000003E-4</v>
      </c>
      <c r="I2661">
        <v>1.0252622730000001E-3</v>
      </c>
      <c r="J2661">
        <v>1.1187886680000001E-3</v>
      </c>
      <c r="K2661">
        <v>1.1718009939999999E-3</v>
      </c>
      <c r="L2661">
        <v>1.207835047E-3</v>
      </c>
      <c r="M2661">
        <v>1.2494930099999999E-3</v>
      </c>
      <c r="N2661">
        <v>1.283244975E-3</v>
      </c>
      <c r="O2661">
        <v>0</v>
      </c>
      <c r="P2661">
        <v>0</v>
      </c>
      <c r="Q2661">
        <v>0</v>
      </c>
      <c r="R2661" t="s">
        <v>243</v>
      </c>
    </row>
    <row r="2662" spans="1:18" x14ac:dyDescent="0.3">
      <c r="A2662" t="s">
        <v>259</v>
      </c>
      <c r="B2662" t="s">
        <v>60</v>
      </c>
      <c r="C2662" t="s">
        <v>300</v>
      </c>
      <c r="D2662" s="8">
        <v>9.1468799999999998E-4</v>
      </c>
      <c r="E2662">
        <v>1.36345538E-3</v>
      </c>
      <c r="F2662">
        <v>1.26047068E-3</v>
      </c>
      <c r="G2662">
        <v>1.13854656E-3</v>
      </c>
      <c r="H2662">
        <v>1.0573247660000001E-3</v>
      </c>
      <c r="I2662">
        <v>1.1606402249999901E-3</v>
      </c>
      <c r="J2662">
        <v>1.2578136679999999E-3</v>
      </c>
      <c r="K2662">
        <v>1.308530661E-3</v>
      </c>
      <c r="L2662">
        <v>1.34210166199999E-3</v>
      </c>
      <c r="M2662">
        <v>1.382407966E-3</v>
      </c>
      <c r="N2662">
        <v>1.4128605449999999E-3</v>
      </c>
      <c r="O2662">
        <v>0</v>
      </c>
      <c r="P2662">
        <v>0</v>
      </c>
      <c r="Q2662">
        <v>0</v>
      </c>
      <c r="R2662" t="s">
        <v>243</v>
      </c>
    </row>
    <row r="2663" spans="1:18" x14ac:dyDescent="0.3">
      <c r="A2663" t="s">
        <v>259</v>
      </c>
      <c r="B2663" t="s">
        <v>60</v>
      </c>
      <c r="C2663" t="s">
        <v>301</v>
      </c>
      <c r="D2663">
        <v>1.0604259999999999E-3</v>
      </c>
      <c r="E2663">
        <v>1.5696746299999999E-3</v>
      </c>
      <c r="F2663">
        <v>1.4185565899999899E-3</v>
      </c>
      <c r="G2663">
        <v>1.26498022E-3</v>
      </c>
      <c r="H2663">
        <v>1.19576583999999E-3</v>
      </c>
      <c r="I2663">
        <v>1.3016532629999899E-3</v>
      </c>
      <c r="J2663">
        <v>1.3989189779999901E-3</v>
      </c>
      <c r="K2663">
        <v>1.45224116699999E-3</v>
      </c>
      <c r="L2663">
        <v>1.4879441129999899E-3</v>
      </c>
      <c r="M2663">
        <v>1.525771709E-3</v>
      </c>
      <c r="N2663">
        <v>1.551826012E-3</v>
      </c>
      <c r="O2663">
        <v>0</v>
      </c>
      <c r="P2663">
        <v>0</v>
      </c>
      <c r="Q2663">
        <v>0</v>
      </c>
      <c r="R2663" t="s">
        <v>243</v>
      </c>
    </row>
    <row r="2664" spans="1:18" x14ac:dyDescent="0.3">
      <c r="A2664" t="s">
        <v>259</v>
      </c>
      <c r="B2664" t="s">
        <v>60</v>
      </c>
      <c r="C2664" t="s">
        <v>302</v>
      </c>
      <c r="D2664">
        <v>1.2262729999999999E-3</v>
      </c>
      <c r="E2664">
        <v>1.8135557499999999E-3</v>
      </c>
      <c r="F2664">
        <v>1.6004015599999999E-3</v>
      </c>
      <c r="G2664">
        <v>1.43212966999999E-3</v>
      </c>
      <c r="H2664">
        <v>1.3549686300000001E-3</v>
      </c>
      <c r="I2664">
        <v>1.4724891289999999E-3</v>
      </c>
      <c r="J2664">
        <v>1.5702018560000001E-3</v>
      </c>
      <c r="K2664">
        <v>1.6173731039999899E-3</v>
      </c>
      <c r="L2664">
        <v>1.64857099399999E-3</v>
      </c>
      <c r="M2664">
        <v>1.6785081469999901E-3</v>
      </c>
      <c r="N2664">
        <v>1.6962219259999999E-3</v>
      </c>
      <c r="O2664">
        <v>0</v>
      </c>
      <c r="P2664">
        <v>0</v>
      </c>
      <c r="Q2664">
        <v>0</v>
      </c>
      <c r="R2664" t="s">
        <v>243</v>
      </c>
    </row>
    <row r="2665" spans="1:18" x14ac:dyDescent="0.3">
      <c r="A2665" t="s">
        <v>259</v>
      </c>
      <c r="B2665" t="s">
        <v>60</v>
      </c>
      <c r="C2665" t="s">
        <v>303</v>
      </c>
      <c r="D2665">
        <v>1.516786E-3</v>
      </c>
      <c r="E2665">
        <v>2.1245588999999998E-3</v>
      </c>
      <c r="F2665">
        <v>1.8656453000000001E-3</v>
      </c>
      <c r="G2665">
        <v>1.64426956E-3</v>
      </c>
      <c r="H2665">
        <v>1.5862924099999899E-3</v>
      </c>
      <c r="I2665">
        <v>1.7045585379999999E-3</v>
      </c>
      <c r="J2665">
        <v>1.793018251E-3</v>
      </c>
      <c r="K2665">
        <v>1.8310247009999999E-3</v>
      </c>
      <c r="L2665">
        <v>1.8531931689999999E-3</v>
      </c>
      <c r="M2665">
        <v>1.8687844900000001E-3</v>
      </c>
      <c r="N2665">
        <v>1.871473221E-3</v>
      </c>
      <c r="O2665">
        <v>0</v>
      </c>
      <c r="P2665">
        <v>0</v>
      </c>
      <c r="Q2665">
        <v>0</v>
      </c>
      <c r="R2665" t="s">
        <v>243</v>
      </c>
    </row>
    <row r="2666" spans="1:18" x14ac:dyDescent="0.3">
      <c r="A2666" t="s">
        <v>259</v>
      </c>
      <c r="B2666" t="s">
        <v>60</v>
      </c>
      <c r="C2666" t="s">
        <v>304</v>
      </c>
      <c r="D2666" s="8">
        <v>1.8694999999999999E-4</v>
      </c>
      <c r="E2666" s="8">
        <v>2.09831E-4</v>
      </c>
      <c r="F2666" s="8">
        <v>2.2855E-4</v>
      </c>
      <c r="G2666" s="8">
        <v>2.8044799999999998E-4</v>
      </c>
      <c r="H2666" s="8">
        <v>4.0389000000000001E-4</v>
      </c>
      <c r="I2666" s="8">
        <v>4.27701E-4</v>
      </c>
      <c r="J2666" s="8">
        <v>4.5136379999999998E-4</v>
      </c>
      <c r="K2666" s="8">
        <v>4.971334E-4</v>
      </c>
      <c r="L2666" s="8">
        <v>5.359249E-4</v>
      </c>
      <c r="M2666" s="8">
        <v>5.6578729999999999E-4</v>
      </c>
      <c r="N2666" s="8">
        <v>5.8814599999999903E-4</v>
      </c>
      <c r="O2666">
        <v>0</v>
      </c>
      <c r="P2666">
        <v>0</v>
      </c>
      <c r="Q2666">
        <v>0</v>
      </c>
      <c r="R2666" t="s">
        <v>243</v>
      </c>
    </row>
    <row r="2667" spans="1:18" x14ac:dyDescent="0.3">
      <c r="A2667" t="s">
        <v>259</v>
      </c>
      <c r="B2667" t="s">
        <v>60</v>
      </c>
      <c r="C2667" t="s">
        <v>305</v>
      </c>
      <c r="D2667">
        <v>1.32697E-3</v>
      </c>
      <c r="E2667">
        <v>1.6911599999999999E-3</v>
      </c>
      <c r="F2667">
        <v>1.41266E-3</v>
      </c>
      <c r="G2667">
        <v>1.5484299999999999E-3</v>
      </c>
      <c r="H2667">
        <v>1.617247E-3</v>
      </c>
      <c r="I2667">
        <v>1.65564599999999E-3</v>
      </c>
      <c r="J2667">
        <v>1.6326299999999999E-3</v>
      </c>
      <c r="K2667">
        <v>1.626588E-3</v>
      </c>
      <c r="L2667">
        <v>1.616688E-3</v>
      </c>
      <c r="M2667">
        <v>1.5979639999999999E-3</v>
      </c>
      <c r="N2667">
        <v>1.5789139999999901E-3</v>
      </c>
      <c r="O2667">
        <v>0</v>
      </c>
      <c r="P2667">
        <v>0</v>
      </c>
      <c r="Q2667">
        <v>0</v>
      </c>
      <c r="R2667" t="s">
        <v>243</v>
      </c>
    </row>
    <row r="2668" spans="1:18" x14ac:dyDescent="0.3">
      <c r="A2668" t="s">
        <v>259</v>
      </c>
      <c r="B2668" t="s">
        <v>60</v>
      </c>
      <c r="C2668" t="s">
        <v>306</v>
      </c>
      <c r="D2668" s="8">
        <v>3.0851000000000001E-4</v>
      </c>
      <c r="E2668" s="8">
        <v>3.7389600000000003E-4</v>
      </c>
      <c r="F2668" s="8">
        <v>4.0475100000000001E-4</v>
      </c>
      <c r="G2668" s="8">
        <v>4.8875000000000004E-4</v>
      </c>
      <c r="H2668" s="8">
        <v>6.3722599999999996E-4</v>
      </c>
      <c r="I2668" s="8">
        <v>6.6549299999999997E-4</v>
      </c>
      <c r="J2668" s="8">
        <v>6.9443E-4</v>
      </c>
      <c r="K2668" s="8">
        <v>7.53821E-4</v>
      </c>
      <c r="L2668" s="8">
        <v>8.01547E-4</v>
      </c>
      <c r="M2668" s="8">
        <v>8.3599E-4</v>
      </c>
      <c r="N2668" s="8">
        <v>8.6032999999999997E-4</v>
      </c>
      <c r="O2668">
        <v>0</v>
      </c>
      <c r="P2668">
        <v>0</v>
      </c>
      <c r="Q2668">
        <v>0</v>
      </c>
      <c r="R2668" t="s">
        <v>243</v>
      </c>
    </row>
    <row r="2669" spans="1:18" x14ac:dyDescent="0.3">
      <c r="A2669" t="s">
        <v>259</v>
      </c>
      <c r="B2669" t="s">
        <v>60</v>
      </c>
      <c r="C2669" t="s">
        <v>307</v>
      </c>
      <c r="D2669" s="8">
        <v>4.1014799999999999E-4</v>
      </c>
      <c r="E2669" s="8">
        <v>5.0494699999999995E-4</v>
      </c>
      <c r="F2669" s="8">
        <v>5.2459000000000002E-4</v>
      </c>
      <c r="G2669" s="8">
        <v>6.3048200000000003E-4</v>
      </c>
      <c r="H2669" s="8">
        <v>7.8257100000000003E-4</v>
      </c>
      <c r="I2669" s="8">
        <v>8.1678299999999996E-4</v>
      </c>
      <c r="J2669" s="8">
        <v>8.4283999999999997E-4</v>
      </c>
      <c r="K2669" s="8">
        <v>9.0233399999999997E-4</v>
      </c>
      <c r="L2669" s="8">
        <v>9.47521E-4</v>
      </c>
      <c r="M2669" s="8">
        <v>9.7631399999999896E-4</v>
      </c>
      <c r="N2669" s="8">
        <v>9.9417899999999998E-4</v>
      </c>
      <c r="O2669">
        <v>0</v>
      </c>
      <c r="P2669">
        <v>0</v>
      </c>
      <c r="Q2669">
        <v>0</v>
      </c>
      <c r="R2669" t="s">
        <v>243</v>
      </c>
    </row>
    <row r="2670" spans="1:18" x14ac:dyDescent="0.3">
      <c r="A2670" t="s">
        <v>259</v>
      </c>
      <c r="B2670" t="s">
        <v>60</v>
      </c>
      <c r="C2670" t="s">
        <v>308</v>
      </c>
      <c r="D2670" s="8">
        <v>4.8367199999999999E-4</v>
      </c>
      <c r="E2670" s="8">
        <v>6.1964099999999999E-4</v>
      </c>
      <c r="F2670" s="8">
        <v>6.2787599999999998E-4</v>
      </c>
      <c r="G2670" s="8">
        <v>7.44697E-4</v>
      </c>
      <c r="H2670" s="8">
        <v>8.9365199999999999E-4</v>
      </c>
      <c r="I2670" s="8">
        <v>9.2638799999999999E-4</v>
      </c>
      <c r="J2670" s="8">
        <v>9.5087800000000005E-4</v>
      </c>
      <c r="K2670">
        <v>1.008377E-3</v>
      </c>
      <c r="L2670">
        <v>1.0498840000000001E-3</v>
      </c>
      <c r="M2670">
        <v>1.075234E-3</v>
      </c>
      <c r="N2670">
        <v>1.089617E-3</v>
      </c>
      <c r="O2670">
        <v>0</v>
      </c>
      <c r="P2670">
        <v>0</v>
      </c>
      <c r="Q2670">
        <v>0</v>
      </c>
      <c r="R2670" t="s">
        <v>243</v>
      </c>
    </row>
    <row r="2671" spans="1:18" x14ac:dyDescent="0.3">
      <c r="A2671" t="s">
        <v>259</v>
      </c>
      <c r="B2671" t="s">
        <v>60</v>
      </c>
      <c r="C2671" t="s">
        <v>309</v>
      </c>
      <c r="D2671" s="8">
        <v>5.5795400000000005E-4</v>
      </c>
      <c r="E2671" s="8">
        <v>7.3642599999999999E-4</v>
      </c>
      <c r="F2671" s="8">
        <v>7.2066700000000003E-4</v>
      </c>
      <c r="G2671" s="8">
        <v>8.4989899999999999E-4</v>
      </c>
      <c r="H2671" s="8">
        <v>9.8901900000000005E-4</v>
      </c>
      <c r="I2671">
        <v>1.025427E-3</v>
      </c>
      <c r="J2671">
        <v>1.0476159999999999E-3</v>
      </c>
      <c r="K2671">
        <v>1.1009290000000001E-3</v>
      </c>
      <c r="L2671">
        <v>1.136883E-3</v>
      </c>
      <c r="M2671">
        <v>1.1547789999999899E-3</v>
      </c>
      <c r="N2671">
        <v>1.1633220000000001E-3</v>
      </c>
      <c r="O2671">
        <v>0</v>
      </c>
      <c r="P2671">
        <v>0</v>
      </c>
      <c r="Q2671">
        <v>0</v>
      </c>
      <c r="R2671" t="s">
        <v>243</v>
      </c>
    </row>
    <row r="2672" spans="1:18" x14ac:dyDescent="0.3">
      <c r="A2672" t="s">
        <v>259</v>
      </c>
      <c r="B2672" t="s">
        <v>60</v>
      </c>
      <c r="C2672" t="s">
        <v>310</v>
      </c>
      <c r="D2672" s="8">
        <v>6.4202200000000001E-4</v>
      </c>
      <c r="E2672" s="8">
        <v>8.5273300000000005E-4</v>
      </c>
      <c r="F2672" s="8">
        <v>8.0769900000000005E-4</v>
      </c>
      <c r="G2672" s="8">
        <v>9.4568199999999999E-4</v>
      </c>
      <c r="H2672">
        <v>1.0807270000000001E-3</v>
      </c>
      <c r="I2672">
        <v>1.119414E-3</v>
      </c>
      <c r="J2672">
        <v>1.1375000000000001E-3</v>
      </c>
      <c r="K2672">
        <v>1.1829459999999901E-3</v>
      </c>
      <c r="L2672">
        <v>1.21113199999999E-3</v>
      </c>
      <c r="M2672">
        <v>1.2229599999999999E-3</v>
      </c>
      <c r="N2672">
        <v>1.2259129999999999E-3</v>
      </c>
      <c r="O2672">
        <v>0</v>
      </c>
      <c r="P2672">
        <v>0</v>
      </c>
      <c r="Q2672">
        <v>0</v>
      </c>
      <c r="R2672" t="s">
        <v>243</v>
      </c>
    </row>
    <row r="2673" spans="1:18" x14ac:dyDescent="0.3">
      <c r="A2673" t="s">
        <v>259</v>
      </c>
      <c r="B2673" t="s">
        <v>60</v>
      </c>
      <c r="C2673" t="s">
        <v>311</v>
      </c>
      <c r="D2673" s="8">
        <v>7.3814499999999995E-4</v>
      </c>
      <c r="E2673" s="8">
        <v>9.7139700000000004E-4</v>
      </c>
      <c r="F2673" s="8">
        <v>8.9701799999999997E-4</v>
      </c>
      <c r="G2673">
        <v>1.03304E-3</v>
      </c>
      <c r="H2673">
        <v>1.1727059999999999E-3</v>
      </c>
      <c r="I2673">
        <v>1.209393E-3</v>
      </c>
      <c r="J2673">
        <v>1.2216110000000001E-3</v>
      </c>
      <c r="K2673">
        <v>1.2615090000000001E-3</v>
      </c>
      <c r="L2673">
        <v>1.284173E-3</v>
      </c>
      <c r="M2673">
        <v>1.2897029999999999E-3</v>
      </c>
      <c r="N2673">
        <v>1.2873170000000001E-3</v>
      </c>
      <c r="O2673">
        <v>0</v>
      </c>
      <c r="P2673">
        <v>0</v>
      </c>
      <c r="Q2673">
        <v>0</v>
      </c>
      <c r="R2673" t="s">
        <v>243</v>
      </c>
    </row>
    <row r="2674" spans="1:18" x14ac:dyDescent="0.3">
      <c r="A2674" t="s">
        <v>259</v>
      </c>
      <c r="B2674" t="s">
        <v>60</v>
      </c>
      <c r="C2674" t="s">
        <v>312</v>
      </c>
      <c r="D2674" s="8">
        <v>8.4549600000000005E-4</v>
      </c>
      <c r="E2674">
        <v>1.10816E-3</v>
      </c>
      <c r="F2674" s="8">
        <v>9.9642799999999994E-4</v>
      </c>
      <c r="G2674">
        <v>1.1433599999999999E-3</v>
      </c>
      <c r="H2674">
        <v>1.2677470000000001E-3</v>
      </c>
      <c r="I2674">
        <v>1.308161E-3</v>
      </c>
      <c r="J2674">
        <v>1.314632E-3</v>
      </c>
      <c r="K2674">
        <v>1.343468E-3</v>
      </c>
      <c r="L2674">
        <v>1.357037E-3</v>
      </c>
      <c r="M2674">
        <v>1.354938E-3</v>
      </c>
      <c r="N2674">
        <v>1.3470489999999999E-3</v>
      </c>
      <c r="O2674">
        <v>0</v>
      </c>
      <c r="P2674">
        <v>0</v>
      </c>
      <c r="Q2674">
        <v>0</v>
      </c>
      <c r="R2674" t="s">
        <v>243</v>
      </c>
    </row>
    <row r="2675" spans="1:18" x14ac:dyDescent="0.3">
      <c r="A2675" t="s">
        <v>259</v>
      </c>
      <c r="B2675" t="s">
        <v>60</v>
      </c>
      <c r="C2675" t="s">
        <v>313</v>
      </c>
      <c r="D2675">
        <v>1.02823E-3</v>
      </c>
      <c r="E2675">
        <v>1.2767799999999999E-3</v>
      </c>
      <c r="F2675">
        <v>1.13496E-3</v>
      </c>
      <c r="G2675">
        <v>1.27502E-3</v>
      </c>
      <c r="H2675">
        <v>1.3890879999999999E-3</v>
      </c>
      <c r="I2675">
        <v>1.4270789999999999E-3</v>
      </c>
      <c r="J2675">
        <v>1.4232279999999999E-3</v>
      </c>
      <c r="K2675">
        <v>1.439243E-3</v>
      </c>
      <c r="L2675">
        <v>1.4423050000000001E-3</v>
      </c>
      <c r="M2675">
        <v>1.4319490000000001E-3</v>
      </c>
      <c r="N2675">
        <v>1.4181699999999901E-3</v>
      </c>
      <c r="O2675">
        <v>0</v>
      </c>
      <c r="P2675">
        <v>0</v>
      </c>
      <c r="Q2675">
        <v>0</v>
      </c>
      <c r="R2675" t="s">
        <v>243</v>
      </c>
    </row>
    <row r="2676" spans="1:18" x14ac:dyDescent="0.3">
      <c r="A2676" t="s">
        <v>259</v>
      </c>
      <c r="B2676" t="s">
        <v>60</v>
      </c>
      <c r="C2676" t="s">
        <v>314</v>
      </c>
      <c r="D2676" s="8">
        <v>6.6502300000000002E-5</v>
      </c>
      <c r="E2676" s="8">
        <v>8.4267899999999993E-5</v>
      </c>
      <c r="F2676" s="8">
        <v>9.0483399999999995E-5</v>
      </c>
      <c r="G2676" s="8">
        <v>1.09973E-4</v>
      </c>
      <c r="H2676" s="8">
        <v>1.26816E-4</v>
      </c>
      <c r="I2676" s="8">
        <v>1.2961E-4</v>
      </c>
      <c r="J2676" s="8">
        <v>1.30579E-4</v>
      </c>
      <c r="K2676" s="8">
        <v>1.32218E-4</v>
      </c>
      <c r="L2676" s="8">
        <v>1.32356E-4</v>
      </c>
      <c r="M2676" s="8">
        <v>1.3126199999999999E-4</v>
      </c>
      <c r="N2676" s="8">
        <v>1.29319E-4</v>
      </c>
      <c r="O2676">
        <v>0</v>
      </c>
      <c r="P2676">
        <v>0</v>
      </c>
      <c r="Q2676">
        <v>0</v>
      </c>
      <c r="R2676" t="s">
        <v>243</v>
      </c>
    </row>
    <row r="2677" spans="1:18" x14ac:dyDescent="0.3">
      <c r="A2677" t="s">
        <v>259</v>
      </c>
      <c r="B2677" t="s">
        <v>60</v>
      </c>
      <c r="C2677" t="s">
        <v>315</v>
      </c>
      <c r="D2677" s="8">
        <v>1.9327299999999999E-4</v>
      </c>
      <c r="E2677" s="8">
        <v>2.4500200000000002E-4</v>
      </c>
      <c r="F2677" s="8">
        <v>2.1744200000000001E-4</v>
      </c>
      <c r="G2677" s="8">
        <v>2.4630000000000002E-4</v>
      </c>
      <c r="H2677" s="8">
        <v>2.4597300000000002E-4</v>
      </c>
      <c r="I2677" s="8">
        <v>2.48423E-4</v>
      </c>
      <c r="J2677" s="8">
        <v>2.4518100000000002E-4</v>
      </c>
      <c r="K2677" s="8">
        <v>2.4095400000000001E-4</v>
      </c>
      <c r="L2677" s="8">
        <v>2.3671200000000001E-4</v>
      </c>
      <c r="M2677" s="8">
        <v>2.3199000000000001E-4</v>
      </c>
      <c r="N2677" s="8">
        <v>2.2684300000000001E-4</v>
      </c>
      <c r="O2677">
        <v>0</v>
      </c>
      <c r="P2677">
        <v>0</v>
      </c>
      <c r="Q2677">
        <v>0</v>
      </c>
      <c r="R2677" t="s">
        <v>243</v>
      </c>
    </row>
    <row r="2678" spans="1:18" x14ac:dyDescent="0.3">
      <c r="A2678" t="s">
        <v>259</v>
      </c>
      <c r="B2678" t="s">
        <v>60</v>
      </c>
      <c r="C2678" t="s">
        <v>316</v>
      </c>
      <c r="D2678" s="8">
        <v>9.5694399999999996E-5</v>
      </c>
      <c r="E2678" s="8">
        <v>1.2484099999999999E-4</v>
      </c>
      <c r="F2678" s="8">
        <v>1.27222E-4</v>
      </c>
      <c r="G2678" s="8">
        <v>1.5001200000000001E-4</v>
      </c>
      <c r="H2678" s="8">
        <v>1.5726499999999999E-4</v>
      </c>
      <c r="I2678" s="8">
        <v>1.5946600000000001E-4</v>
      </c>
      <c r="J2678" s="8">
        <v>1.5902200000000001E-4</v>
      </c>
      <c r="K2678" s="8">
        <v>1.5812700000000001E-4</v>
      </c>
      <c r="L2678" s="8">
        <v>1.5650199999999999E-4</v>
      </c>
      <c r="M2678" s="8">
        <v>1.5417100000000001E-4</v>
      </c>
      <c r="N2678" s="8">
        <v>1.5132700000000001E-4</v>
      </c>
      <c r="O2678">
        <v>0</v>
      </c>
      <c r="P2678">
        <v>0</v>
      </c>
      <c r="Q2678">
        <v>0</v>
      </c>
      <c r="R2678" t="s">
        <v>243</v>
      </c>
    </row>
    <row r="2679" spans="1:18" x14ac:dyDescent="0.3">
      <c r="A2679" t="s">
        <v>259</v>
      </c>
      <c r="B2679" t="s">
        <v>60</v>
      </c>
      <c r="C2679" t="s">
        <v>317</v>
      </c>
      <c r="D2679" s="8">
        <v>1.14751E-4</v>
      </c>
      <c r="E2679" s="8">
        <v>1.4822199999999999E-4</v>
      </c>
      <c r="F2679" s="8">
        <v>1.44287E-4</v>
      </c>
      <c r="G2679" s="8">
        <v>1.6836499999999999E-4</v>
      </c>
      <c r="H2679" s="8">
        <v>1.71027E-4</v>
      </c>
      <c r="I2679" s="8">
        <v>1.7330199999999999E-4</v>
      </c>
      <c r="J2679" s="8">
        <v>1.7194399999999999E-4</v>
      </c>
      <c r="K2679" s="8">
        <v>1.7003600000000001E-4</v>
      </c>
      <c r="L2679" s="8">
        <v>1.6776900000000001E-4</v>
      </c>
      <c r="M2679" s="8">
        <v>1.6489599999999999E-4</v>
      </c>
      <c r="N2679" s="8">
        <v>1.6157899999999999E-4</v>
      </c>
      <c r="O2679">
        <v>0</v>
      </c>
      <c r="P2679">
        <v>0</v>
      </c>
      <c r="Q2679">
        <v>0</v>
      </c>
      <c r="R2679" t="s">
        <v>243</v>
      </c>
    </row>
    <row r="2680" spans="1:18" x14ac:dyDescent="0.3">
      <c r="A2680" t="s">
        <v>259</v>
      </c>
      <c r="B2680" t="s">
        <v>60</v>
      </c>
      <c r="C2680" t="s">
        <v>318</v>
      </c>
      <c r="D2680" s="8">
        <v>1.26215E-4</v>
      </c>
      <c r="E2680" s="8">
        <v>1.6420599999999999E-4</v>
      </c>
      <c r="F2680" s="8">
        <v>1.5586500000000001E-4</v>
      </c>
      <c r="G2680" s="8">
        <v>1.8017700000000001E-4</v>
      </c>
      <c r="H2680" s="8">
        <v>1.8028599999999999E-4</v>
      </c>
      <c r="I2680" s="8">
        <v>1.8217400000000001E-4</v>
      </c>
      <c r="J2680" s="8">
        <v>1.8049799999999999E-4</v>
      </c>
      <c r="K2680" s="8">
        <v>1.78183E-4</v>
      </c>
      <c r="L2680" s="8">
        <v>1.7565500000000001E-4</v>
      </c>
      <c r="M2680" s="8">
        <v>1.7269599999999999E-4</v>
      </c>
      <c r="N2680" s="8">
        <v>1.6930999999999999E-4</v>
      </c>
      <c r="O2680">
        <v>0</v>
      </c>
      <c r="P2680">
        <v>0</v>
      </c>
      <c r="Q2680">
        <v>0</v>
      </c>
      <c r="R2680" t="s">
        <v>243</v>
      </c>
    </row>
    <row r="2681" spans="1:18" x14ac:dyDescent="0.3">
      <c r="A2681" t="s">
        <v>259</v>
      </c>
      <c r="B2681" t="s">
        <v>60</v>
      </c>
      <c r="C2681" t="s">
        <v>319</v>
      </c>
      <c r="D2681" s="8">
        <v>1.36198E-4</v>
      </c>
      <c r="E2681" s="8">
        <v>1.7740599999999999E-4</v>
      </c>
      <c r="F2681" s="8">
        <v>1.64623E-4</v>
      </c>
      <c r="G2681" s="8">
        <v>1.8958899999999999E-4</v>
      </c>
      <c r="H2681" s="8">
        <v>1.87806E-4</v>
      </c>
      <c r="I2681" s="8">
        <v>1.8982800000000001E-4</v>
      </c>
      <c r="J2681" s="8">
        <v>1.8795500000000001E-4</v>
      </c>
      <c r="K2681" s="8">
        <v>1.8537E-4</v>
      </c>
      <c r="L2681" s="8">
        <v>1.82628E-4</v>
      </c>
      <c r="M2681" s="8">
        <v>1.7936100000000001E-4</v>
      </c>
      <c r="N2681" s="8">
        <v>1.75761E-4</v>
      </c>
      <c r="O2681">
        <v>0</v>
      </c>
      <c r="P2681">
        <v>0</v>
      </c>
      <c r="Q2681">
        <v>0</v>
      </c>
      <c r="R2681" t="s">
        <v>243</v>
      </c>
    </row>
    <row r="2682" spans="1:18" x14ac:dyDescent="0.3">
      <c r="A2682" t="s">
        <v>259</v>
      </c>
      <c r="B2682" t="s">
        <v>60</v>
      </c>
      <c r="C2682" t="s">
        <v>320</v>
      </c>
      <c r="D2682" s="8">
        <v>1.45909E-4</v>
      </c>
      <c r="E2682" s="8">
        <v>1.8833500000000001E-4</v>
      </c>
      <c r="F2682" s="8">
        <v>1.71888E-4</v>
      </c>
      <c r="G2682" s="8">
        <v>1.97395E-4</v>
      </c>
      <c r="H2682" s="8">
        <v>1.9494599999999999E-4</v>
      </c>
      <c r="I2682" s="8">
        <v>1.9703E-4</v>
      </c>
      <c r="J2682" s="8">
        <v>1.9493700000000001E-4</v>
      </c>
      <c r="K2682" s="8">
        <v>1.91991E-4</v>
      </c>
      <c r="L2682" s="8">
        <v>1.88949E-4</v>
      </c>
      <c r="M2682" s="8">
        <v>1.8552799999999999E-4</v>
      </c>
      <c r="N2682" s="8">
        <v>1.8173399999999999E-4</v>
      </c>
      <c r="O2682">
        <v>0</v>
      </c>
      <c r="P2682">
        <v>0</v>
      </c>
      <c r="Q2682">
        <v>0</v>
      </c>
      <c r="R2682" t="s">
        <v>243</v>
      </c>
    </row>
    <row r="2683" spans="1:18" x14ac:dyDescent="0.3">
      <c r="A2683" t="s">
        <v>259</v>
      </c>
      <c r="B2683" t="s">
        <v>60</v>
      </c>
      <c r="C2683" t="s">
        <v>321</v>
      </c>
      <c r="D2683" s="8">
        <v>1.5535599999999999E-4</v>
      </c>
      <c r="E2683" s="8">
        <v>1.97887E-4</v>
      </c>
      <c r="F2683" s="8">
        <v>1.7872600000000001E-4</v>
      </c>
      <c r="G2683" s="8">
        <v>2.0414900000000001E-4</v>
      </c>
      <c r="H2683" s="8">
        <v>2.02229E-4</v>
      </c>
      <c r="I2683" s="8">
        <v>2.04064E-4</v>
      </c>
      <c r="J2683" s="8">
        <v>2.01695E-4</v>
      </c>
      <c r="K2683" s="8">
        <v>1.9873800000000001E-4</v>
      </c>
      <c r="L2683" s="8">
        <v>1.95682E-4</v>
      </c>
      <c r="M2683" s="8">
        <v>1.9213100000000001E-4</v>
      </c>
      <c r="N2683" s="8">
        <v>1.8818E-4</v>
      </c>
      <c r="O2683">
        <v>0</v>
      </c>
      <c r="P2683">
        <v>0</v>
      </c>
      <c r="Q2683">
        <v>0</v>
      </c>
      <c r="R2683" t="s">
        <v>243</v>
      </c>
    </row>
    <row r="2684" spans="1:18" x14ac:dyDescent="0.3">
      <c r="A2684" t="s">
        <v>259</v>
      </c>
      <c r="B2684" t="s">
        <v>60</v>
      </c>
      <c r="C2684" t="s">
        <v>322</v>
      </c>
      <c r="D2684" s="8">
        <v>1.6428600000000001E-4</v>
      </c>
      <c r="E2684" s="8">
        <v>2.07579E-4</v>
      </c>
      <c r="F2684" s="8">
        <v>1.85921E-4</v>
      </c>
      <c r="G2684" s="8">
        <v>2.1247200000000001E-4</v>
      </c>
      <c r="H2684" s="8">
        <v>2.1001099999999999E-4</v>
      </c>
      <c r="I2684" s="8">
        <v>2.12143E-4</v>
      </c>
      <c r="J2684" s="8">
        <v>2.0966299999999999E-4</v>
      </c>
      <c r="K2684" s="8">
        <v>2.0639899999999999E-4</v>
      </c>
      <c r="L2684" s="8">
        <v>2.0309500000000001E-4</v>
      </c>
      <c r="M2684" s="8">
        <v>1.9929400000000001E-4</v>
      </c>
      <c r="N2684" s="8">
        <v>1.95114E-4</v>
      </c>
      <c r="O2684">
        <v>0</v>
      </c>
      <c r="P2684">
        <v>0</v>
      </c>
      <c r="Q2684">
        <v>0</v>
      </c>
      <c r="R2684" t="s">
        <v>243</v>
      </c>
    </row>
    <row r="2685" spans="1:18" x14ac:dyDescent="0.3">
      <c r="A2685" t="s">
        <v>259</v>
      </c>
      <c r="B2685" t="s">
        <v>60</v>
      </c>
      <c r="C2685" t="s">
        <v>323</v>
      </c>
      <c r="D2685" s="8">
        <v>1.7676399999999999E-4</v>
      </c>
      <c r="E2685" s="8">
        <v>2.1844599999999999E-4</v>
      </c>
      <c r="F2685" s="8">
        <v>1.9574600000000001E-4</v>
      </c>
      <c r="G2685" s="8">
        <v>2.2252599999999999E-4</v>
      </c>
      <c r="H2685" s="8">
        <v>2.20831E-4</v>
      </c>
      <c r="I2685" s="8">
        <v>2.22795E-4</v>
      </c>
      <c r="J2685" s="8">
        <v>2.2000599999999999E-4</v>
      </c>
      <c r="K2685" s="8">
        <v>2.1653500000000001E-4</v>
      </c>
      <c r="L2685" s="8">
        <v>2.1292300000000001E-4</v>
      </c>
      <c r="M2685" s="8">
        <v>2.08777E-4</v>
      </c>
      <c r="N2685" s="8">
        <v>2.0423899999999999E-4</v>
      </c>
      <c r="O2685">
        <v>0</v>
      </c>
      <c r="P2685">
        <v>0</v>
      </c>
      <c r="Q2685">
        <v>0</v>
      </c>
      <c r="R2685" t="s">
        <v>243</v>
      </c>
    </row>
    <row r="2686" spans="1:18" x14ac:dyDescent="0.3">
      <c r="A2686" t="s">
        <v>259</v>
      </c>
      <c r="B2686" t="s">
        <v>58</v>
      </c>
      <c r="C2686" t="s">
        <v>261</v>
      </c>
      <c r="D2686" s="8">
        <v>1.2586069999999901E-4</v>
      </c>
      <c r="E2686" s="8">
        <v>4.3927684E-4</v>
      </c>
      <c r="F2686" s="8">
        <v>5.6548291000000001E-4</v>
      </c>
      <c r="G2686" s="8">
        <v>5.9951716999999904E-4</v>
      </c>
      <c r="H2686" s="8">
        <v>6.2772651999999998E-4</v>
      </c>
      <c r="I2686" s="8">
        <v>6.8319907700000002E-4</v>
      </c>
      <c r="J2686" s="8">
        <v>6.8535328700000003E-4</v>
      </c>
      <c r="K2686" s="8">
        <v>6.8601738500000001E-4</v>
      </c>
      <c r="L2686" s="8">
        <v>6.7086158499999997E-4</v>
      </c>
      <c r="M2686" s="8">
        <v>6.4354138099999997E-4</v>
      </c>
      <c r="N2686" s="8">
        <v>6.1821161699999896E-4</v>
      </c>
      <c r="O2686">
        <v>0</v>
      </c>
      <c r="P2686">
        <v>0</v>
      </c>
      <c r="Q2686">
        <v>0</v>
      </c>
      <c r="R2686" t="s">
        <v>243</v>
      </c>
    </row>
    <row r="2687" spans="1:18" x14ac:dyDescent="0.3">
      <c r="A2687" t="s">
        <v>259</v>
      </c>
      <c r="B2687" t="s">
        <v>58</v>
      </c>
      <c r="C2687" t="s">
        <v>262</v>
      </c>
      <c r="D2687">
        <v>6.6072879999999898E-3</v>
      </c>
      <c r="E2687">
        <v>9.4929115999999904E-3</v>
      </c>
      <c r="F2687">
        <v>9.5686980000000005E-3</v>
      </c>
      <c r="G2687">
        <v>6.6597399999999999E-3</v>
      </c>
      <c r="H2687">
        <v>6.1185220200000003E-3</v>
      </c>
      <c r="I2687">
        <v>6.1441719111999899E-3</v>
      </c>
      <c r="J2687">
        <v>5.8796875026999899E-3</v>
      </c>
      <c r="K2687">
        <v>5.1934768576000004E-3</v>
      </c>
      <c r="L2687">
        <v>4.1942475135999897E-3</v>
      </c>
      <c r="M2687">
        <v>3.91461527853E-3</v>
      </c>
      <c r="N2687">
        <v>3.6721069009999999E-3</v>
      </c>
      <c r="O2687">
        <v>0</v>
      </c>
      <c r="P2687">
        <v>0</v>
      </c>
      <c r="Q2687">
        <v>0</v>
      </c>
      <c r="R2687" t="s">
        <v>243</v>
      </c>
    </row>
    <row r="2688" spans="1:18" x14ac:dyDescent="0.3">
      <c r="A2688" t="s">
        <v>259</v>
      </c>
      <c r="B2688" t="s">
        <v>58</v>
      </c>
      <c r="C2688" t="s">
        <v>263</v>
      </c>
      <c r="D2688">
        <v>4.8623649999999996E-3</v>
      </c>
      <c r="E2688">
        <v>1.03253188E-2</v>
      </c>
      <c r="F2688">
        <v>1.21478979999999E-2</v>
      </c>
      <c r="G2688">
        <v>1.1641877E-2</v>
      </c>
      <c r="H2688">
        <v>1.18945999E-2</v>
      </c>
      <c r="I2688">
        <v>1.3295774240999999E-2</v>
      </c>
      <c r="J2688">
        <v>1.4170200650000001E-2</v>
      </c>
      <c r="K2688">
        <v>1.4601485520000001E-2</v>
      </c>
      <c r="L2688">
        <v>1.477331931E-2</v>
      </c>
      <c r="M2688">
        <v>1.47775935E-2</v>
      </c>
      <c r="N2688">
        <v>1.4753341919999999E-2</v>
      </c>
      <c r="O2688">
        <v>0</v>
      </c>
      <c r="P2688">
        <v>0</v>
      </c>
      <c r="Q2688">
        <v>0</v>
      </c>
      <c r="R2688" t="s">
        <v>243</v>
      </c>
    </row>
    <row r="2689" spans="1:18" x14ac:dyDescent="0.3">
      <c r="A2689" t="s">
        <v>259</v>
      </c>
      <c r="B2689" t="s">
        <v>58</v>
      </c>
      <c r="C2689" t="s">
        <v>264</v>
      </c>
      <c r="D2689" s="8">
        <v>3.3422421999999998E-4</v>
      </c>
      <c r="E2689" s="8">
        <v>9.0732889999999998E-4</v>
      </c>
      <c r="F2689" s="8">
        <v>8.9747189999999895E-4</v>
      </c>
      <c r="G2689" s="8">
        <v>8.2219610000000001E-4</v>
      </c>
      <c r="H2689" s="8">
        <v>8.4700781000000001E-4</v>
      </c>
      <c r="I2689" s="8">
        <v>9.4425304999999995E-4</v>
      </c>
      <c r="J2689" s="8">
        <v>9.7741937999999999E-4</v>
      </c>
      <c r="K2689" s="8">
        <v>9.9435258000000006E-4</v>
      </c>
      <c r="L2689" s="8">
        <v>9.8026251999999898E-4</v>
      </c>
      <c r="M2689" s="8">
        <v>9.4917981999999995E-4</v>
      </c>
      <c r="N2689" s="8">
        <v>9.1954792999999905E-4</v>
      </c>
      <c r="O2689">
        <v>0</v>
      </c>
      <c r="P2689">
        <v>0</v>
      </c>
      <c r="Q2689">
        <v>0</v>
      </c>
      <c r="R2689" t="s">
        <v>243</v>
      </c>
    </row>
    <row r="2690" spans="1:18" x14ac:dyDescent="0.3">
      <c r="A2690" t="s">
        <v>259</v>
      </c>
      <c r="B2690" t="s">
        <v>58</v>
      </c>
      <c r="C2690" t="s">
        <v>265</v>
      </c>
      <c r="D2690" s="8">
        <v>6.9505257000000004E-4</v>
      </c>
      <c r="E2690">
        <v>1.8883611999999999E-3</v>
      </c>
      <c r="F2690">
        <v>1.7916655E-3</v>
      </c>
      <c r="G2690">
        <v>1.6131126000000001E-3</v>
      </c>
      <c r="H2690">
        <v>1.6106664000000001E-3</v>
      </c>
      <c r="I2690">
        <v>1.67768699E-3</v>
      </c>
      <c r="J2690">
        <v>1.6953279E-3</v>
      </c>
      <c r="K2690">
        <v>1.71362063E-3</v>
      </c>
      <c r="L2690">
        <v>1.68772222999999E-3</v>
      </c>
      <c r="M2690">
        <v>1.6358026299999899E-3</v>
      </c>
      <c r="N2690">
        <v>1.5861811199999901E-3</v>
      </c>
      <c r="O2690">
        <v>0</v>
      </c>
      <c r="P2690">
        <v>0</v>
      </c>
      <c r="Q2690">
        <v>0</v>
      </c>
      <c r="R2690" t="s">
        <v>243</v>
      </c>
    </row>
    <row r="2691" spans="1:18" x14ac:dyDescent="0.3">
      <c r="A2691" t="s">
        <v>259</v>
      </c>
      <c r="B2691" t="s">
        <v>58</v>
      </c>
      <c r="C2691" t="s">
        <v>266</v>
      </c>
      <c r="D2691" s="8">
        <v>4.3213942999999899E-4</v>
      </c>
      <c r="E2691">
        <v>1.1589594999999999E-3</v>
      </c>
      <c r="F2691">
        <v>1.1445729999999901E-3</v>
      </c>
      <c r="G2691">
        <v>1.0424907999999999E-3</v>
      </c>
      <c r="H2691">
        <v>1.0467404499999999E-3</v>
      </c>
      <c r="I2691">
        <v>1.1163530400000001E-3</v>
      </c>
      <c r="J2691">
        <v>1.1380901299999999E-3</v>
      </c>
      <c r="K2691">
        <v>1.1543691300000001E-3</v>
      </c>
      <c r="L2691">
        <v>1.13809781999999E-3</v>
      </c>
      <c r="M2691">
        <v>1.1033404699999901E-3</v>
      </c>
      <c r="N2691">
        <v>1.07042506999999E-3</v>
      </c>
      <c r="O2691">
        <v>0</v>
      </c>
      <c r="P2691">
        <v>0</v>
      </c>
      <c r="Q2691">
        <v>0</v>
      </c>
      <c r="R2691" t="s">
        <v>243</v>
      </c>
    </row>
    <row r="2692" spans="1:18" x14ac:dyDescent="0.3">
      <c r="A2692" t="s">
        <v>259</v>
      </c>
      <c r="B2692" t="s">
        <v>58</v>
      </c>
      <c r="C2692" t="s">
        <v>267</v>
      </c>
      <c r="D2692" s="8">
        <v>4.8536790999999902E-4</v>
      </c>
      <c r="E2692">
        <v>1.2810472000000001E-3</v>
      </c>
      <c r="F2692">
        <v>1.2514392000000001E-3</v>
      </c>
      <c r="G2692">
        <v>1.14005929999999E-3</v>
      </c>
      <c r="H2692">
        <v>1.1359250600000001E-3</v>
      </c>
      <c r="I2692">
        <v>1.1994602799999901E-3</v>
      </c>
      <c r="J2692">
        <v>1.2173510300000001E-3</v>
      </c>
      <c r="K2692">
        <v>1.23309035E-3</v>
      </c>
      <c r="L2692">
        <v>1.21497909E-3</v>
      </c>
      <c r="M2692">
        <v>1.1769538700000001E-3</v>
      </c>
      <c r="N2692">
        <v>1.14092165E-3</v>
      </c>
      <c r="O2692">
        <v>0</v>
      </c>
      <c r="P2692">
        <v>0</v>
      </c>
      <c r="Q2692">
        <v>0</v>
      </c>
      <c r="R2692" t="s">
        <v>243</v>
      </c>
    </row>
    <row r="2693" spans="1:18" x14ac:dyDescent="0.3">
      <c r="A2693" t="s">
        <v>259</v>
      </c>
      <c r="B2693" t="s">
        <v>58</v>
      </c>
      <c r="C2693" t="s">
        <v>268</v>
      </c>
      <c r="D2693" s="8">
        <v>5.1457664000000003E-4</v>
      </c>
      <c r="E2693">
        <v>1.3628182000000001E-3</v>
      </c>
      <c r="F2693">
        <v>1.3259394000000001E-3</v>
      </c>
      <c r="G2693">
        <v>1.2050763999999999E-3</v>
      </c>
      <c r="H2693">
        <v>1.19558308E-3</v>
      </c>
      <c r="I2693">
        <v>1.2547808999999999E-3</v>
      </c>
      <c r="J2693">
        <v>1.27210499E-3</v>
      </c>
      <c r="K2693">
        <v>1.2881826999999999E-3</v>
      </c>
      <c r="L2693">
        <v>1.26931784E-3</v>
      </c>
      <c r="M2693">
        <v>1.2305721100000001E-3</v>
      </c>
      <c r="N2693">
        <v>1.1939715E-3</v>
      </c>
      <c r="O2693">
        <v>0</v>
      </c>
      <c r="P2693">
        <v>0</v>
      </c>
      <c r="Q2693">
        <v>0</v>
      </c>
      <c r="R2693" t="s">
        <v>243</v>
      </c>
    </row>
    <row r="2694" spans="1:18" x14ac:dyDescent="0.3">
      <c r="A2694" t="s">
        <v>259</v>
      </c>
      <c r="B2694" t="s">
        <v>58</v>
      </c>
      <c r="C2694" t="s">
        <v>269</v>
      </c>
      <c r="D2694" s="8">
        <v>5.3898065999999996E-4</v>
      </c>
      <c r="E2694">
        <v>1.4332196000000001E-3</v>
      </c>
      <c r="F2694">
        <v>1.3851906999999999E-3</v>
      </c>
      <c r="G2694">
        <v>1.2591975999999901E-3</v>
      </c>
      <c r="H2694">
        <v>1.2439873099999901E-3</v>
      </c>
      <c r="I2694">
        <v>1.30350548E-3</v>
      </c>
      <c r="J2694">
        <v>1.3207527499999999E-3</v>
      </c>
      <c r="K2694">
        <v>1.33712164E-3</v>
      </c>
      <c r="L2694">
        <v>1.31740577E-3</v>
      </c>
      <c r="M2694">
        <v>1.2764056299999901E-3</v>
      </c>
      <c r="N2694">
        <v>1.2382109000000001E-3</v>
      </c>
      <c r="O2694">
        <v>0</v>
      </c>
      <c r="P2694">
        <v>0</v>
      </c>
      <c r="Q2694">
        <v>0</v>
      </c>
      <c r="R2694" t="s">
        <v>243</v>
      </c>
    </row>
    <row r="2695" spans="1:18" x14ac:dyDescent="0.3">
      <c r="A2695" t="s">
        <v>259</v>
      </c>
      <c r="B2695" t="s">
        <v>58</v>
      </c>
      <c r="C2695" t="s">
        <v>270</v>
      </c>
      <c r="D2695" s="8">
        <v>5.6239653999999996E-4</v>
      </c>
      <c r="E2695">
        <v>1.495667E-3</v>
      </c>
      <c r="F2695">
        <v>1.4368571E-3</v>
      </c>
      <c r="G2695">
        <v>1.3057895000000001E-3</v>
      </c>
      <c r="H2695">
        <v>1.2894949399999999E-3</v>
      </c>
      <c r="I2695">
        <v>1.3496048200000001E-3</v>
      </c>
      <c r="J2695">
        <v>1.36659891E-3</v>
      </c>
      <c r="K2695">
        <v>1.3822676099999999E-3</v>
      </c>
      <c r="L2695">
        <v>1.3609830399999999E-3</v>
      </c>
      <c r="M2695">
        <v>1.3187304399999999E-3</v>
      </c>
      <c r="N2695">
        <v>1.27910461E-3</v>
      </c>
      <c r="O2695">
        <v>0</v>
      </c>
      <c r="P2695">
        <v>0</v>
      </c>
      <c r="Q2695">
        <v>0</v>
      </c>
      <c r="R2695" t="s">
        <v>243</v>
      </c>
    </row>
    <row r="2696" spans="1:18" x14ac:dyDescent="0.3">
      <c r="A2696" t="s">
        <v>259</v>
      </c>
      <c r="B2696" t="s">
        <v>58</v>
      </c>
      <c r="C2696" t="s">
        <v>271</v>
      </c>
      <c r="D2696" s="8">
        <v>5.8551942E-4</v>
      </c>
      <c r="E2696">
        <v>1.5544428999999999E-3</v>
      </c>
      <c r="F2696">
        <v>1.4875754E-3</v>
      </c>
      <c r="G2696">
        <v>1.3471671000000001E-3</v>
      </c>
      <c r="H2696">
        <v>1.33536766999999E-3</v>
      </c>
      <c r="I2696">
        <v>1.3945245399999901E-3</v>
      </c>
      <c r="J2696">
        <v>1.4109843900000001E-3</v>
      </c>
      <c r="K2696">
        <v>1.42815488E-3</v>
      </c>
      <c r="L2696">
        <v>1.4072625899999901E-3</v>
      </c>
      <c r="M2696">
        <v>1.36401659E-3</v>
      </c>
      <c r="N2696">
        <v>1.3231577699999999E-3</v>
      </c>
      <c r="O2696">
        <v>0</v>
      </c>
      <c r="P2696">
        <v>0</v>
      </c>
      <c r="Q2696">
        <v>0</v>
      </c>
      <c r="R2696" t="s">
        <v>243</v>
      </c>
    </row>
    <row r="2697" spans="1:18" x14ac:dyDescent="0.3">
      <c r="A2697" t="s">
        <v>259</v>
      </c>
      <c r="B2697" t="s">
        <v>58</v>
      </c>
      <c r="C2697" t="s">
        <v>272</v>
      </c>
      <c r="D2697" s="8">
        <v>6.0837407999999996E-4</v>
      </c>
      <c r="E2697">
        <v>1.6183991E-3</v>
      </c>
      <c r="F2697">
        <v>1.5427272999999999E-3</v>
      </c>
      <c r="G2697">
        <v>1.3991245E-3</v>
      </c>
      <c r="H2697">
        <v>1.3848692E-3</v>
      </c>
      <c r="I2697">
        <v>1.44653246999999E-3</v>
      </c>
      <c r="J2697">
        <v>1.46339423E-3</v>
      </c>
      <c r="K2697">
        <v>1.4802410099999999E-3</v>
      </c>
      <c r="L2697">
        <v>1.4581676E-3</v>
      </c>
      <c r="M2697">
        <v>1.4130310100000001E-3</v>
      </c>
      <c r="N2697">
        <v>1.37049691E-3</v>
      </c>
      <c r="O2697">
        <v>0</v>
      </c>
      <c r="P2697">
        <v>0</v>
      </c>
      <c r="Q2697">
        <v>0</v>
      </c>
      <c r="R2697" t="s">
        <v>243</v>
      </c>
    </row>
    <row r="2698" spans="1:18" x14ac:dyDescent="0.3">
      <c r="A2698" t="s">
        <v>259</v>
      </c>
      <c r="B2698" t="s">
        <v>58</v>
      </c>
      <c r="C2698" t="s">
        <v>273</v>
      </c>
      <c r="D2698" s="8">
        <v>6.4310298999999897E-4</v>
      </c>
      <c r="E2698">
        <v>1.6944713999999901E-3</v>
      </c>
      <c r="F2698">
        <v>1.6198134E-3</v>
      </c>
      <c r="G2698">
        <v>1.4625948000000001E-3</v>
      </c>
      <c r="H2698">
        <v>1.4529173999999899E-3</v>
      </c>
      <c r="I2698">
        <v>1.5145950999999999E-3</v>
      </c>
      <c r="J2698">
        <v>1.53114809E-3</v>
      </c>
      <c r="K2698">
        <v>1.54890917E-3</v>
      </c>
      <c r="L2698">
        <v>1.5254919900000001E-3</v>
      </c>
      <c r="M2698">
        <v>1.47783486E-3</v>
      </c>
      <c r="N2698">
        <v>1.4326760200000001E-3</v>
      </c>
      <c r="O2698">
        <v>0</v>
      </c>
      <c r="P2698">
        <v>0</v>
      </c>
      <c r="Q2698">
        <v>0</v>
      </c>
      <c r="R2698" t="s">
        <v>243</v>
      </c>
    </row>
    <row r="2699" spans="1:18" x14ac:dyDescent="0.3">
      <c r="A2699" t="s">
        <v>259</v>
      </c>
      <c r="B2699" t="s">
        <v>58</v>
      </c>
      <c r="C2699" t="s">
        <v>274</v>
      </c>
      <c r="D2699" s="8">
        <v>1.268684077E-5</v>
      </c>
      <c r="E2699" s="8">
        <v>1.6754735019999999E-5</v>
      </c>
      <c r="F2699" s="8">
        <v>1.9167136239999999E-5</v>
      </c>
      <c r="G2699" s="8">
        <v>1.9398342450000001E-5</v>
      </c>
      <c r="H2699" s="8">
        <v>3.3012867010000003E-5</v>
      </c>
      <c r="I2699" s="8">
        <v>3.41940314599999E-5</v>
      </c>
      <c r="J2699" s="8">
        <v>3.3231816249999999E-5</v>
      </c>
      <c r="K2699" s="8">
        <v>3.2181282845000001E-5</v>
      </c>
      <c r="L2699" s="8">
        <v>3.0854250892999999E-5</v>
      </c>
      <c r="M2699" s="8">
        <v>2.9101435704000001E-5</v>
      </c>
      <c r="N2699" s="8">
        <v>2.7446244134000001E-5</v>
      </c>
      <c r="O2699">
        <v>0</v>
      </c>
      <c r="P2699">
        <v>0</v>
      </c>
      <c r="Q2699">
        <v>0</v>
      </c>
      <c r="R2699" t="s">
        <v>243</v>
      </c>
    </row>
    <row r="2700" spans="1:18" x14ac:dyDescent="0.3">
      <c r="A2700" t="s">
        <v>259</v>
      </c>
      <c r="B2700" t="s">
        <v>58</v>
      </c>
      <c r="C2700" t="s">
        <v>275</v>
      </c>
      <c r="D2700" s="8">
        <v>2.66520003E-5</v>
      </c>
      <c r="E2700" s="8">
        <v>3.5948263000000002E-5</v>
      </c>
      <c r="F2700" s="8">
        <v>3.84547129E-5</v>
      </c>
      <c r="G2700" s="8">
        <v>3.7959102399999999E-5</v>
      </c>
      <c r="H2700" s="8">
        <v>4.9489882589999999E-5</v>
      </c>
      <c r="I2700" s="8">
        <v>4.9558778149999998E-5</v>
      </c>
      <c r="J2700" s="8">
        <v>4.6923208819999999E-5</v>
      </c>
      <c r="K2700" s="8">
        <v>4.4823805667000001E-5</v>
      </c>
      <c r="L2700" s="8">
        <v>4.2521096569999998E-5</v>
      </c>
      <c r="M2700" s="8">
        <v>3.9743080677000002E-5</v>
      </c>
      <c r="N2700" s="8">
        <v>3.7190169884000003E-5</v>
      </c>
      <c r="O2700">
        <v>0</v>
      </c>
      <c r="P2700">
        <v>0</v>
      </c>
      <c r="Q2700">
        <v>0</v>
      </c>
      <c r="R2700" t="s">
        <v>243</v>
      </c>
    </row>
    <row r="2701" spans="1:18" x14ac:dyDescent="0.3">
      <c r="A2701" t="s">
        <v>259</v>
      </c>
      <c r="B2701" t="s">
        <v>58</v>
      </c>
      <c r="C2701" t="s">
        <v>276</v>
      </c>
      <c r="D2701" s="8">
        <v>1.647767566E-5</v>
      </c>
      <c r="E2701" s="8">
        <v>2.181248699E-5</v>
      </c>
      <c r="F2701" s="8">
        <v>2.4526835999999999E-5</v>
      </c>
      <c r="G2701" s="8">
        <v>2.455108029E-5</v>
      </c>
      <c r="H2701" s="8">
        <v>3.7213408930000001E-5</v>
      </c>
      <c r="I2701" s="8">
        <v>3.7916857520000003E-5</v>
      </c>
      <c r="J2701" s="8">
        <v>3.645721626E-5</v>
      </c>
      <c r="K2701" s="8">
        <v>3.510516221E-5</v>
      </c>
      <c r="L2701" s="8">
        <v>3.3541478779999997E-5</v>
      </c>
      <c r="M2701" s="8">
        <v>3.1561735709E-5</v>
      </c>
      <c r="N2701" s="8">
        <v>2.9725303577999999E-5</v>
      </c>
      <c r="O2701">
        <v>0</v>
      </c>
      <c r="P2701">
        <v>0</v>
      </c>
      <c r="Q2701">
        <v>0</v>
      </c>
      <c r="R2701" t="s">
        <v>243</v>
      </c>
    </row>
    <row r="2702" spans="1:18" x14ac:dyDescent="0.3">
      <c r="A2702" t="s">
        <v>259</v>
      </c>
      <c r="B2702" t="s">
        <v>58</v>
      </c>
      <c r="C2702" t="s">
        <v>277</v>
      </c>
      <c r="D2702" s="8">
        <v>1.855027882E-5</v>
      </c>
      <c r="E2702" s="8">
        <v>2.4271087239999999E-5</v>
      </c>
      <c r="F2702" s="8">
        <v>2.6842413590000001E-5</v>
      </c>
      <c r="G2702" s="8">
        <v>2.6835750839999899E-5</v>
      </c>
      <c r="H2702" s="8">
        <v>3.9058556470000001E-5</v>
      </c>
      <c r="I2702" s="8">
        <v>3.9653353849999901E-5</v>
      </c>
      <c r="J2702" s="8">
        <v>3.7974861559999998E-5</v>
      </c>
      <c r="K2702" s="8">
        <v>3.65052982199999E-5</v>
      </c>
      <c r="L2702" s="8">
        <v>3.4831155439999901E-5</v>
      </c>
      <c r="M2702" s="8">
        <v>3.2728204522999999E-5</v>
      </c>
      <c r="N2702" s="8">
        <v>3.0784071026999998E-5</v>
      </c>
      <c r="O2702">
        <v>0</v>
      </c>
      <c r="P2702">
        <v>0</v>
      </c>
      <c r="Q2702">
        <v>0</v>
      </c>
      <c r="R2702" t="s">
        <v>243</v>
      </c>
    </row>
    <row r="2703" spans="1:18" x14ac:dyDescent="0.3">
      <c r="A2703" t="s">
        <v>259</v>
      </c>
      <c r="B2703" t="s">
        <v>58</v>
      </c>
      <c r="C2703" t="s">
        <v>278</v>
      </c>
      <c r="D2703" s="8">
        <v>1.968832967E-5</v>
      </c>
      <c r="E2703" s="8">
        <v>2.5890280160000001E-5</v>
      </c>
      <c r="F2703" s="8">
        <v>2.8450753639999999E-5</v>
      </c>
      <c r="G2703" s="8">
        <v>2.8360965260000001E-5</v>
      </c>
      <c r="H2703" s="8">
        <v>4.0321827679999898E-5</v>
      </c>
      <c r="I2703" s="8">
        <v>4.0800350249999999E-5</v>
      </c>
      <c r="J2703" s="8">
        <v>3.9004651219999998E-5</v>
      </c>
      <c r="K2703" s="8">
        <v>3.7468662605000003E-5</v>
      </c>
      <c r="L2703" s="8">
        <v>3.5726644319999999E-5</v>
      </c>
      <c r="M2703" s="8">
        <v>3.3563349408999899E-5</v>
      </c>
      <c r="N2703" s="8">
        <v>3.1567982981999899E-5</v>
      </c>
      <c r="O2703">
        <v>0</v>
      </c>
      <c r="P2703">
        <v>0</v>
      </c>
      <c r="Q2703">
        <v>0</v>
      </c>
      <c r="R2703" t="s">
        <v>243</v>
      </c>
    </row>
    <row r="2704" spans="1:18" x14ac:dyDescent="0.3">
      <c r="A2704" t="s">
        <v>259</v>
      </c>
      <c r="B2704" t="s">
        <v>58</v>
      </c>
      <c r="C2704" t="s">
        <v>279</v>
      </c>
      <c r="D2704" s="8">
        <v>2.0637989339999999E-5</v>
      </c>
      <c r="E2704" s="8">
        <v>2.7261782329999999E-5</v>
      </c>
      <c r="F2704" s="8">
        <v>2.9726982189999999E-5</v>
      </c>
      <c r="G2704" s="8">
        <v>2.963229404E-5</v>
      </c>
      <c r="H2704" s="8">
        <v>4.1367835820000002E-5</v>
      </c>
      <c r="I2704" s="8">
        <v>4.1814006490000001E-5</v>
      </c>
      <c r="J2704" s="8">
        <v>3.992701422E-5</v>
      </c>
      <c r="K2704" s="8">
        <v>3.8336133793000001E-5</v>
      </c>
      <c r="L2704" s="8">
        <v>3.6533002009999898E-5</v>
      </c>
      <c r="M2704" s="8">
        <v>3.4289753507999997E-5</v>
      </c>
      <c r="N2704" s="8">
        <v>3.2233024156999902E-5</v>
      </c>
      <c r="O2704">
        <v>0</v>
      </c>
      <c r="P2704">
        <v>0</v>
      </c>
      <c r="Q2704">
        <v>0</v>
      </c>
      <c r="R2704" t="s">
        <v>243</v>
      </c>
    </row>
    <row r="2705" spans="1:18" x14ac:dyDescent="0.3">
      <c r="A2705" t="s">
        <v>259</v>
      </c>
      <c r="B2705" t="s">
        <v>58</v>
      </c>
      <c r="C2705" t="s">
        <v>280</v>
      </c>
      <c r="D2705" s="8">
        <v>2.15474295E-5</v>
      </c>
      <c r="E2705" s="8">
        <v>2.8464422699999999E-5</v>
      </c>
      <c r="F2705" s="8">
        <v>3.0837755199999998E-5</v>
      </c>
      <c r="G2705" s="8">
        <v>3.0727963599999901E-5</v>
      </c>
      <c r="H2705" s="8">
        <v>4.2366518869999999E-5</v>
      </c>
      <c r="I2705" s="8">
        <v>4.2773342259999901E-5</v>
      </c>
      <c r="J2705" s="8">
        <v>4.0792179159999999E-5</v>
      </c>
      <c r="K2705" s="8">
        <v>3.9126414133999898E-5</v>
      </c>
      <c r="L2705" s="8">
        <v>3.7250719169999998E-5</v>
      </c>
      <c r="M2705" s="8">
        <v>3.4947060507999899E-5</v>
      </c>
      <c r="N2705" s="8">
        <v>3.2832379246000001E-5</v>
      </c>
      <c r="O2705">
        <v>0</v>
      </c>
      <c r="P2705">
        <v>0</v>
      </c>
      <c r="Q2705">
        <v>0</v>
      </c>
      <c r="R2705" t="s">
        <v>243</v>
      </c>
    </row>
    <row r="2706" spans="1:18" x14ac:dyDescent="0.3">
      <c r="A2706" t="s">
        <v>259</v>
      </c>
      <c r="B2706" t="s">
        <v>58</v>
      </c>
      <c r="C2706" t="s">
        <v>281</v>
      </c>
      <c r="D2706" s="8">
        <v>2.2442162599999999E-5</v>
      </c>
      <c r="E2706" s="8">
        <v>2.9588934500000002E-5</v>
      </c>
      <c r="F2706" s="8">
        <v>3.1927120999999999E-5</v>
      </c>
      <c r="G2706" s="8">
        <v>3.1701191799999901E-5</v>
      </c>
      <c r="H2706" s="8">
        <v>4.3387594360000002E-5</v>
      </c>
      <c r="I2706" s="8">
        <v>4.3713767609999997E-5</v>
      </c>
      <c r="J2706" s="8">
        <v>4.1633561280000002E-5</v>
      </c>
      <c r="K2706" s="8">
        <v>3.9931895279999903E-5</v>
      </c>
      <c r="L2706" s="8">
        <v>3.8019891729999998E-5</v>
      </c>
      <c r="M2706" s="8">
        <v>3.5659463374999997E-5</v>
      </c>
      <c r="N2706" s="8">
        <v>3.3488919537999999E-5</v>
      </c>
      <c r="O2706">
        <v>0</v>
      </c>
      <c r="P2706">
        <v>0</v>
      </c>
      <c r="Q2706">
        <v>0</v>
      </c>
      <c r="R2706" t="s">
        <v>243</v>
      </c>
    </row>
    <row r="2707" spans="1:18" x14ac:dyDescent="0.3">
      <c r="A2707" t="s">
        <v>259</v>
      </c>
      <c r="B2707" t="s">
        <v>58</v>
      </c>
      <c r="C2707" t="s">
        <v>282</v>
      </c>
      <c r="D2707" s="8">
        <v>2.33236893E-5</v>
      </c>
      <c r="E2707" s="8">
        <v>3.0808280999999901E-5</v>
      </c>
      <c r="F2707" s="8">
        <v>3.31114187E-5</v>
      </c>
      <c r="G2707" s="8">
        <v>3.2923904199999999E-5</v>
      </c>
      <c r="H2707" s="8">
        <v>4.4480306339999999E-5</v>
      </c>
      <c r="I2707" s="8">
        <v>4.4787430969999999E-5</v>
      </c>
      <c r="J2707" s="8">
        <v>4.2612013689999903E-5</v>
      </c>
      <c r="K2707" s="8">
        <v>4.0832101029999997E-5</v>
      </c>
      <c r="L2707" s="8">
        <v>3.8844981729999997E-5</v>
      </c>
      <c r="M2707" s="8">
        <v>3.6404379393E-5</v>
      </c>
      <c r="N2707" s="8">
        <v>3.4164431696999999E-5</v>
      </c>
      <c r="O2707">
        <v>0</v>
      </c>
      <c r="P2707">
        <v>0</v>
      </c>
      <c r="Q2707">
        <v>0</v>
      </c>
      <c r="R2707" t="s">
        <v>243</v>
      </c>
    </row>
    <row r="2708" spans="1:18" x14ac:dyDescent="0.3">
      <c r="A2708" t="s">
        <v>259</v>
      </c>
      <c r="B2708" t="s">
        <v>58</v>
      </c>
      <c r="C2708" t="s">
        <v>283</v>
      </c>
      <c r="D2708" s="8">
        <v>2.4658935600000001E-5</v>
      </c>
      <c r="E2708" s="8">
        <v>3.2257111500000001E-5</v>
      </c>
      <c r="F2708" s="8">
        <v>3.4765874199999997E-5</v>
      </c>
      <c r="G2708" s="8">
        <v>3.4417507899999997E-5</v>
      </c>
      <c r="H2708" s="8">
        <v>4.5995219769999998E-5</v>
      </c>
      <c r="I2708" s="8">
        <v>4.6201371429999998E-5</v>
      </c>
      <c r="J2708" s="8">
        <v>4.3882422850000001E-5</v>
      </c>
      <c r="K2708" s="8">
        <v>4.2019985675E-5</v>
      </c>
      <c r="L2708" s="8">
        <v>3.9939504189999997E-5</v>
      </c>
      <c r="M2708" s="8">
        <v>3.73933206129999E-5</v>
      </c>
      <c r="N2708" s="8">
        <v>3.5055093581E-5</v>
      </c>
      <c r="O2708">
        <v>0</v>
      </c>
      <c r="P2708">
        <v>0</v>
      </c>
      <c r="Q2708">
        <v>0</v>
      </c>
      <c r="R2708" t="s">
        <v>243</v>
      </c>
    </row>
    <row r="2709" spans="1:18" x14ac:dyDescent="0.3">
      <c r="A2709" t="s">
        <v>259</v>
      </c>
      <c r="B2709" t="s">
        <v>58</v>
      </c>
      <c r="C2709" t="s">
        <v>334</v>
      </c>
      <c r="D2709">
        <v>1.0055400000000001E-3</v>
      </c>
      <c r="E2709">
        <v>0</v>
      </c>
      <c r="F2709" s="8">
        <v>1.35311E-5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243</v>
      </c>
    </row>
    <row r="2710" spans="1:18" x14ac:dyDescent="0.3">
      <c r="A2710" t="s">
        <v>259</v>
      </c>
      <c r="B2710" t="s">
        <v>58</v>
      </c>
      <c r="C2710" t="s">
        <v>335</v>
      </c>
      <c r="D2710" s="8">
        <v>7.0716900000000001E-5</v>
      </c>
      <c r="E2710">
        <v>0</v>
      </c>
      <c r="F2710" s="8">
        <v>7.0580500000000001E-7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243</v>
      </c>
    </row>
    <row r="2711" spans="1:18" x14ac:dyDescent="0.3">
      <c r="A2711" t="s">
        <v>259</v>
      </c>
      <c r="B2711" t="s">
        <v>58</v>
      </c>
      <c r="C2711" t="s">
        <v>336</v>
      </c>
      <c r="D2711" s="8">
        <v>5.9093500000000001E-4</v>
      </c>
      <c r="E2711">
        <v>0</v>
      </c>
      <c r="F2711" s="8">
        <v>7.2111299999999999E-6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243</v>
      </c>
    </row>
    <row r="2712" spans="1:18" x14ac:dyDescent="0.3">
      <c r="A2712" t="s">
        <v>259</v>
      </c>
      <c r="B2712" t="s">
        <v>58</v>
      </c>
      <c r="C2712" t="s">
        <v>337</v>
      </c>
      <c r="D2712" s="8">
        <v>4.2535000000000001E-4</v>
      </c>
      <c r="E2712">
        <v>0</v>
      </c>
      <c r="F2712" s="8">
        <v>5.1968500000000001E-6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243</v>
      </c>
    </row>
    <row r="2713" spans="1:18" x14ac:dyDescent="0.3">
      <c r="A2713" t="s">
        <v>259</v>
      </c>
      <c r="B2713" t="s">
        <v>58</v>
      </c>
      <c r="C2713" t="s">
        <v>338</v>
      </c>
      <c r="D2713" s="8">
        <v>3.4769199999999998E-4</v>
      </c>
      <c r="E2713">
        <v>0</v>
      </c>
      <c r="F2713" s="8">
        <v>4.0511199999999998E-6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">
        <v>243</v>
      </c>
    </row>
    <row r="2714" spans="1:18" x14ac:dyDescent="0.3">
      <c r="A2714" t="s">
        <v>259</v>
      </c>
      <c r="B2714" t="s">
        <v>58</v>
      </c>
      <c r="C2714" t="s">
        <v>339</v>
      </c>
      <c r="D2714" s="8">
        <v>2.8962600000000002E-4</v>
      </c>
      <c r="E2714">
        <v>0</v>
      </c>
      <c r="F2714" s="8">
        <v>3.29214E-6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 t="s">
        <v>243</v>
      </c>
    </row>
    <row r="2715" spans="1:18" x14ac:dyDescent="0.3">
      <c r="A2715" t="s">
        <v>259</v>
      </c>
      <c r="B2715" t="s">
        <v>58</v>
      </c>
      <c r="C2715" t="s">
        <v>340</v>
      </c>
      <c r="D2715" s="8">
        <v>2.39955E-4</v>
      </c>
      <c r="E2715">
        <v>0</v>
      </c>
      <c r="F2715" s="8">
        <v>2.7329799999999998E-6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">
        <v>243</v>
      </c>
    </row>
    <row r="2716" spans="1:18" x14ac:dyDescent="0.3">
      <c r="A2716" t="s">
        <v>259</v>
      </c>
      <c r="B2716" t="s">
        <v>58</v>
      </c>
      <c r="C2716" t="s">
        <v>341</v>
      </c>
      <c r="D2716" s="8">
        <v>1.96994E-4</v>
      </c>
      <c r="E2716">
        <v>0</v>
      </c>
      <c r="F2716" s="8">
        <v>2.2688900000000001E-6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 t="s">
        <v>243</v>
      </c>
    </row>
    <row r="2717" spans="1:18" x14ac:dyDescent="0.3">
      <c r="A2717" t="s">
        <v>259</v>
      </c>
      <c r="B2717" t="s">
        <v>58</v>
      </c>
      <c r="C2717" t="s">
        <v>342</v>
      </c>
      <c r="D2717" s="8">
        <v>1.6062300000000001E-4</v>
      </c>
      <c r="E2717">
        <v>0</v>
      </c>
      <c r="F2717" s="8">
        <v>1.84831E-6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 t="s">
        <v>243</v>
      </c>
    </row>
    <row r="2718" spans="1:18" x14ac:dyDescent="0.3">
      <c r="A2718" t="s">
        <v>259</v>
      </c>
      <c r="B2718" t="s">
        <v>58</v>
      </c>
      <c r="C2718" t="s">
        <v>343</v>
      </c>
      <c r="D2718" s="8">
        <v>1.16387E-4</v>
      </c>
      <c r="E2718">
        <v>0</v>
      </c>
      <c r="F2718" s="8">
        <v>1.3809899999999999E-6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s">
        <v>243</v>
      </c>
    </row>
    <row r="2719" spans="1:18" x14ac:dyDescent="0.3">
      <c r="A2719" t="s">
        <v>259</v>
      </c>
      <c r="B2719" t="s">
        <v>58</v>
      </c>
      <c r="C2719" t="s">
        <v>284</v>
      </c>
      <c r="D2719" s="8">
        <v>6.3754890686000001E-4</v>
      </c>
      <c r="E2719" s="8">
        <v>9.3257888319999902E-4</v>
      </c>
      <c r="F2719" s="8">
        <v>8.5192857289999996E-4</v>
      </c>
      <c r="G2719" s="8">
        <v>6.6201261199999996E-4</v>
      </c>
      <c r="H2719" s="8">
        <v>6.5578731199999996E-4</v>
      </c>
      <c r="I2719" s="8">
        <v>7.7185723979999901E-4</v>
      </c>
      <c r="J2719" s="8">
        <v>8.0876271063000003E-4</v>
      </c>
      <c r="K2719" s="8">
        <v>8.0296300882000003E-4</v>
      </c>
      <c r="L2719" s="8">
        <v>7.7447175142E-4</v>
      </c>
      <c r="M2719" s="8">
        <v>7.3102084920000001E-4</v>
      </c>
      <c r="N2719" s="8">
        <v>6.9652359040000005E-4</v>
      </c>
      <c r="O2719">
        <v>0</v>
      </c>
      <c r="P2719">
        <v>0</v>
      </c>
      <c r="Q2719">
        <v>0</v>
      </c>
      <c r="R2719" t="s">
        <v>243</v>
      </c>
    </row>
    <row r="2720" spans="1:18" x14ac:dyDescent="0.3">
      <c r="A2720" t="s">
        <v>259</v>
      </c>
      <c r="B2720" t="s">
        <v>58</v>
      </c>
      <c r="C2720" t="s">
        <v>285</v>
      </c>
      <c r="D2720">
        <v>3.7573260143999999E-3</v>
      </c>
      <c r="E2720">
        <v>5.6619895680000004E-3</v>
      </c>
      <c r="F2720">
        <v>5.1926317109999998E-3</v>
      </c>
      <c r="G2720">
        <v>3.89065907E-3</v>
      </c>
      <c r="H2720">
        <v>3.5918513679999999E-3</v>
      </c>
      <c r="I2720">
        <v>3.5724602921E-3</v>
      </c>
      <c r="J2720">
        <v>3.2608924372000002E-3</v>
      </c>
      <c r="K2720">
        <v>3.0213381424999898E-3</v>
      </c>
      <c r="L2720">
        <v>2.81637413885E-3</v>
      </c>
      <c r="M2720">
        <v>2.5696925009999999E-3</v>
      </c>
      <c r="N2720">
        <v>2.3610849019999902E-3</v>
      </c>
      <c r="O2720">
        <v>0</v>
      </c>
      <c r="P2720">
        <v>0</v>
      </c>
      <c r="Q2720">
        <v>0</v>
      </c>
      <c r="R2720" t="s">
        <v>243</v>
      </c>
    </row>
    <row r="2721" spans="1:18" x14ac:dyDescent="0.3">
      <c r="A2721" t="s">
        <v>259</v>
      </c>
      <c r="B2721" t="s">
        <v>58</v>
      </c>
      <c r="C2721" t="s">
        <v>286</v>
      </c>
      <c r="D2721">
        <v>1.0319440293700001E-3</v>
      </c>
      <c r="E2721">
        <v>1.610478067E-3</v>
      </c>
      <c r="F2721">
        <v>1.5038593050000001E-3</v>
      </c>
      <c r="G2721">
        <v>1.1614781080000001E-3</v>
      </c>
      <c r="H2721">
        <v>1.0892510049999901E-3</v>
      </c>
      <c r="I2721">
        <v>1.23606525719999E-3</v>
      </c>
      <c r="J2721">
        <v>1.2639603775999901E-3</v>
      </c>
      <c r="K2721">
        <v>1.2472426406899999E-3</v>
      </c>
      <c r="L2721">
        <v>1.2019381311999999E-3</v>
      </c>
      <c r="M2721">
        <v>1.1340366878000001E-3</v>
      </c>
      <c r="N2721">
        <v>1.0799101411000001E-3</v>
      </c>
      <c r="O2721">
        <v>0</v>
      </c>
      <c r="P2721">
        <v>0</v>
      </c>
      <c r="Q2721">
        <v>0</v>
      </c>
      <c r="R2721" t="s">
        <v>243</v>
      </c>
    </row>
    <row r="2722" spans="1:18" x14ac:dyDescent="0.3">
      <c r="A2722" t="s">
        <v>259</v>
      </c>
      <c r="B2722" t="s">
        <v>58</v>
      </c>
      <c r="C2722" t="s">
        <v>287</v>
      </c>
      <c r="D2722">
        <v>1.3496640840099999E-3</v>
      </c>
      <c r="E2722">
        <v>2.1216524249999999E-3</v>
      </c>
      <c r="F2722">
        <v>1.9457838259999999E-3</v>
      </c>
      <c r="G2722">
        <v>1.506661459E-3</v>
      </c>
      <c r="H2722">
        <v>1.3826005829999999E-3</v>
      </c>
      <c r="I2722">
        <v>1.54750534179999E-3</v>
      </c>
      <c r="J2722">
        <v>1.5534534114999899E-3</v>
      </c>
      <c r="K2722">
        <v>1.5205423794000001E-3</v>
      </c>
      <c r="L2722">
        <v>1.4582924977199899E-3</v>
      </c>
      <c r="M2722">
        <v>1.36811462689999E-3</v>
      </c>
      <c r="N2722">
        <v>1.2945820064E-3</v>
      </c>
      <c r="O2722">
        <v>0</v>
      </c>
      <c r="P2722">
        <v>0</v>
      </c>
      <c r="Q2722">
        <v>0</v>
      </c>
      <c r="R2722" t="s">
        <v>243</v>
      </c>
    </row>
    <row r="2723" spans="1:18" x14ac:dyDescent="0.3">
      <c r="A2723" t="s">
        <v>259</v>
      </c>
      <c r="B2723" t="s">
        <v>58</v>
      </c>
      <c r="C2723" t="s">
        <v>288</v>
      </c>
      <c r="D2723">
        <v>1.5729579202499999E-3</v>
      </c>
      <c r="E2723">
        <v>2.54806586699999E-3</v>
      </c>
      <c r="F2723">
        <v>2.3259194749999999E-3</v>
      </c>
      <c r="G2723">
        <v>1.788430028E-3</v>
      </c>
      <c r="H2723">
        <v>1.6208154159999999E-3</v>
      </c>
      <c r="I2723">
        <v>1.7827304392000001E-3</v>
      </c>
      <c r="J2723">
        <v>1.7701644292E-3</v>
      </c>
      <c r="K2723">
        <v>1.7235692039000001E-3</v>
      </c>
      <c r="L2723">
        <v>1.64887993199999E-3</v>
      </c>
      <c r="M2723">
        <v>1.5455515714999999E-3</v>
      </c>
      <c r="N2723">
        <v>1.4610882346999901E-3</v>
      </c>
      <c r="O2723">
        <v>0</v>
      </c>
      <c r="P2723">
        <v>0</v>
      </c>
      <c r="Q2723">
        <v>0</v>
      </c>
      <c r="R2723" t="s">
        <v>243</v>
      </c>
    </row>
    <row r="2724" spans="1:18" x14ac:dyDescent="0.3">
      <c r="A2724" t="s">
        <v>259</v>
      </c>
      <c r="B2724" t="s">
        <v>58</v>
      </c>
      <c r="C2724" t="s">
        <v>289</v>
      </c>
      <c r="D2724">
        <v>1.7930987601099901E-3</v>
      </c>
      <c r="E2724">
        <v>2.96270292299999E-3</v>
      </c>
      <c r="F2724">
        <v>2.6669160669999998E-3</v>
      </c>
      <c r="G2724">
        <v>2.0511017459999901E-3</v>
      </c>
      <c r="H2724">
        <v>1.8373288399999999E-3</v>
      </c>
      <c r="I2724">
        <v>2.0029874868999998E-3</v>
      </c>
      <c r="J2724">
        <v>1.9701176011999999E-3</v>
      </c>
      <c r="K2724">
        <v>1.9087558624E-3</v>
      </c>
      <c r="L2724">
        <v>1.82051669997E-3</v>
      </c>
      <c r="M2724">
        <v>1.6985187339999899E-3</v>
      </c>
      <c r="N2724">
        <v>1.599733019E-3</v>
      </c>
      <c r="O2724">
        <v>0</v>
      </c>
      <c r="P2724">
        <v>0</v>
      </c>
      <c r="Q2724">
        <v>0</v>
      </c>
      <c r="R2724" t="s">
        <v>243</v>
      </c>
    </row>
    <row r="2725" spans="1:18" x14ac:dyDescent="0.3">
      <c r="A2725" t="s">
        <v>259</v>
      </c>
      <c r="B2725" t="s">
        <v>58</v>
      </c>
      <c r="C2725" t="s">
        <v>290</v>
      </c>
      <c r="D2725">
        <v>2.0356961386E-3</v>
      </c>
      <c r="E2725">
        <v>3.3563981479999999E-3</v>
      </c>
      <c r="F2725">
        <v>2.986324505E-3</v>
      </c>
      <c r="G2725">
        <v>2.2931114200000001E-3</v>
      </c>
      <c r="H2725">
        <v>2.0546367739999998E-3</v>
      </c>
      <c r="I2725">
        <v>2.2176704551999898E-3</v>
      </c>
      <c r="J2725">
        <v>2.1600853699999898E-3</v>
      </c>
      <c r="K2725">
        <v>2.0778478097E-3</v>
      </c>
      <c r="L2725">
        <v>1.9729413550999999E-3</v>
      </c>
      <c r="M2725">
        <v>1.8356591660000001E-3</v>
      </c>
      <c r="N2725">
        <v>1.72276178139999E-3</v>
      </c>
      <c r="O2725">
        <v>0</v>
      </c>
      <c r="P2725">
        <v>0</v>
      </c>
      <c r="Q2725">
        <v>0</v>
      </c>
      <c r="R2725" t="s">
        <v>243</v>
      </c>
    </row>
    <row r="2726" spans="1:18" x14ac:dyDescent="0.3">
      <c r="A2726" t="s">
        <v>259</v>
      </c>
      <c r="B2726" t="s">
        <v>58</v>
      </c>
      <c r="C2726" t="s">
        <v>291</v>
      </c>
      <c r="D2726">
        <v>2.3046653938999999E-3</v>
      </c>
      <c r="E2726">
        <v>3.7385248059999998E-3</v>
      </c>
      <c r="F2726">
        <v>3.3137124299999999E-3</v>
      </c>
      <c r="G2726">
        <v>2.5164238489999899E-3</v>
      </c>
      <c r="H2726">
        <v>2.2824656909999999E-3</v>
      </c>
      <c r="I2726">
        <v>2.4290245651999898E-3</v>
      </c>
      <c r="J2726">
        <v>2.3421151735999899E-3</v>
      </c>
      <c r="K2726">
        <v>2.2448939190999901E-3</v>
      </c>
      <c r="L2726">
        <v>2.12942380222999E-3</v>
      </c>
      <c r="M2726">
        <v>1.9766061889999898E-3</v>
      </c>
      <c r="N2726">
        <v>1.848854612E-3</v>
      </c>
      <c r="O2726">
        <v>0</v>
      </c>
      <c r="P2726">
        <v>0</v>
      </c>
      <c r="Q2726">
        <v>0</v>
      </c>
      <c r="R2726" t="s">
        <v>243</v>
      </c>
    </row>
    <row r="2727" spans="1:18" x14ac:dyDescent="0.3">
      <c r="A2727" t="s">
        <v>259</v>
      </c>
      <c r="B2727" t="s">
        <v>58</v>
      </c>
      <c r="C2727" t="s">
        <v>292</v>
      </c>
      <c r="D2727">
        <v>2.5944735805E-3</v>
      </c>
      <c r="E2727">
        <v>4.1547953499999901E-3</v>
      </c>
      <c r="F2727">
        <v>3.6775689859999999E-3</v>
      </c>
      <c r="G2727">
        <v>2.80222560999999E-3</v>
      </c>
      <c r="H2727">
        <v>2.535777947E-3</v>
      </c>
      <c r="I2727">
        <v>2.6713827219999901E-3</v>
      </c>
      <c r="J2727">
        <v>2.5483113919E-3</v>
      </c>
      <c r="K2727">
        <v>2.4236713669999999E-3</v>
      </c>
      <c r="L2727">
        <v>2.2888768011599999E-3</v>
      </c>
      <c r="M2727">
        <v>2.115452391E-3</v>
      </c>
      <c r="N2727">
        <v>1.9702854709999899E-3</v>
      </c>
      <c r="O2727">
        <v>0</v>
      </c>
      <c r="P2727">
        <v>0</v>
      </c>
      <c r="Q2727">
        <v>0</v>
      </c>
      <c r="R2727" t="s">
        <v>243</v>
      </c>
    </row>
    <row r="2728" spans="1:18" x14ac:dyDescent="0.3">
      <c r="A2728" t="s">
        <v>259</v>
      </c>
      <c r="B2728" t="s">
        <v>58</v>
      </c>
      <c r="C2728" t="s">
        <v>293</v>
      </c>
      <c r="D2728">
        <v>3.0621688372E-3</v>
      </c>
      <c r="E2728">
        <v>4.6332483719999998E-3</v>
      </c>
      <c r="F2728">
        <v>4.1836034220000002E-3</v>
      </c>
      <c r="G2728">
        <v>3.1492837299999998E-3</v>
      </c>
      <c r="H2728">
        <v>2.8805132739999901E-3</v>
      </c>
      <c r="I2728">
        <v>2.97414001869999E-3</v>
      </c>
      <c r="J2728">
        <v>2.7945587659999899E-3</v>
      </c>
      <c r="K2728">
        <v>2.6355336584000001E-3</v>
      </c>
      <c r="L2728">
        <v>2.4768081917599999E-3</v>
      </c>
      <c r="M2728">
        <v>2.2773944539999898E-3</v>
      </c>
      <c r="N2728">
        <v>2.1091255759999902E-3</v>
      </c>
      <c r="O2728">
        <v>0</v>
      </c>
      <c r="P2728">
        <v>0</v>
      </c>
      <c r="Q2728">
        <v>0</v>
      </c>
      <c r="R2728" t="s">
        <v>243</v>
      </c>
    </row>
    <row r="2729" spans="1:18" x14ac:dyDescent="0.3">
      <c r="A2729" t="s">
        <v>259</v>
      </c>
      <c r="B2729" t="s">
        <v>58</v>
      </c>
      <c r="C2729" t="s">
        <v>344</v>
      </c>
      <c r="D2729" s="8">
        <v>2.7300300000000002E-4</v>
      </c>
      <c r="E2729">
        <v>0</v>
      </c>
      <c r="F2729" s="8">
        <v>3.6059800000000002E-6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243</v>
      </c>
    </row>
    <row r="2730" spans="1:18" x14ac:dyDescent="0.3">
      <c r="A2730" t="s">
        <v>259</v>
      </c>
      <c r="B2730" t="s">
        <v>58</v>
      </c>
      <c r="C2730" t="s">
        <v>345</v>
      </c>
      <c r="D2730" s="8">
        <v>3.3210400000000003E-5</v>
      </c>
      <c r="E2730">
        <v>0</v>
      </c>
      <c r="F2730" s="8">
        <v>3.4574799999999998E-7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">
        <v>243</v>
      </c>
    </row>
    <row r="2731" spans="1:18" x14ac:dyDescent="0.3">
      <c r="A2731" t="s">
        <v>259</v>
      </c>
      <c r="B2731" t="s">
        <v>58</v>
      </c>
      <c r="C2731" t="s">
        <v>346</v>
      </c>
      <c r="D2731" s="8">
        <v>1.7996599999999999E-4</v>
      </c>
      <c r="E2731">
        <v>0</v>
      </c>
      <c r="F2731" s="8">
        <v>2.20443E-6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243</v>
      </c>
    </row>
    <row r="2732" spans="1:18" x14ac:dyDescent="0.3">
      <c r="A2732" t="s">
        <v>259</v>
      </c>
      <c r="B2732" t="s">
        <v>58</v>
      </c>
      <c r="C2732" t="s">
        <v>347</v>
      </c>
      <c r="D2732" s="8">
        <v>1.38856E-4</v>
      </c>
      <c r="E2732">
        <v>0</v>
      </c>
      <c r="F2732" s="8">
        <v>1.7032099999999999E-6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243</v>
      </c>
    </row>
    <row r="2733" spans="1:18" x14ac:dyDescent="0.3">
      <c r="A2733" t="s">
        <v>259</v>
      </c>
      <c r="B2733" t="s">
        <v>58</v>
      </c>
      <c r="C2733" t="s">
        <v>348</v>
      </c>
      <c r="D2733" s="8">
        <v>1.1838E-4</v>
      </c>
      <c r="E2733">
        <v>0</v>
      </c>
      <c r="F2733" s="8">
        <v>1.3992300000000001E-6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243</v>
      </c>
    </row>
    <row r="2734" spans="1:18" x14ac:dyDescent="0.3">
      <c r="A2734" t="s">
        <v>259</v>
      </c>
      <c r="B2734" t="s">
        <v>58</v>
      </c>
      <c r="C2734" t="s">
        <v>349</v>
      </c>
      <c r="D2734" s="8">
        <v>1.0241199999999999E-4</v>
      </c>
      <c r="E2734">
        <v>0</v>
      </c>
      <c r="F2734" s="8">
        <v>1.18575E-6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s">
        <v>243</v>
      </c>
    </row>
    <row r="2735" spans="1:18" x14ac:dyDescent="0.3">
      <c r="A2735" t="s">
        <v>259</v>
      </c>
      <c r="B2735" t="s">
        <v>58</v>
      </c>
      <c r="C2735" t="s">
        <v>350</v>
      </c>
      <c r="D2735" s="8">
        <v>8.8192899999999994E-5</v>
      </c>
      <c r="E2735">
        <v>0</v>
      </c>
      <c r="F2735" s="8">
        <v>1.0233199999999999E-6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243</v>
      </c>
    </row>
    <row r="2736" spans="1:18" x14ac:dyDescent="0.3">
      <c r="A2736" t="s">
        <v>259</v>
      </c>
      <c r="B2736" t="s">
        <v>58</v>
      </c>
      <c r="C2736" t="s">
        <v>351</v>
      </c>
      <c r="D2736" s="8">
        <v>7.5375499999999997E-5</v>
      </c>
      <c r="E2736">
        <v>0</v>
      </c>
      <c r="F2736" s="8">
        <v>8.8177200000000004E-7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243</v>
      </c>
    </row>
    <row r="2737" spans="1:18" x14ac:dyDescent="0.3">
      <c r="A2737" t="s">
        <v>259</v>
      </c>
      <c r="B2737" t="s">
        <v>58</v>
      </c>
      <c r="C2737" t="s">
        <v>352</v>
      </c>
      <c r="D2737" s="8">
        <v>6.4052600000000004E-5</v>
      </c>
      <c r="E2737">
        <v>0</v>
      </c>
      <c r="F2737" s="8">
        <v>7.4950600000000004E-7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243</v>
      </c>
    </row>
    <row r="2738" spans="1:18" x14ac:dyDescent="0.3">
      <c r="A2738" t="s">
        <v>259</v>
      </c>
      <c r="B2738" t="s">
        <v>58</v>
      </c>
      <c r="C2738" t="s">
        <v>353</v>
      </c>
      <c r="D2738" s="8">
        <v>4.9514900000000003E-5</v>
      </c>
      <c r="E2738">
        <v>0</v>
      </c>
      <c r="F2738" s="8">
        <v>5.9403599999999999E-7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 t="s">
        <v>243</v>
      </c>
    </row>
    <row r="2739" spans="1:18" x14ac:dyDescent="0.3">
      <c r="A2739" t="s">
        <v>259</v>
      </c>
      <c r="B2739" t="s">
        <v>58</v>
      </c>
      <c r="C2739" t="s">
        <v>294</v>
      </c>
      <c r="D2739" s="8">
        <v>1.2947321100000001E-4</v>
      </c>
      <c r="E2739" s="8">
        <v>2.079804E-4</v>
      </c>
      <c r="F2739" s="8">
        <v>2.2747978E-4</v>
      </c>
      <c r="G2739" s="8">
        <v>2.1327834000000001E-4</v>
      </c>
      <c r="H2739" s="8">
        <v>2.0460421E-4</v>
      </c>
      <c r="I2739" s="8">
        <v>2.4130458999999999E-4</v>
      </c>
      <c r="J2739" s="8">
        <v>2.6696091E-4</v>
      </c>
      <c r="K2739" s="8">
        <v>2.8306179100000002E-4</v>
      </c>
      <c r="L2739" s="8">
        <v>2.8667640299999902E-4</v>
      </c>
      <c r="M2739" s="8">
        <v>2.8396780599999899E-4</v>
      </c>
      <c r="N2739" s="8">
        <v>2.8217617E-4</v>
      </c>
      <c r="O2739">
        <v>0</v>
      </c>
      <c r="P2739">
        <v>0</v>
      </c>
      <c r="Q2739">
        <v>0</v>
      </c>
      <c r="R2739" t="s">
        <v>243</v>
      </c>
    </row>
    <row r="2740" spans="1:18" x14ac:dyDescent="0.3">
      <c r="A2740" t="s">
        <v>259</v>
      </c>
      <c r="B2740" t="s">
        <v>58</v>
      </c>
      <c r="C2740" t="s">
        <v>295</v>
      </c>
      <c r="D2740" s="8">
        <v>8.0528496999999902E-4</v>
      </c>
      <c r="E2740">
        <v>1.1852440999999901E-3</v>
      </c>
      <c r="F2740">
        <v>1.152054E-3</v>
      </c>
      <c r="G2740" s="8">
        <v>9.701334E-4</v>
      </c>
      <c r="H2740" s="8">
        <v>9.60130199999999E-4</v>
      </c>
      <c r="I2740" s="8">
        <v>9.9270374000000002E-4</v>
      </c>
      <c r="J2740" s="8">
        <v>9.8772145999999989E-4</v>
      </c>
      <c r="K2740" s="8">
        <v>9.8620345999999898E-4</v>
      </c>
      <c r="L2740" s="8">
        <v>9.6406902999999903E-4</v>
      </c>
      <c r="M2740" s="8">
        <v>9.2842898999999997E-4</v>
      </c>
      <c r="N2740" s="8">
        <v>8.9768301999999995E-4</v>
      </c>
      <c r="O2740">
        <v>0</v>
      </c>
      <c r="P2740">
        <v>0</v>
      </c>
      <c r="Q2740">
        <v>0</v>
      </c>
      <c r="R2740" t="s">
        <v>243</v>
      </c>
    </row>
    <row r="2741" spans="1:18" x14ac:dyDescent="0.3">
      <c r="A2741" t="s">
        <v>259</v>
      </c>
      <c r="B2741" t="s">
        <v>58</v>
      </c>
      <c r="C2741" t="s">
        <v>296</v>
      </c>
      <c r="D2741" s="8">
        <v>2.1086181400000001E-4</v>
      </c>
      <c r="E2741" s="8">
        <v>3.5618644000000001E-4</v>
      </c>
      <c r="F2741" s="8">
        <v>3.9091123999999999E-4</v>
      </c>
      <c r="G2741" s="8">
        <v>3.5965059999999997E-4</v>
      </c>
      <c r="H2741" s="8">
        <v>3.3059547999999899E-4</v>
      </c>
      <c r="I2741" s="8">
        <v>3.7748265000000001E-4</v>
      </c>
      <c r="J2741" s="8">
        <v>4.0971581999999998E-4</v>
      </c>
      <c r="K2741" s="8">
        <v>4.32482214E-4</v>
      </c>
      <c r="L2741" s="8">
        <v>4.3761055999999902E-4</v>
      </c>
      <c r="M2741" s="8">
        <v>4.3371285999999998E-4</v>
      </c>
      <c r="N2741" s="8">
        <v>4.3123727999999899E-4</v>
      </c>
      <c r="O2741">
        <v>0</v>
      </c>
      <c r="P2741">
        <v>0</v>
      </c>
      <c r="Q2741">
        <v>0</v>
      </c>
      <c r="R2741" t="s">
        <v>243</v>
      </c>
    </row>
    <row r="2742" spans="1:18" x14ac:dyDescent="0.3">
      <c r="A2742" t="s">
        <v>259</v>
      </c>
      <c r="B2742" t="s">
        <v>58</v>
      </c>
      <c r="C2742" t="s">
        <v>297</v>
      </c>
      <c r="D2742" s="8">
        <v>2.7714140199999997E-4</v>
      </c>
      <c r="E2742" s="8">
        <v>4.66315229999999E-4</v>
      </c>
      <c r="F2742" s="8">
        <v>4.9678000000000005E-4</v>
      </c>
      <c r="G2742" s="8">
        <v>4.5416450000000002E-4</v>
      </c>
      <c r="H2742" s="8">
        <v>4.1285977999999999E-4</v>
      </c>
      <c r="I2742" s="8">
        <v>4.6622793000000002E-4</v>
      </c>
      <c r="J2742" s="8">
        <v>4.9824260999999895E-4</v>
      </c>
      <c r="K2742" s="8">
        <v>5.2189557799999897E-4</v>
      </c>
      <c r="L2742" s="8">
        <v>5.2538946000000003E-4</v>
      </c>
      <c r="M2742" s="8">
        <v>5.1787619000000001E-4</v>
      </c>
      <c r="N2742" s="8">
        <v>5.1197290999999904E-4</v>
      </c>
      <c r="O2742">
        <v>0</v>
      </c>
      <c r="P2742">
        <v>0</v>
      </c>
      <c r="Q2742">
        <v>0</v>
      </c>
      <c r="R2742" t="s">
        <v>243</v>
      </c>
    </row>
    <row r="2743" spans="1:18" x14ac:dyDescent="0.3">
      <c r="A2743" t="s">
        <v>259</v>
      </c>
      <c r="B2743" t="s">
        <v>58</v>
      </c>
      <c r="C2743" t="s">
        <v>298</v>
      </c>
      <c r="D2743" s="8">
        <v>3.2411974100000001E-4</v>
      </c>
      <c r="E2743" s="8">
        <v>5.5706351999999998E-4</v>
      </c>
      <c r="F2743" s="8">
        <v>5.84662739999999E-4</v>
      </c>
      <c r="G2743" s="8">
        <v>5.2737219999999998E-4</v>
      </c>
      <c r="H2743" s="8">
        <v>4.7797295000000001E-4</v>
      </c>
      <c r="I2743" s="8">
        <v>5.3175630999999896E-4</v>
      </c>
      <c r="J2743" s="8">
        <v>5.6350962999999902E-4</v>
      </c>
      <c r="K2743" s="8">
        <v>5.8733998999999895E-4</v>
      </c>
      <c r="L2743" s="8">
        <v>5.8945215999999998E-4</v>
      </c>
      <c r="M2743" s="8">
        <v>5.8043537999999905E-4</v>
      </c>
      <c r="N2743" s="8">
        <v>5.7325325999999996E-4</v>
      </c>
      <c r="O2743">
        <v>0</v>
      </c>
      <c r="P2743">
        <v>0</v>
      </c>
      <c r="Q2743">
        <v>0</v>
      </c>
      <c r="R2743" t="s">
        <v>243</v>
      </c>
    </row>
    <row r="2744" spans="1:18" x14ac:dyDescent="0.3">
      <c r="A2744" t="s">
        <v>259</v>
      </c>
      <c r="B2744" t="s">
        <v>58</v>
      </c>
      <c r="C2744" t="s">
        <v>299</v>
      </c>
      <c r="D2744" s="8">
        <v>3.7077172199999998E-4</v>
      </c>
      <c r="E2744" s="8">
        <v>6.4428414000000005E-4</v>
      </c>
      <c r="F2744" s="8">
        <v>6.6096297999999995E-4</v>
      </c>
      <c r="G2744" s="8">
        <v>5.9245490000000005E-4</v>
      </c>
      <c r="H2744" s="8">
        <v>5.3569266000000001E-4</v>
      </c>
      <c r="I2744" s="8">
        <v>5.9195603000000002E-4</v>
      </c>
      <c r="J2744" s="8">
        <v>6.2263374000000001E-4</v>
      </c>
      <c r="K2744" s="8">
        <v>6.4567242999999895E-4</v>
      </c>
      <c r="L2744" s="8">
        <v>6.4568396000000004E-4</v>
      </c>
      <c r="M2744" s="8">
        <v>6.3290504999999905E-4</v>
      </c>
      <c r="N2744" s="8">
        <v>6.2285636000000005E-4</v>
      </c>
      <c r="O2744">
        <v>0</v>
      </c>
      <c r="P2744">
        <v>0</v>
      </c>
      <c r="Q2744">
        <v>0</v>
      </c>
      <c r="R2744" t="s">
        <v>243</v>
      </c>
    </row>
    <row r="2745" spans="1:18" x14ac:dyDescent="0.3">
      <c r="A2745" t="s">
        <v>259</v>
      </c>
      <c r="B2745" t="s">
        <v>58</v>
      </c>
      <c r="C2745" t="s">
        <v>300</v>
      </c>
      <c r="D2745" s="8">
        <v>4.2258944099999999E-4</v>
      </c>
      <c r="E2745" s="8">
        <v>7.2611783000000002E-4</v>
      </c>
      <c r="F2745" s="8">
        <v>7.3023127999999999E-4</v>
      </c>
      <c r="G2745" s="8">
        <v>6.4973889999999995E-4</v>
      </c>
      <c r="H2745" s="8">
        <v>5.9261613000000004E-4</v>
      </c>
      <c r="I2745" s="8">
        <v>6.4983013000000003E-4</v>
      </c>
      <c r="J2745" s="8">
        <v>6.7809193999999995E-4</v>
      </c>
      <c r="K2745" s="8">
        <v>6.9833730000000004E-4</v>
      </c>
      <c r="L2745" s="8">
        <v>6.9501992999999895E-4</v>
      </c>
      <c r="M2745" s="8">
        <v>6.7937695999999896E-4</v>
      </c>
      <c r="N2745" s="8">
        <v>6.6641176999999996E-4</v>
      </c>
      <c r="O2745">
        <v>0</v>
      </c>
      <c r="P2745">
        <v>0</v>
      </c>
      <c r="Q2745">
        <v>0</v>
      </c>
      <c r="R2745" t="s">
        <v>243</v>
      </c>
    </row>
    <row r="2746" spans="1:18" x14ac:dyDescent="0.3">
      <c r="A2746" t="s">
        <v>259</v>
      </c>
      <c r="B2746" t="s">
        <v>58</v>
      </c>
      <c r="C2746" t="s">
        <v>301</v>
      </c>
      <c r="D2746" s="8">
        <v>4.80567595E-4</v>
      </c>
      <c r="E2746" s="8">
        <v>8.0458812000000002E-4</v>
      </c>
      <c r="F2746" s="8">
        <v>7.9899123999999902E-4</v>
      </c>
      <c r="G2746" s="8">
        <v>7.0033879999999995E-4</v>
      </c>
      <c r="H2746" s="8">
        <v>6.5124698999999904E-4</v>
      </c>
      <c r="I2746" s="8">
        <v>7.0592402999999904E-4</v>
      </c>
      <c r="J2746" s="8">
        <v>7.3041138000000004E-4</v>
      </c>
      <c r="K2746" s="8">
        <v>7.4957463999999997E-4</v>
      </c>
      <c r="L2746" s="8">
        <v>7.4461442999999904E-4</v>
      </c>
      <c r="M2746" s="8">
        <v>7.2599473999999996E-4</v>
      </c>
      <c r="N2746" s="8">
        <v>7.0999394999999904E-4</v>
      </c>
      <c r="O2746">
        <v>0</v>
      </c>
      <c r="P2746">
        <v>0</v>
      </c>
      <c r="Q2746">
        <v>0</v>
      </c>
      <c r="R2746" t="s">
        <v>243</v>
      </c>
    </row>
    <row r="2747" spans="1:18" x14ac:dyDescent="0.3">
      <c r="A2747" t="s">
        <v>259</v>
      </c>
      <c r="B2747" t="s">
        <v>58</v>
      </c>
      <c r="C2747" t="s">
        <v>302</v>
      </c>
      <c r="D2747" s="8">
        <v>5.4370377800000002E-4</v>
      </c>
      <c r="E2747" s="8">
        <v>8.8894219999999995E-4</v>
      </c>
      <c r="F2747" s="8">
        <v>8.7273025000000003E-4</v>
      </c>
      <c r="G2747" s="8">
        <v>7.6200399999999896E-4</v>
      </c>
      <c r="H2747" s="8">
        <v>7.1432137000000001E-4</v>
      </c>
      <c r="I2747" s="8">
        <v>7.6879774999999895E-4</v>
      </c>
      <c r="J2747" s="8">
        <v>7.8895611000000005E-4</v>
      </c>
      <c r="K2747" s="8">
        <v>8.0380485000000005E-4</v>
      </c>
      <c r="L2747" s="8">
        <v>7.9485063000000002E-4</v>
      </c>
      <c r="M2747" s="8">
        <v>7.7199378000000003E-4</v>
      </c>
      <c r="N2747" s="8">
        <v>7.5234230000000002E-4</v>
      </c>
      <c r="O2747">
        <v>0</v>
      </c>
      <c r="P2747">
        <v>0</v>
      </c>
      <c r="Q2747">
        <v>0</v>
      </c>
      <c r="R2747" t="s">
        <v>243</v>
      </c>
    </row>
    <row r="2748" spans="1:18" x14ac:dyDescent="0.3">
      <c r="A2748" t="s">
        <v>259</v>
      </c>
      <c r="B2748" t="s">
        <v>58</v>
      </c>
      <c r="C2748" t="s">
        <v>303</v>
      </c>
      <c r="D2748" s="8">
        <v>6.4720302799999995E-4</v>
      </c>
      <c r="E2748" s="8">
        <v>9.844062299999999E-4</v>
      </c>
      <c r="F2748" s="8">
        <v>9.7062966999999904E-4</v>
      </c>
      <c r="G2748" s="8">
        <v>8.3242639999999899E-4</v>
      </c>
      <c r="H2748" s="8">
        <v>7.9772334999999998E-4</v>
      </c>
      <c r="I2748" s="8">
        <v>8.4550819999999998E-4</v>
      </c>
      <c r="J2748" s="8">
        <v>8.5762391999999997E-4</v>
      </c>
      <c r="K2748" s="8">
        <v>8.6738023999999997E-4</v>
      </c>
      <c r="L2748" s="8">
        <v>8.53389839999999E-4</v>
      </c>
      <c r="M2748" s="8">
        <v>8.2529263000000002E-4</v>
      </c>
      <c r="N2748" s="8">
        <v>8.0091071999999902E-4</v>
      </c>
      <c r="O2748">
        <v>0</v>
      </c>
      <c r="P2748">
        <v>0</v>
      </c>
      <c r="Q2748">
        <v>0</v>
      </c>
      <c r="R2748" t="s">
        <v>243</v>
      </c>
    </row>
    <row r="2749" spans="1:18" x14ac:dyDescent="0.3">
      <c r="A2749" t="s">
        <v>259</v>
      </c>
      <c r="B2749" t="s">
        <v>58</v>
      </c>
      <c r="C2749" t="s">
        <v>304</v>
      </c>
      <c r="D2749" s="8">
        <v>2.6811700000000001E-4</v>
      </c>
      <c r="E2749" s="8">
        <v>3.50341E-4</v>
      </c>
      <c r="F2749" s="8">
        <v>3.9793700000000001E-4</v>
      </c>
      <c r="G2749" s="8">
        <v>4.0226299999999998E-4</v>
      </c>
      <c r="H2749" s="8">
        <v>4.5578600000000002E-4</v>
      </c>
      <c r="I2749" s="8">
        <v>4.8031099999999998E-4</v>
      </c>
      <c r="J2749" s="8">
        <v>4.8605479999999998E-4</v>
      </c>
      <c r="K2749" s="8">
        <v>4.9089049999999996E-4</v>
      </c>
      <c r="L2749" s="8">
        <v>4.90552E-4</v>
      </c>
      <c r="M2749" s="8">
        <v>4.8573529999999902E-4</v>
      </c>
      <c r="N2749" s="8">
        <v>4.8044639999999899E-4</v>
      </c>
      <c r="O2749">
        <v>0</v>
      </c>
      <c r="P2749">
        <v>0</v>
      </c>
      <c r="Q2749">
        <v>0</v>
      </c>
      <c r="R2749" t="s">
        <v>243</v>
      </c>
    </row>
    <row r="2750" spans="1:18" x14ac:dyDescent="0.3">
      <c r="A2750" t="s">
        <v>259</v>
      </c>
      <c r="B2750" t="s">
        <v>58</v>
      </c>
      <c r="C2750" t="s">
        <v>305</v>
      </c>
      <c r="D2750" s="8">
        <v>5.50473E-4</v>
      </c>
      <c r="E2750" s="8">
        <v>7.4495400000000004E-4</v>
      </c>
      <c r="F2750" s="8">
        <v>7.9772100000000004E-4</v>
      </c>
      <c r="G2750" s="8">
        <v>7.8755700000000004E-4</v>
      </c>
      <c r="H2750" s="8">
        <v>8.1729600000000002E-4</v>
      </c>
      <c r="I2750" s="8">
        <v>8.4147599999999996E-4</v>
      </c>
      <c r="J2750" s="8">
        <v>8.4100400000000001E-4</v>
      </c>
      <c r="K2750" s="8">
        <v>8.4289900000000004E-4</v>
      </c>
      <c r="L2750" s="8">
        <v>8.4048200000000003E-4</v>
      </c>
      <c r="M2750" s="8">
        <v>8.3250999999999996E-4</v>
      </c>
      <c r="N2750" s="8">
        <v>8.2392100000000003E-4</v>
      </c>
      <c r="O2750">
        <v>0</v>
      </c>
      <c r="P2750">
        <v>0</v>
      </c>
      <c r="Q2750">
        <v>0</v>
      </c>
      <c r="R2750" t="s">
        <v>243</v>
      </c>
    </row>
    <row r="2751" spans="1:18" x14ac:dyDescent="0.3">
      <c r="A2751" t="s">
        <v>259</v>
      </c>
      <c r="B2751" t="s">
        <v>58</v>
      </c>
      <c r="C2751" t="s">
        <v>306</v>
      </c>
      <c r="D2751" s="8">
        <v>3.4464100000000002E-4</v>
      </c>
      <c r="E2751" s="8">
        <v>4.5362000000000001E-4</v>
      </c>
      <c r="F2751" s="8">
        <v>5.0893499999999996E-4</v>
      </c>
      <c r="G2751" s="8">
        <v>5.0929399999999998E-4</v>
      </c>
      <c r="H2751" s="8">
        <v>5.3918599999999998E-4</v>
      </c>
      <c r="I2751" s="8">
        <v>5.6124099999999998E-4</v>
      </c>
      <c r="J2751" s="8">
        <v>5.6468889999999904E-4</v>
      </c>
      <c r="K2751" s="8">
        <v>5.6798339999999904E-4</v>
      </c>
      <c r="L2751" s="8">
        <v>5.6698899999999995E-4</v>
      </c>
      <c r="M2751" s="8">
        <v>5.6168150000000003E-4</v>
      </c>
      <c r="N2751" s="8">
        <v>5.5616719999999995E-4</v>
      </c>
      <c r="O2751">
        <v>0</v>
      </c>
      <c r="P2751">
        <v>0</v>
      </c>
      <c r="Q2751">
        <v>0</v>
      </c>
      <c r="R2751" t="s">
        <v>243</v>
      </c>
    </row>
    <row r="2752" spans="1:18" x14ac:dyDescent="0.3">
      <c r="A2752" t="s">
        <v>259</v>
      </c>
      <c r="B2752" t="s">
        <v>58</v>
      </c>
      <c r="C2752" t="s">
        <v>307</v>
      </c>
      <c r="D2752" s="8">
        <v>3.8594999999999998E-4</v>
      </c>
      <c r="E2752" s="8">
        <v>5.0373900000000001E-4</v>
      </c>
      <c r="F2752" s="8">
        <v>5.5689200000000002E-4</v>
      </c>
      <c r="G2752" s="8">
        <v>5.5673699999999997E-4</v>
      </c>
      <c r="H2752" s="8">
        <v>5.7932800000000005E-4</v>
      </c>
      <c r="I2752" s="8">
        <v>6.0184400000000003E-4</v>
      </c>
      <c r="J2752" s="8">
        <v>6.0384489999999996E-4</v>
      </c>
      <c r="K2752" s="8">
        <v>6.0656869999999995E-4</v>
      </c>
      <c r="L2752" s="8">
        <v>6.0510999999999996E-4</v>
      </c>
      <c r="M2752" s="8">
        <v>5.9899400000000005E-4</v>
      </c>
      <c r="N2752" s="8">
        <v>5.9264500000000004E-4</v>
      </c>
      <c r="O2752">
        <v>0</v>
      </c>
      <c r="P2752">
        <v>0</v>
      </c>
      <c r="Q2752">
        <v>0</v>
      </c>
      <c r="R2752" t="s">
        <v>243</v>
      </c>
    </row>
    <row r="2753" spans="1:18" x14ac:dyDescent="0.3">
      <c r="A2753" t="s">
        <v>259</v>
      </c>
      <c r="B2753" t="s">
        <v>58</v>
      </c>
      <c r="C2753" t="s">
        <v>308</v>
      </c>
      <c r="D2753" s="8">
        <v>4.0860499999999998E-4</v>
      </c>
      <c r="E2753" s="8">
        <v>5.3689299999999998E-4</v>
      </c>
      <c r="F2753" s="8">
        <v>5.9022700000000003E-4</v>
      </c>
      <c r="G2753" s="8">
        <v>5.8840300000000004E-4</v>
      </c>
      <c r="H2753" s="8">
        <v>6.0765799999999996E-4</v>
      </c>
      <c r="I2753" s="8">
        <v>6.2925500000000001E-4</v>
      </c>
      <c r="J2753" s="8">
        <v>6.3094639999999999E-4</v>
      </c>
      <c r="K2753" s="8">
        <v>6.3363959999999996E-4</v>
      </c>
      <c r="L2753" s="8">
        <v>6.3213799999999997E-4</v>
      </c>
      <c r="M2753" s="8">
        <v>6.2627799999999997E-4</v>
      </c>
      <c r="N2753" s="8">
        <v>6.2019699999999996E-4</v>
      </c>
      <c r="O2753">
        <v>0</v>
      </c>
      <c r="P2753">
        <v>0</v>
      </c>
      <c r="Q2753">
        <v>0</v>
      </c>
      <c r="R2753" t="s">
        <v>243</v>
      </c>
    </row>
    <row r="2754" spans="1:18" x14ac:dyDescent="0.3">
      <c r="A2754" t="s">
        <v>259</v>
      </c>
      <c r="B2754" t="s">
        <v>58</v>
      </c>
      <c r="C2754" t="s">
        <v>309</v>
      </c>
      <c r="D2754" s="8">
        <v>4.2757299999999999E-4</v>
      </c>
      <c r="E2754" s="8">
        <v>5.6510600000000001E-4</v>
      </c>
      <c r="F2754" s="8">
        <v>6.1668200000000002E-4</v>
      </c>
      <c r="G2754" s="8">
        <v>6.1478800000000001E-4</v>
      </c>
      <c r="H2754" s="8">
        <v>6.3128899999999896E-4</v>
      </c>
      <c r="I2754" s="8">
        <v>6.5348499999999998E-4</v>
      </c>
      <c r="J2754" s="8">
        <v>6.550242E-4</v>
      </c>
      <c r="K2754" s="8">
        <v>6.5770219999999999E-4</v>
      </c>
      <c r="L2754" s="8">
        <v>6.5607699999999905E-4</v>
      </c>
      <c r="M2754" s="8">
        <v>6.4959900000000005E-4</v>
      </c>
      <c r="N2754" s="8">
        <v>6.4317099999999902E-4</v>
      </c>
      <c r="O2754">
        <v>0</v>
      </c>
      <c r="P2754">
        <v>0</v>
      </c>
      <c r="Q2754">
        <v>0</v>
      </c>
      <c r="R2754" t="s">
        <v>243</v>
      </c>
    </row>
    <row r="2755" spans="1:18" x14ac:dyDescent="0.3">
      <c r="A2755" t="s">
        <v>259</v>
      </c>
      <c r="B2755" t="s">
        <v>58</v>
      </c>
      <c r="C2755" t="s">
        <v>310</v>
      </c>
      <c r="D2755" s="8">
        <v>4.4583399999999999E-4</v>
      </c>
      <c r="E2755" s="8">
        <v>5.89929E-4</v>
      </c>
      <c r="F2755" s="8">
        <v>6.3971999999999998E-4</v>
      </c>
      <c r="G2755" s="8">
        <v>6.3752100000000005E-4</v>
      </c>
      <c r="H2755" s="8">
        <v>6.5401900000000004E-4</v>
      </c>
      <c r="I2755" s="8">
        <v>6.7656399999999897E-4</v>
      </c>
      <c r="J2755" s="8">
        <v>6.777641E-4</v>
      </c>
      <c r="K2755" s="8">
        <v>6.7990439999999997E-4</v>
      </c>
      <c r="L2755" s="8">
        <v>6.7776899999999897E-4</v>
      </c>
      <c r="M2755" s="8">
        <v>6.7114400000000004E-4</v>
      </c>
      <c r="N2755" s="8">
        <v>6.6441199999999997E-4</v>
      </c>
      <c r="O2755">
        <v>0</v>
      </c>
      <c r="P2755">
        <v>0</v>
      </c>
      <c r="Q2755">
        <v>0</v>
      </c>
      <c r="R2755" t="s">
        <v>243</v>
      </c>
    </row>
    <row r="2756" spans="1:18" x14ac:dyDescent="0.3">
      <c r="A2756" t="s">
        <v>259</v>
      </c>
      <c r="B2756" t="s">
        <v>58</v>
      </c>
      <c r="C2756" t="s">
        <v>311</v>
      </c>
      <c r="D2756" s="8">
        <v>4.6394600000000002E-4</v>
      </c>
      <c r="E2756" s="8">
        <v>6.1319200000000003E-4</v>
      </c>
      <c r="F2756" s="8">
        <v>6.6231700000000005E-4</v>
      </c>
      <c r="G2756" s="8">
        <v>6.5771799999999995E-4</v>
      </c>
      <c r="H2756" s="8">
        <v>6.7731999999999905E-4</v>
      </c>
      <c r="I2756" s="8">
        <v>6.9920500000000005E-4</v>
      </c>
      <c r="J2756" s="8">
        <v>6.9983799999999896E-4</v>
      </c>
      <c r="K2756" s="8">
        <v>7.0248320000000002E-4</v>
      </c>
      <c r="L2756" s="8">
        <v>7.0082200000000003E-4</v>
      </c>
      <c r="M2756" s="8">
        <v>6.9419000000000002E-4</v>
      </c>
      <c r="N2756" s="8">
        <v>6.8729800000000003E-4</v>
      </c>
      <c r="O2756">
        <v>0</v>
      </c>
      <c r="P2756">
        <v>0</v>
      </c>
      <c r="Q2756">
        <v>0</v>
      </c>
      <c r="R2756" t="s">
        <v>243</v>
      </c>
    </row>
    <row r="2757" spans="1:18" x14ac:dyDescent="0.3">
      <c r="A2757" t="s">
        <v>259</v>
      </c>
      <c r="B2757" t="s">
        <v>58</v>
      </c>
      <c r="C2757" t="s">
        <v>312</v>
      </c>
      <c r="D2757" s="8">
        <v>4.8192299999999999E-4</v>
      </c>
      <c r="E2757" s="8">
        <v>6.3845000000000004E-4</v>
      </c>
      <c r="F2757" s="8">
        <v>6.8687900000000005E-4</v>
      </c>
      <c r="G2757" s="8">
        <v>6.8308400000000003E-4</v>
      </c>
      <c r="H2757" s="8">
        <v>7.0231000000000004E-4</v>
      </c>
      <c r="I2757" s="8">
        <v>7.2522999999999999E-4</v>
      </c>
      <c r="J2757" s="8">
        <v>7.2581299999999996E-4</v>
      </c>
      <c r="K2757" s="8">
        <v>7.280966E-4</v>
      </c>
      <c r="L2757" s="8">
        <v>7.2616900000000003E-4</v>
      </c>
      <c r="M2757" s="8">
        <v>7.1913599999999999E-4</v>
      </c>
      <c r="N2757" s="8">
        <v>7.1188399999999998E-4</v>
      </c>
      <c r="O2757">
        <v>0</v>
      </c>
      <c r="P2757">
        <v>0</v>
      </c>
      <c r="Q2757">
        <v>0</v>
      </c>
      <c r="R2757" t="s">
        <v>243</v>
      </c>
    </row>
    <row r="2758" spans="1:18" x14ac:dyDescent="0.3">
      <c r="A2758" t="s">
        <v>259</v>
      </c>
      <c r="B2758" t="s">
        <v>58</v>
      </c>
      <c r="C2758" t="s">
        <v>313</v>
      </c>
      <c r="D2758" s="8">
        <v>5.0934899999999998E-4</v>
      </c>
      <c r="E2758" s="8">
        <v>6.6846500000000003E-4</v>
      </c>
      <c r="F2758" s="8">
        <v>7.2120300000000001E-4</v>
      </c>
      <c r="G2758" s="8">
        <v>7.1407199999999995E-4</v>
      </c>
      <c r="H2758" s="8">
        <v>7.3699099999999999E-4</v>
      </c>
      <c r="I2758" s="8">
        <v>7.5948699999999999E-4</v>
      </c>
      <c r="J2758" s="8">
        <v>7.5948200000000002E-4</v>
      </c>
      <c r="K2758" s="8">
        <v>7.6187800000000001E-4</v>
      </c>
      <c r="L2758" s="8">
        <v>7.5969099999999995E-4</v>
      </c>
      <c r="M2758" s="8">
        <v>7.5210999999999995E-4</v>
      </c>
      <c r="N2758" s="8">
        <v>7.4418100000000001E-4</v>
      </c>
      <c r="O2758">
        <v>0</v>
      </c>
      <c r="P2758">
        <v>0</v>
      </c>
      <c r="Q2758">
        <v>0</v>
      </c>
      <c r="R2758" t="s">
        <v>243</v>
      </c>
    </row>
    <row r="2759" spans="1:18" x14ac:dyDescent="0.3">
      <c r="A2759" t="s">
        <v>259</v>
      </c>
      <c r="B2759" t="s">
        <v>58</v>
      </c>
      <c r="C2759" t="s">
        <v>314</v>
      </c>
      <c r="D2759" s="8">
        <v>3.88333E-5</v>
      </c>
      <c r="E2759" s="8">
        <v>5.19612E-5</v>
      </c>
      <c r="F2759" s="8">
        <v>6.0188200000000001E-5</v>
      </c>
      <c r="G2759" s="8">
        <v>6.1535800000000001E-5</v>
      </c>
      <c r="H2759" s="8">
        <v>7.3756200000000004E-5</v>
      </c>
      <c r="I2759" s="8">
        <v>7.7678999999999999E-5</v>
      </c>
      <c r="J2759" s="8">
        <v>7.9324600000000003E-5</v>
      </c>
      <c r="K2759" s="8">
        <v>8.0408500000000001E-5</v>
      </c>
      <c r="L2759" s="8">
        <v>8.0131199999999996E-5</v>
      </c>
      <c r="M2759" s="8">
        <v>7.9068799999999998E-5</v>
      </c>
      <c r="N2759" s="8">
        <v>7.7716300000000007E-5</v>
      </c>
      <c r="O2759">
        <v>0</v>
      </c>
      <c r="P2759">
        <v>0</v>
      </c>
      <c r="Q2759">
        <v>0</v>
      </c>
      <c r="R2759" t="s">
        <v>243</v>
      </c>
    </row>
    <row r="2760" spans="1:18" x14ac:dyDescent="0.3">
      <c r="A2760" t="s">
        <v>259</v>
      </c>
      <c r="B2760" t="s">
        <v>58</v>
      </c>
      <c r="C2760" t="s">
        <v>315</v>
      </c>
      <c r="D2760" s="8">
        <v>1.01748E-4</v>
      </c>
      <c r="E2760" s="8">
        <v>1.33733E-4</v>
      </c>
      <c r="F2760" s="8">
        <v>1.4241500000000001E-4</v>
      </c>
      <c r="G2760" s="8">
        <v>1.4017000000000001E-4</v>
      </c>
      <c r="H2760" s="8">
        <v>1.42163E-4</v>
      </c>
      <c r="I2760" s="8">
        <v>1.4389599999999999E-4</v>
      </c>
      <c r="J2760" s="8">
        <v>1.4352000000000001E-4</v>
      </c>
      <c r="K2760" s="8">
        <v>1.42142E-4</v>
      </c>
      <c r="L2760" s="8">
        <v>1.4016899999999999E-4</v>
      </c>
      <c r="M2760" s="8">
        <v>1.3768799999999999E-4</v>
      </c>
      <c r="N2760" s="8">
        <v>1.3485600000000001E-4</v>
      </c>
      <c r="O2760">
        <v>0</v>
      </c>
      <c r="P2760">
        <v>0</v>
      </c>
      <c r="Q2760">
        <v>0</v>
      </c>
      <c r="R2760" t="s">
        <v>243</v>
      </c>
    </row>
    <row r="2761" spans="1:18" x14ac:dyDescent="0.3">
      <c r="A2761" t="s">
        <v>259</v>
      </c>
      <c r="B2761" t="s">
        <v>58</v>
      </c>
      <c r="C2761" t="s">
        <v>316</v>
      </c>
      <c r="D2761" s="8">
        <v>5.4515799999999997E-5</v>
      </c>
      <c r="E2761" s="8">
        <v>7.3972200000000003E-5</v>
      </c>
      <c r="F2761" s="8">
        <v>8.4423400000000002E-5</v>
      </c>
      <c r="G2761" s="8">
        <v>8.5049600000000006E-5</v>
      </c>
      <c r="H2761" s="8">
        <v>9.1891999999999994E-5</v>
      </c>
      <c r="I2761" s="8">
        <v>9.46886E-5</v>
      </c>
      <c r="J2761" s="8">
        <v>9.5512400000000004E-5</v>
      </c>
      <c r="K2761" s="8">
        <v>9.5381499999999995E-5</v>
      </c>
      <c r="L2761" s="8">
        <v>9.4347199999999997E-5</v>
      </c>
      <c r="M2761" s="8">
        <v>9.2768099999999997E-5</v>
      </c>
      <c r="N2761" s="8">
        <v>9.0962000000000001E-5</v>
      </c>
      <c r="O2761">
        <v>0</v>
      </c>
      <c r="P2761">
        <v>0</v>
      </c>
      <c r="Q2761">
        <v>0</v>
      </c>
      <c r="R2761" t="s">
        <v>243</v>
      </c>
    </row>
    <row r="2762" spans="1:18" x14ac:dyDescent="0.3">
      <c r="A2762" t="s">
        <v>259</v>
      </c>
      <c r="B2762" t="s">
        <v>58</v>
      </c>
      <c r="C2762" t="s">
        <v>317</v>
      </c>
      <c r="D2762" s="8">
        <v>6.4250400000000004E-5</v>
      </c>
      <c r="E2762" s="8">
        <v>8.5773999999999996E-5</v>
      </c>
      <c r="F2762" s="8">
        <v>9.5606099999999999E-5</v>
      </c>
      <c r="G2762" s="8">
        <v>9.5959300000000001E-5</v>
      </c>
      <c r="H2762" s="8">
        <v>9.9978199999999998E-5</v>
      </c>
      <c r="I2762" s="8">
        <v>1.02463E-4</v>
      </c>
      <c r="J2762" s="8">
        <v>1.02785E-4</v>
      </c>
      <c r="K2762" s="8">
        <v>1.02188E-4</v>
      </c>
      <c r="L2762" s="8">
        <v>1.00874E-4</v>
      </c>
      <c r="M2762" s="8">
        <v>9.9043199999999994E-5</v>
      </c>
      <c r="N2762" s="8">
        <v>9.69907E-5</v>
      </c>
      <c r="O2762">
        <v>0</v>
      </c>
      <c r="P2762">
        <v>0</v>
      </c>
      <c r="Q2762">
        <v>0</v>
      </c>
      <c r="R2762" t="s">
        <v>243</v>
      </c>
    </row>
    <row r="2763" spans="1:18" x14ac:dyDescent="0.3">
      <c r="A2763" t="s">
        <v>259</v>
      </c>
      <c r="B2763" t="s">
        <v>58</v>
      </c>
      <c r="C2763" t="s">
        <v>318</v>
      </c>
      <c r="D2763" s="8">
        <v>6.9916299999999993E-5</v>
      </c>
      <c r="E2763" s="8">
        <v>9.3539E-5</v>
      </c>
      <c r="F2763" s="8">
        <v>1.03148E-4</v>
      </c>
      <c r="G2763" s="8">
        <v>1.02946E-4</v>
      </c>
      <c r="H2763" s="8">
        <v>1.05336E-4</v>
      </c>
      <c r="I2763" s="8">
        <v>1.0741700000000001E-4</v>
      </c>
      <c r="J2763" s="8">
        <v>1.0758499999999999E-4</v>
      </c>
      <c r="K2763" s="8">
        <v>1.0682400000000001E-4</v>
      </c>
      <c r="L2763" s="8">
        <v>1.05414E-4</v>
      </c>
      <c r="M2763" s="8">
        <v>1.03575E-4</v>
      </c>
      <c r="N2763" s="8">
        <v>1.0151E-4</v>
      </c>
      <c r="O2763">
        <v>0</v>
      </c>
      <c r="P2763">
        <v>0</v>
      </c>
      <c r="Q2763">
        <v>0</v>
      </c>
      <c r="R2763" t="s">
        <v>243</v>
      </c>
    </row>
    <row r="2764" spans="1:18" x14ac:dyDescent="0.3">
      <c r="A2764" t="s">
        <v>259</v>
      </c>
      <c r="B2764" t="s">
        <v>58</v>
      </c>
      <c r="C2764" t="s">
        <v>319</v>
      </c>
      <c r="D2764" s="8">
        <v>7.4741399999999996E-5</v>
      </c>
      <c r="E2764" s="8">
        <v>9.9841100000000002E-5</v>
      </c>
      <c r="F2764" s="8">
        <v>1.0882099999999999E-4</v>
      </c>
      <c r="G2764" s="8">
        <v>1.08449E-4</v>
      </c>
      <c r="H2764" s="8">
        <v>1.0963600000000001E-4</v>
      </c>
      <c r="I2764" s="8">
        <v>1.11673E-4</v>
      </c>
      <c r="J2764" s="8">
        <v>1.1176E-4</v>
      </c>
      <c r="K2764" s="8">
        <v>1.10901E-4</v>
      </c>
      <c r="L2764" s="8">
        <v>1.0941400000000001E-4</v>
      </c>
      <c r="M2764" s="8">
        <v>1.0743600000000001E-4</v>
      </c>
      <c r="N2764" s="8">
        <v>1.05271E-4</v>
      </c>
      <c r="O2764">
        <v>0</v>
      </c>
      <c r="P2764">
        <v>0</v>
      </c>
      <c r="Q2764">
        <v>0</v>
      </c>
      <c r="R2764" t="s">
        <v>243</v>
      </c>
    </row>
    <row r="2765" spans="1:18" x14ac:dyDescent="0.3">
      <c r="A2765" t="s">
        <v>259</v>
      </c>
      <c r="B2765" t="s">
        <v>58</v>
      </c>
      <c r="C2765" t="s">
        <v>320</v>
      </c>
      <c r="D2765" s="8">
        <v>7.9347900000000006E-5</v>
      </c>
      <c r="E2765" s="8">
        <v>1.0505600000000001E-4</v>
      </c>
      <c r="F2765" s="8">
        <v>1.13504E-4</v>
      </c>
      <c r="G2765" s="8">
        <v>1.1294999999999999E-4</v>
      </c>
      <c r="H2765" s="8">
        <v>1.13681E-4</v>
      </c>
      <c r="I2765" s="8">
        <v>1.15667E-4</v>
      </c>
      <c r="J2765" s="8">
        <v>1.1566299999999999E-4</v>
      </c>
      <c r="K2765" s="8">
        <v>1.1464999999999999E-4</v>
      </c>
      <c r="L2765" s="8">
        <v>1.13032E-4</v>
      </c>
      <c r="M2765" s="8">
        <v>1.11001E-4</v>
      </c>
      <c r="N2765" s="8">
        <v>1.08748E-4</v>
      </c>
      <c r="O2765">
        <v>0</v>
      </c>
      <c r="P2765">
        <v>0</v>
      </c>
      <c r="Q2765">
        <v>0</v>
      </c>
      <c r="R2765" t="s">
        <v>243</v>
      </c>
    </row>
    <row r="2766" spans="1:18" x14ac:dyDescent="0.3">
      <c r="A2766" t="s">
        <v>259</v>
      </c>
      <c r="B2766" t="s">
        <v>58</v>
      </c>
      <c r="C2766" t="s">
        <v>321</v>
      </c>
      <c r="D2766" s="8">
        <v>8.3768499999999996E-5</v>
      </c>
      <c r="E2766" s="8">
        <v>1.09671E-4</v>
      </c>
      <c r="F2766" s="8">
        <v>1.17889E-4</v>
      </c>
      <c r="G2766" s="8">
        <v>1.1679399999999999E-4</v>
      </c>
      <c r="H2766" s="8">
        <v>1.17781E-4</v>
      </c>
      <c r="I2766" s="8">
        <v>1.1955600000000001E-4</v>
      </c>
      <c r="J2766" s="8">
        <v>1.19434E-4</v>
      </c>
      <c r="K2766" s="8">
        <v>1.18461E-4</v>
      </c>
      <c r="L2766" s="8">
        <v>1.16878E-4</v>
      </c>
      <c r="M2766" s="8">
        <v>1.14812E-4</v>
      </c>
      <c r="N2766" s="8">
        <v>1.12494E-4</v>
      </c>
      <c r="O2766">
        <v>0</v>
      </c>
      <c r="P2766">
        <v>0</v>
      </c>
      <c r="Q2766">
        <v>0</v>
      </c>
      <c r="R2766" t="s">
        <v>243</v>
      </c>
    </row>
    <row r="2767" spans="1:18" x14ac:dyDescent="0.3">
      <c r="A2767" t="s">
        <v>259</v>
      </c>
      <c r="B2767" t="s">
        <v>58</v>
      </c>
      <c r="C2767" t="s">
        <v>322</v>
      </c>
      <c r="D2767" s="8">
        <v>8.7921699999999995E-5</v>
      </c>
      <c r="E2767" s="8">
        <v>1.1445700000000001E-4</v>
      </c>
      <c r="F2767" s="8">
        <v>1.2248200000000001E-4</v>
      </c>
      <c r="G2767" s="8">
        <v>1.21475E-4</v>
      </c>
      <c r="H2767" s="8">
        <v>1.22142E-4</v>
      </c>
      <c r="I2767" s="8">
        <v>1.2401299999999999E-4</v>
      </c>
      <c r="J2767" s="8">
        <v>1.2386999999999999E-4</v>
      </c>
      <c r="K2767" s="8">
        <v>1.2277999999999999E-4</v>
      </c>
      <c r="L2767" s="8">
        <v>1.21105E-4</v>
      </c>
      <c r="M2767" s="8">
        <v>1.1893800000000001E-4</v>
      </c>
      <c r="N2767" s="8">
        <v>1.16518E-4</v>
      </c>
      <c r="O2767">
        <v>0</v>
      </c>
      <c r="P2767">
        <v>0</v>
      </c>
      <c r="Q2767">
        <v>0</v>
      </c>
      <c r="R2767" t="s">
        <v>243</v>
      </c>
    </row>
    <row r="2768" spans="1:18" x14ac:dyDescent="0.3">
      <c r="A2768" t="s">
        <v>259</v>
      </c>
      <c r="B2768" t="s">
        <v>58</v>
      </c>
      <c r="C2768" t="s">
        <v>323</v>
      </c>
      <c r="D2768" s="8">
        <v>9.3766700000000005E-5</v>
      </c>
      <c r="E2768" s="8">
        <v>1.19963E-4</v>
      </c>
      <c r="F2768" s="8">
        <v>1.2872299999999999E-4</v>
      </c>
      <c r="G2768" s="8">
        <v>1.2706699999999999E-4</v>
      </c>
      <c r="H2768" s="8">
        <v>1.2818500000000001E-4</v>
      </c>
      <c r="I2768" s="8">
        <v>1.2987200000000001E-4</v>
      </c>
      <c r="J2768" s="8">
        <v>1.2961299999999999E-4</v>
      </c>
      <c r="K2768" s="8">
        <v>1.2847800000000001E-4</v>
      </c>
      <c r="L2768" s="8">
        <v>1.2669499999999999E-4</v>
      </c>
      <c r="M2768" s="8">
        <v>1.2438999999999999E-4</v>
      </c>
      <c r="N2768" s="8">
        <v>1.21804E-4</v>
      </c>
      <c r="O2768">
        <v>0</v>
      </c>
      <c r="P2768">
        <v>0</v>
      </c>
      <c r="Q2768">
        <v>0</v>
      </c>
      <c r="R2768" t="s">
        <v>243</v>
      </c>
    </row>
    <row r="2769" spans="1:18" x14ac:dyDescent="0.3">
      <c r="A2769" t="s">
        <v>259</v>
      </c>
      <c r="B2769" t="s">
        <v>24</v>
      </c>
      <c r="C2769" t="s">
        <v>261</v>
      </c>
      <c r="D2769">
        <v>7.4320200999999997E-3</v>
      </c>
      <c r="E2769">
        <v>2.22644E-2</v>
      </c>
      <c r="F2769">
        <v>3.1768199999999899E-2</v>
      </c>
      <c r="G2769">
        <v>2.72774E-2</v>
      </c>
      <c r="H2769">
        <v>2.9464881799999999E-2</v>
      </c>
      <c r="I2769">
        <v>3.3768063100000002E-2</v>
      </c>
      <c r="J2769">
        <v>3.4463663499999998E-2</v>
      </c>
      <c r="K2769">
        <v>3.66994348E-2</v>
      </c>
      <c r="L2769">
        <v>3.8963437099999998E-2</v>
      </c>
      <c r="M2769">
        <v>4.0526921499999903E-2</v>
      </c>
      <c r="N2769">
        <v>4.1763297099999902E-2</v>
      </c>
      <c r="O2769">
        <v>0</v>
      </c>
      <c r="P2769">
        <v>0</v>
      </c>
      <c r="Q2769">
        <v>0</v>
      </c>
      <c r="R2769" t="s">
        <v>243</v>
      </c>
    </row>
    <row r="2770" spans="1:18" x14ac:dyDescent="0.3">
      <c r="A2770" t="s">
        <v>259</v>
      </c>
      <c r="B2770" t="s">
        <v>24</v>
      </c>
      <c r="C2770" t="s">
        <v>262</v>
      </c>
      <c r="D2770">
        <v>1.0995620629000001E-2</v>
      </c>
      <c r="E2770">
        <v>3.166836411E-2</v>
      </c>
      <c r="F2770">
        <v>5.0222886899999999E-2</v>
      </c>
      <c r="G2770">
        <v>4.5102771600000001E-2</v>
      </c>
      <c r="H2770">
        <v>3.9023261400000002E-2</v>
      </c>
      <c r="I2770">
        <v>4.1789355980999997E-2</v>
      </c>
      <c r="J2770">
        <v>4.1702314955999999E-2</v>
      </c>
      <c r="K2770">
        <v>4.1135866463999901E-2</v>
      </c>
      <c r="L2770">
        <v>3.7012357375999998E-2</v>
      </c>
      <c r="M2770">
        <v>3.7990123355000002E-2</v>
      </c>
      <c r="N2770">
        <v>3.8511890549999997E-2</v>
      </c>
      <c r="O2770">
        <v>0</v>
      </c>
      <c r="P2770">
        <v>0</v>
      </c>
      <c r="Q2770">
        <v>0</v>
      </c>
      <c r="R2770" t="s">
        <v>243</v>
      </c>
    </row>
    <row r="2771" spans="1:18" x14ac:dyDescent="0.3">
      <c r="A2771" t="s">
        <v>259</v>
      </c>
      <c r="B2771" t="s">
        <v>24</v>
      </c>
      <c r="C2771" t="s">
        <v>263</v>
      </c>
      <c r="D2771">
        <v>0.104990665</v>
      </c>
      <c r="E2771">
        <v>0.28384039999999999</v>
      </c>
      <c r="F2771">
        <v>0.37407980000000002</v>
      </c>
      <c r="G2771">
        <v>0.31918679999999999</v>
      </c>
      <c r="H2771">
        <v>0.32085464799999902</v>
      </c>
      <c r="I2771">
        <v>0.36437764369999898</v>
      </c>
      <c r="J2771">
        <v>0.38429893300000001</v>
      </c>
      <c r="K2771">
        <v>0.405196167</v>
      </c>
      <c r="L2771">
        <v>0.42667624299999901</v>
      </c>
      <c r="M2771">
        <v>0.44306130399999999</v>
      </c>
      <c r="N2771">
        <v>0.45462036899999902</v>
      </c>
      <c r="O2771">
        <v>0</v>
      </c>
      <c r="P2771">
        <v>0</v>
      </c>
      <c r="Q2771">
        <v>0</v>
      </c>
      <c r="R2771" t="s">
        <v>243</v>
      </c>
    </row>
    <row r="2772" spans="1:18" x14ac:dyDescent="0.3">
      <c r="A2772" t="s">
        <v>259</v>
      </c>
      <c r="B2772" t="s">
        <v>24</v>
      </c>
      <c r="C2772" t="s">
        <v>324</v>
      </c>
      <c r="D2772" s="8">
        <v>4.2914E-4</v>
      </c>
      <c r="E2772" s="8">
        <v>3.3261199999999998E-4</v>
      </c>
      <c r="F2772" s="8">
        <v>2.8183199999999998E-4</v>
      </c>
      <c r="G2772" s="8">
        <v>1.5022399999999999E-4</v>
      </c>
      <c r="H2772" s="8">
        <v>1.552306E-4</v>
      </c>
      <c r="I2772" s="8">
        <v>1.6029830000000001E-4</v>
      </c>
      <c r="J2772" s="8">
        <v>1.63497E-4</v>
      </c>
      <c r="K2772" s="8">
        <v>1.6732610000000001E-4</v>
      </c>
      <c r="L2772" s="8">
        <v>1.716566E-4</v>
      </c>
      <c r="M2772" s="8">
        <v>1.749505E-4</v>
      </c>
      <c r="N2772" s="8">
        <v>1.7749789999999999E-4</v>
      </c>
      <c r="O2772">
        <v>0</v>
      </c>
      <c r="P2772">
        <v>0</v>
      </c>
      <c r="Q2772">
        <v>0</v>
      </c>
      <c r="R2772" t="s">
        <v>243</v>
      </c>
    </row>
    <row r="2773" spans="1:18" x14ac:dyDescent="0.3">
      <c r="A2773" t="s">
        <v>259</v>
      </c>
      <c r="B2773" t="s">
        <v>24</v>
      </c>
      <c r="C2773" t="s">
        <v>325</v>
      </c>
      <c r="D2773" s="8">
        <v>2.3246200000000001E-5</v>
      </c>
      <c r="E2773" s="8">
        <v>1.6328E-5</v>
      </c>
      <c r="F2773" s="8">
        <v>1.3088099999999999E-5</v>
      </c>
      <c r="G2773" s="8">
        <v>6.3817199999999999E-6</v>
      </c>
      <c r="H2773" s="8">
        <v>6.4863699999999999E-6</v>
      </c>
      <c r="I2773" s="8">
        <v>6.7768799999999997E-6</v>
      </c>
      <c r="J2773" s="8">
        <v>6.8766070000000003E-6</v>
      </c>
      <c r="K2773" s="8">
        <v>6.9890119999999998E-6</v>
      </c>
      <c r="L2773" s="8">
        <v>7.1059999999999901E-6</v>
      </c>
      <c r="M2773" s="8">
        <v>7.1817600000000002E-6</v>
      </c>
      <c r="N2773" s="8">
        <v>7.2165899999999998E-6</v>
      </c>
      <c r="O2773">
        <v>0</v>
      </c>
      <c r="P2773">
        <v>0</v>
      </c>
      <c r="Q2773">
        <v>0</v>
      </c>
      <c r="R2773" t="s">
        <v>243</v>
      </c>
    </row>
    <row r="2774" spans="1:18" x14ac:dyDescent="0.3">
      <c r="A2774" t="s">
        <v>259</v>
      </c>
      <c r="B2774" t="s">
        <v>24</v>
      </c>
      <c r="C2774" t="s">
        <v>326</v>
      </c>
      <c r="D2774" s="8">
        <v>2.4833400000000001E-4</v>
      </c>
      <c r="E2774" s="8">
        <v>1.7832699999999999E-4</v>
      </c>
      <c r="F2774" s="8">
        <v>1.5041300000000001E-4</v>
      </c>
      <c r="G2774" s="8">
        <v>7.7773299999999996E-5</v>
      </c>
      <c r="H2774" s="8">
        <v>7.9634499999999998E-5</v>
      </c>
      <c r="I2774" s="8">
        <v>8.2417300000000001E-5</v>
      </c>
      <c r="J2774" s="8">
        <v>8.4055900000000003E-5</v>
      </c>
      <c r="K2774" s="8">
        <v>8.5944799999999896E-5</v>
      </c>
      <c r="L2774" s="8">
        <v>8.7991000000000005E-5</v>
      </c>
      <c r="M2774" s="8">
        <v>8.9534800000000002E-5</v>
      </c>
      <c r="N2774" s="8">
        <v>9.0671E-5</v>
      </c>
      <c r="O2774">
        <v>0</v>
      </c>
      <c r="P2774">
        <v>0</v>
      </c>
      <c r="Q2774">
        <v>0</v>
      </c>
      <c r="R2774" t="s">
        <v>243</v>
      </c>
    </row>
    <row r="2775" spans="1:18" x14ac:dyDescent="0.3">
      <c r="A2775" t="s">
        <v>259</v>
      </c>
      <c r="B2775" t="s">
        <v>24</v>
      </c>
      <c r="C2775" t="s">
        <v>327</v>
      </c>
      <c r="D2775" s="8">
        <v>1.73828E-4</v>
      </c>
      <c r="E2775" s="8">
        <v>1.2966900000000001E-4</v>
      </c>
      <c r="F2775" s="8">
        <v>1.06369E-4</v>
      </c>
      <c r="G2775" s="8">
        <v>5.3830499999999999E-5</v>
      </c>
      <c r="H2775" s="8">
        <v>5.4713299999999997E-5</v>
      </c>
      <c r="I2775" s="8">
        <v>5.7206500000000002E-5</v>
      </c>
      <c r="J2775" s="8">
        <v>5.8235320000000003E-5</v>
      </c>
      <c r="K2775" s="8">
        <v>5.9421800000000001E-5</v>
      </c>
      <c r="L2775" s="8">
        <v>6.0711399999999901E-5</v>
      </c>
      <c r="M2775" s="8">
        <v>6.1645799999999999E-5</v>
      </c>
      <c r="N2775" s="8">
        <v>6.2302000000000001E-5</v>
      </c>
      <c r="O2775">
        <v>0</v>
      </c>
      <c r="P2775">
        <v>0</v>
      </c>
      <c r="Q2775">
        <v>0</v>
      </c>
      <c r="R2775" t="s">
        <v>243</v>
      </c>
    </row>
    <row r="2776" spans="1:18" x14ac:dyDescent="0.3">
      <c r="A2776" t="s">
        <v>259</v>
      </c>
      <c r="B2776" t="s">
        <v>24</v>
      </c>
      <c r="C2776" t="s">
        <v>328</v>
      </c>
      <c r="D2776" s="8">
        <v>1.3812199999999999E-4</v>
      </c>
      <c r="E2776" s="8">
        <v>1.03088E-4</v>
      </c>
      <c r="F2776" s="8">
        <v>8.3232200000000006E-5</v>
      </c>
      <c r="G2776" s="8">
        <v>4.1477000000000003E-5</v>
      </c>
      <c r="H2776" s="8">
        <v>4.2157199999999997E-5</v>
      </c>
      <c r="I2776" s="8">
        <v>4.4033199999999997E-5</v>
      </c>
      <c r="J2776" s="8">
        <v>4.4792929999999998E-5</v>
      </c>
      <c r="K2776" s="8">
        <v>4.5684449999999901E-5</v>
      </c>
      <c r="L2776" s="8">
        <v>4.6657289999999997E-5</v>
      </c>
      <c r="M2776" s="8">
        <v>4.7360449999999998E-5</v>
      </c>
      <c r="N2776" s="8">
        <v>4.7830349999999999E-5</v>
      </c>
      <c r="O2776">
        <v>0</v>
      </c>
      <c r="P2776">
        <v>0</v>
      </c>
      <c r="Q2776">
        <v>0</v>
      </c>
      <c r="R2776" t="s">
        <v>243</v>
      </c>
    </row>
    <row r="2777" spans="1:18" x14ac:dyDescent="0.3">
      <c r="A2777" t="s">
        <v>259</v>
      </c>
      <c r="B2777" t="s">
        <v>24</v>
      </c>
      <c r="C2777" t="s">
        <v>329</v>
      </c>
      <c r="D2777" s="8">
        <v>1.12584E-4</v>
      </c>
      <c r="E2777" s="8">
        <v>8.3775699999999998E-5</v>
      </c>
      <c r="F2777" s="8">
        <v>6.7660499999999994E-5</v>
      </c>
      <c r="G2777" s="8">
        <v>3.3560699999999999E-5</v>
      </c>
      <c r="H2777" s="8">
        <v>3.4110999999999999E-5</v>
      </c>
      <c r="I2777" s="8">
        <v>3.5685000000000001E-5</v>
      </c>
      <c r="J2777" s="8">
        <v>3.6286830000000002E-5</v>
      </c>
      <c r="K2777" s="8">
        <v>3.6984080000000003E-5</v>
      </c>
      <c r="L2777" s="8">
        <v>3.776139E-5</v>
      </c>
      <c r="M2777" s="8">
        <v>3.8311E-5</v>
      </c>
      <c r="N2777" s="8">
        <v>3.8662689999999998E-5</v>
      </c>
      <c r="O2777">
        <v>0</v>
      </c>
      <c r="P2777">
        <v>0</v>
      </c>
      <c r="Q2777">
        <v>0</v>
      </c>
      <c r="R2777" t="s">
        <v>243</v>
      </c>
    </row>
    <row r="2778" spans="1:18" x14ac:dyDescent="0.3">
      <c r="A2778" t="s">
        <v>259</v>
      </c>
      <c r="B2778" t="s">
        <v>24</v>
      </c>
      <c r="C2778" t="s">
        <v>330</v>
      </c>
      <c r="D2778" s="8">
        <v>9.2827500000000005E-5</v>
      </c>
      <c r="E2778" s="8">
        <v>6.9077800000000005E-5</v>
      </c>
      <c r="F2778" s="8">
        <v>5.5678299999999998E-5</v>
      </c>
      <c r="G2778" s="8">
        <v>2.7448800000000001E-5</v>
      </c>
      <c r="H2778" s="8">
        <v>2.7898999999999998E-5</v>
      </c>
      <c r="I2778" s="8">
        <v>2.9211939999999898E-5</v>
      </c>
      <c r="J2778" s="8">
        <v>2.96848099999999E-5</v>
      </c>
      <c r="K2778" s="8">
        <v>3.024699E-5</v>
      </c>
      <c r="L2778" s="8">
        <v>3.0857579999999999E-5</v>
      </c>
      <c r="M2778" s="8">
        <v>3.1297429999999998E-5</v>
      </c>
      <c r="N2778" s="8">
        <v>3.1571529999999901E-5</v>
      </c>
      <c r="O2778">
        <v>0</v>
      </c>
      <c r="P2778">
        <v>0</v>
      </c>
      <c r="Q2778">
        <v>0</v>
      </c>
      <c r="R2778" t="s">
        <v>243</v>
      </c>
    </row>
    <row r="2779" spans="1:18" x14ac:dyDescent="0.3">
      <c r="A2779" t="s">
        <v>259</v>
      </c>
      <c r="B2779" t="s">
        <v>24</v>
      </c>
      <c r="C2779" t="s">
        <v>331</v>
      </c>
      <c r="D2779" s="8">
        <v>7.5868299999999993E-5</v>
      </c>
      <c r="E2779" s="8">
        <v>5.6789500000000002E-5</v>
      </c>
      <c r="F2779" s="8">
        <v>4.5592500000000001E-5</v>
      </c>
      <c r="G2779" s="8">
        <v>2.2504899999999999E-5</v>
      </c>
      <c r="H2779" s="8">
        <v>2.287398E-5</v>
      </c>
      <c r="I2779" s="8">
        <v>2.3991739999999999E-5</v>
      </c>
      <c r="J2779" s="8">
        <v>2.436968E-5</v>
      </c>
      <c r="K2779" s="8">
        <v>2.4817319999999998E-5</v>
      </c>
      <c r="L2779" s="8">
        <v>2.530613E-5</v>
      </c>
      <c r="M2779" s="8">
        <v>2.564763E-5</v>
      </c>
      <c r="N2779" s="8">
        <v>2.5846909999999999E-5</v>
      </c>
      <c r="O2779">
        <v>0</v>
      </c>
      <c r="P2779">
        <v>0</v>
      </c>
      <c r="Q2779">
        <v>0</v>
      </c>
      <c r="R2779" t="s">
        <v>243</v>
      </c>
    </row>
    <row r="2780" spans="1:18" x14ac:dyDescent="0.3">
      <c r="A2780" t="s">
        <v>259</v>
      </c>
      <c r="B2780" t="s">
        <v>24</v>
      </c>
      <c r="C2780" t="s">
        <v>332</v>
      </c>
      <c r="D2780" s="8">
        <v>6.10347E-5</v>
      </c>
      <c r="E2780" s="8">
        <v>4.5364300000000002E-5</v>
      </c>
      <c r="F2780" s="8">
        <v>3.6467400000000003E-5</v>
      </c>
      <c r="G2780" s="8">
        <v>1.7651699999999999E-5</v>
      </c>
      <c r="H2780" s="8">
        <v>1.7941170000000002E-5</v>
      </c>
      <c r="I2780" s="8">
        <v>1.8792170000000001E-5</v>
      </c>
      <c r="J2780" s="8">
        <v>1.908896E-5</v>
      </c>
      <c r="K2780" s="8">
        <v>1.9429379999999999E-5</v>
      </c>
      <c r="L2780" s="8">
        <v>1.9794300000000001E-5</v>
      </c>
      <c r="M2780" s="8">
        <v>2.004531E-5</v>
      </c>
      <c r="N2780" s="8">
        <v>2.0189420000000002E-5</v>
      </c>
      <c r="O2780">
        <v>0</v>
      </c>
      <c r="P2780">
        <v>0</v>
      </c>
      <c r="Q2780">
        <v>0</v>
      </c>
      <c r="R2780" t="s">
        <v>243</v>
      </c>
    </row>
    <row r="2781" spans="1:18" x14ac:dyDescent="0.3">
      <c r="A2781" t="s">
        <v>259</v>
      </c>
      <c r="B2781" t="s">
        <v>24</v>
      </c>
      <c r="C2781" t="s">
        <v>333</v>
      </c>
      <c r="D2781" s="8">
        <v>4.4975500000000003E-5</v>
      </c>
      <c r="E2781" s="8">
        <v>3.3448000000000002E-5</v>
      </c>
      <c r="F2781" s="8">
        <v>2.6950100000000001E-5</v>
      </c>
      <c r="G2781" s="8">
        <v>1.3274299999999999E-5</v>
      </c>
      <c r="H2781" s="8">
        <v>1.349199E-5</v>
      </c>
      <c r="I2781" s="8">
        <v>1.416305E-5</v>
      </c>
      <c r="J2781" s="8">
        <v>1.438131E-5</v>
      </c>
      <c r="K2781" s="8">
        <v>1.4634750000000001E-5</v>
      </c>
      <c r="L2781" s="8">
        <v>1.490713E-5</v>
      </c>
      <c r="M2781" s="8">
        <v>1.509369E-5</v>
      </c>
      <c r="N2781" s="8">
        <v>1.51945999999999E-5</v>
      </c>
      <c r="O2781">
        <v>0</v>
      </c>
      <c r="P2781">
        <v>0</v>
      </c>
      <c r="Q2781">
        <v>0</v>
      </c>
      <c r="R2781" t="s">
        <v>243</v>
      </c>
    </row>
    <row r="2782" spans="1:18" x14ac:dyDescent="0.3">
      <c r="A2782" t="s">
        <v>259</v>
      </c>
      <c r="B2782" t="s">
        <v>24</v>
      </c>
      <c r="C2782" t="s">
        <v>264</v>
      </c>
      <c r="D2782">
        <v>2.1811072999999999E-3</v>
      </c>
      <c r="E2782">
        <v>3.1286579999999999E-3</v>
      </c>
      <c r="F2782">
        <v>3.38650699999999E-3</v>
      </c>
      <c r="G2782">
        <v>2.9515560000000001E-3</v>
      </c>
      <c r="H2782">
        <v>3.1518929999999998E-3</v>
      </c>
      <c r="I2782">
        <v>3.5811233E-3</v>
      </c>
      <c r="J2782">
        <v>4.1876279000000001E-3</v>
      </c>
      <c r="K2782">
        <v>4.5890065999999998E-3</v>
      </c>
      <c r="L2782">
        <v>4.8847908000000002E-3</v>
      </c>
      <c r="M2782">
        <v>5.0587849000000001E-3</v>
      </c>
      <c r="N2782">
        <v>5.2395213000000001E-3</v>
      </c>
      <c r="O2782">
        <v>0</v>
      </c>
      <c r="P2782">
        <v>0</v>
      </c>
      <c r="Q2782">
        <v>0</v>
      </c>
      <c r="R2782" t="s">
        <v>243</v>
      </c>
    </row>
    <row r="2783" spans="1:18" x14ac:dyDescent="0.3">
      <c r="A2783" t="s">
        <v>259</v>
      </c>
      <c r="B2783" t="s">
        <v>24</v>
      </c>
      <c r="C2783" t="s">
        <v>265</v>
      </c>
      <c r="D2783">
        <v>1.31722429999999E-2</v>
      </c>
      <c r="E2783">
        <v>1.6176889999999999E-2</v>
      </c>
      <c r="F2783">
        <v>1.95866099999999E-2</v>
      </c>
      <c r="G2783">
        <v>1.8830119999999999E-2</v>
      </c>
      <c r="H2783">
        <v>1.8272509999999999E-2</v>
      </c>
      <c r="I2783">
        <v>1.9727663999999999E-2</v>
      </c>
      <c r="J2783">
        <v>2.0579066999999999E-2</v>
      </c>
      <c r="K2783">
        <v>2.1315951E-2</v>
      </c>
      <c r="L2783">
        <v>2.1509015999999999E-2</v>
      </c>
      <c r="M2783">
        <v>2.1209776999999898E-2</v>
      </c>
      <c r="N2783">
        <v>2.0765038999999898E-2</v>
      </c>
      <c r="O2783">
        <v>0</v>
      </c>
      <c r="P2783">
        <v>0</v>
      </c>
      <c r="Q2783">
        <v>0</v>
      </c>
      <c r="R2783" t="s">
        <v>243</v>
      </c>
    </row>
    <row r="2784" spans="1:18" x14ac:dyDescent="0.3">
      <c r="A2784" t="s">
        <v>259</v>
      </c>
      <c r="B2784" t="s">
        <v>24</v>
      </c>
      <c r="C2784" t="s">
        <v>266</v>
      </c>
      <c r="D2784">
        <v>3.43564299999999E-3</v>
      </c>
      <c r="E2784">
        <v>5.131938E-3</v>
      </c>
      <c r="F2784">
        <v>5.6494340000000001E-3</v>
      </c>
      <c r="G2784">
        <v>5.0960190000000002E-3</v>
      </c>
      <c r="H2784">
        <v>5.1976979999999997E-3</v>
      </c>
      <c r="I2784">
        <v>5.8588478999999898E-3</v>
      </c>
      <c r="J2784">
        <v>6.7448947999999998E-3</v>
      </c>
      <c r="K2784">
        <v>7.3712769999999999E-3</v>
      </c>
      <c r="L2784">
        <v>7.8055799999999899E-3</v>
      </c>
      <c r="M2784">
        <v>8.0489029999999996E-3</v>
      </c>
      <c r="N2784">
        <v>8.2876789999999992E-3</v>
      </c>
      <c r="O2784">
        <v>0</v>
      </c>
      <c r="P2784">
        <v>0</v>
      </c>
      <c r="Q2784">
        <v>0</v>
      </c>
      <c r="R2784" t="s">
        <v>243</v>
      </c>
    </row>
    <row r="2785" spans="1:18" x14ac:dyDescent="0.3">
      <c r="A2785" t="s">
        <v>259</v>
      </c>
      <c r="B2785" t="s">
        <v>24</v>
      </c>
      <c r="C2785" t="s">
        <v>267</v>
      </c>
      <c r="D2785">
        <v>4.507301E-3</v>
      </c>
      <c r="E2785">
        <v>6.4281800000000004E-3</v>
      </c>
      <c r="F2785">
        <v>7.2753039999999998E-3</v>
      </c>
      <c r="G2785">
        <v>6.6977859999999998E-3</v>
      </c>
      <c r="H2785">
        <v>6.3835059999999997E-3</v>
      </c>
      <c r="I2785">
        <v>7.6925717999999999E-3</v>
      </c>
      <c r="J2785">
        <v>8.6977329999999992E-3</v>
      </c>
      <c r="K2785">
        <v>9.4112339999999992E-3</v>
      </c>
      <c r="L2785">
        <v>9.882531E-3</v>
      </c>
      <c r="M2785">
        <v>1.0104648000000001E-2</v>
      </c>
      <c r="N2785">
        <v>1.0311521000000001E-2</v>
      </c>
      <c r="O2785">
        <v>0</v>
      </c>
      <c r="P2785">
        <v>0</v>
      </c>
      <c r="Q2785">
        <v>0</v>
      </c>
      <c r="R2785" t="s">
        <v>243</v>
      </c>
    </row>
    <row r="2786" spans="1:18" x14ac:dyDescent="0.3">
      <c r="A2786" t="s">
        <v>259</v>
      </c>
      <c r="B2786" t="s">
        <v>24</v>
      </c>
      <c r="C2786" t="s">
        <v>268</v>
      </c>
      <c r="D2786">
        <v>5.3091429999999997E-3</v>
      </c>
      <c r="E2786">
        <v>7.4654400000000003E-3</v>
      </c>
      <c r="F2786">
        <v>8.5835589999999993E-3</v>
      </c>
      <c r="G2786">
        <v>8.0078049999999998E-3</v>
      </c>
      <c r="H2786">
        <v>7.6220999999999997E-3</v>
      </c>
      <c r="I2786">
        <v>9.07468899999999E-3</v>
      </c>
      <c r="J2786">
        <v>1.0161020999999999E-2</v>
      </c>
      <c r="K2786">
        <v>1.0953513999999999E-2</v>
      </c>
      <c r="L2786">
        <v>1.1467158E-2</v>
      </c>
      <c r="M2786">
        <v>1.1692587000000001E-2</v>
      </c>
      <c r="N2786">
        <v>1.1876210999999999E-2</v>
      </c>
      <c r="O2786">
        <v>0</v>
      </c>
      <c r="P2786">
        <v>0</v>
      </c>
      <c r="Q2786">
        <v>0</v>
      </c>
      <c r="R2786" t="s">
        <v>243</v>
      </c>
    </row>
    <row r="2787" spans="1:18" x14ac:dyDescent="0.3">
      <c r="A2787" t="s">
        <v>259</v>
      </c>
      <c r="B2787" t="s">
        <v>24</v>
      </c>
      <c r="C2787" t="s">
        <v>269</v>
      </c>
      <c r="D2787">
        <v>6.0927359999999996E-3</v>
      </c>
      <c r="E2787">
        <v>8.4657599999999993E-3</v>
      </c>
      <c r="F2787">
        <v>9.7777999999999997E-3</v>
      </c>
      <c r="G2787">
        <v>9.1686559999999903E-3</v>
      </c>
      <c r="H2787">
        <v>8.7692880000000001E-3</v>
      </c>
      <c r="I2787">
        <v>1.0364162E-2</v>
      </c>
      <c r="J2787">
        <v>1.15140679999999E-2</v>
      </c>
      <c r="K2787">
        <v>1.23531059999999E-2</v>
      </c>
      <c r="L2787">
        <v>1.2893491999999999E-2</v>
      </c>
      <c r="M2787">
        <v>1.3098297E-2</v>
      </c>
      <c r="N2787">
        <v>1.3238422999999999E-2</v>
      </c>
      <c r="O2787">
        <v>0</v>
      </c>
      <c r="P2787">
        <v>0</v>
      </c>
      <c r="Q2787">
        <v>0</v>
      </c>
      <c r="R2787" t="s">
        <v>243</v>
      </c>
    </row>
    <row r="2788" spans="1:18" x14ac:dyDescent="0.3">
      <c r="A2788" t="s">
        <v>259</v>
      </c>
      <c r="B2788" t="s">
        <v>24</v>
      </c>
      <c r="C2788" t="s">
        <v>270</v>
      </c>
      <c r="D2788">
        <v>6.8883679999999997E-3</v>
      </c>
      <c r="E2788">
        <v>9.4355800000000007E-3</v>
      </c>
      <c r="F2788">
        <v>1.09626799999999E-2</v>
      </c>
      <c r="G2788">
        <v>1.03375999999999E-2</v>
      </c>
      <c r="H2788">
        <v>9.9316479999999995E-3</v>
      </c>
      <c r="I2788">
        <v>1.1626141E-2</v>
      </c>
      <c r="J2788">
        <v>1.2802628E-2</v>
      </c>
      <c r="K2788">
        <v>1.36850139999999E-2</v>
      </c>
      <c r="L2788">
        <v>1.4212198999999899E-2</v>
      </c>
      <c r="M2788">
        <v>1.4390368999999899E-2</v>
      </c>
      <c r="N2788">
        <v>1.4484719E-2</v>
      </c>
      <c r="O2788">
        <v>0</v>
      </c>
      <c r="P2788">
        <v>0</v>
      </c>
      <c r="Q2788">
        <v>0</v>
      </c>
      <c r="R2788" t="s">
        <v>243</v>
      </c>
    </row>
    <row r="2789" spans="1:18" x14ac:dyDescent="0.3">
      <c r="A2789" t="s">
        <v>259</v>
      </c>
      <c r="B2789" t="s">
        <v>24</v>
      </c>
      <c r="C2789" t="s">
        <v>271</v>
      </c>
      <c r="D2789">
        <v>7.7701889999999899E-3</v>
      </c>
      <c r="E2789">
        <v>1.0443630000000001E-2</v>
      </c>
      <c r="F2789">
        <v>1.2221239999999901E-2</v>
      </c>
      <c r="G2789">
        <v>1.1540389999999999E-2</v>
      </c>
      <c r="H2789">
        <v>1.1163282E-2</v>
      </c>
      <c r="I2789">
        <v>1.2940079E-2</v>
      </c>
      <c r="J2789">
        <v>1.4130386999999999E-2</v>
      </c>
      <c r="K2789">
        <v>1.5028718E-2</v>
      </c>
      <c r="L2789">
        <v>1.5540136E-2</v>
      </c>
      <c r="M2789">
        <v>1.5658138999999901E-2</v>
      </c>
      <c r="N2789">
        <v>1.5668736999999999E-2</v>
      </c>
      <c r="O2789">
        <v>0</v>
      </c>
      <c r="P2789">
        <v>0</v>
      </c>
      <c r="Q2789">
        <v>0</v>
      </c>
      <c r="R2789" t="s">
        <v>243</v>
      </c>
    </row>
    <row r="2790" spans="1:18" x14ac:dyDescent="0.3">
      <c r="A2790" t="s">
        <v>259</v>
      </c>
      <c r="B2790" t="s">
        <v>24</v>
      </c>
      <c r="C2790" t="s">
        <v>272</v>
      </c>
      <c r="D2790">
        <v>8.7648689999999998E-3</v>
      </c>
      <c r="E2790">
        <v>1.160424E-2</v>
      </c>
      <c r="F2790">
        <v>1.3652569999999999E-2</v>
      </c>
      <c r="G2790">
        <v>1.304659E-2</v>
      </c>
      <c r="H2790">
        <v>1.2590077E-2</v>
      </c>
      <c r="I2790">
        <v>1.4408008999999999E-2</v>
      </c>
      <c r="J2790">
        <v>1.5600747E-2</v>
      </c>
      <c r="K2790">
        <v>1.64968699999999E-2</v>
      </c>
      <c r="L2790">
        <v>1.6955171000000002E-2</v>
      </c>
      <c r="M2790">
        <v>1.6991388999999898E-2</v>
      </c>
      <c r="N2790">
        <v>1.6916207999999999E-2</v>
      </c>
      <c r="O2790">
        <v>0</v>
      </c>
      <c r="P2790">
        <v>0</v>
      </c>
      <c r="Q2790">
        <v>0</v>
      </c>
      <c r="R2790" t="s">
        <v>243</v>
      </c>
    </row>
    <row r="2791" spans="1:18" x14ac:dyDescent="0.3">
      <c r="A2791" t="s">
        <v>259</v>
      </c>
      <c r="B2791" t="s">
        <v>24</v>
      </c>
      <c r="C2791" t="s">
        <v>273</v>
      </c>
      <c r="D2791">
        <v>1.0200706E-2</v>
      </c>
      <c r="E2791">
        <v>1.3134379999999999E-2</v>
      </c>
      <c r="F2791">
        <v>1.5572549999999999E-2</v>
      </c>
      <c r="G2791">
        <v>1.480895E-2</v>
      </c>
      <c r="H2791">
        <v>1.4387499999999999E-2</v>
      </c>
      <c r="I2791">
        <v>1.6226999999999998E-2</v>
      </c>
      <c r="J2791">
        <v>1.73584309999999E-2</v>
      </c>
      <c r="K2791">
        <v>1.8240334E-2</v>
      </c>
      <c r="L2791">
        <v>1.86456079999999E-2</v>
      </c>
      <c r="M2791">
        <v>1.8593545E-2</v>
      </c>
      <c r="N2791">
        <v>1.8400053999999999E-2</v>
      </c>
      <c r="O2791">
        <v>0</v>
      </c>
      <c r="P2791">
        <v>0</v>
      </c>
      <c r="Q2791">
        <v>0</v>
      </c>
      <c r="R2791" t="s">
        <v>243</v>
      </c>
    </row>
    <row r="2792" spans="1:18" x14ac:dyDescent="0.3">
      <c r="A2792" t="s">
        <v>259</v>
      </c>
      <c r="B2792" t="s">
        <v>24</v>
      </c>
      <c r="C2792" t="s">
        <v>274</v>
      </c>
      <c r="D2792" s="8">
        <v>7.3640974399999997E-5</v>
      </c>
      <c r="E2792" s="8">
        <v>1.7122445112999999E-4</v>
      </c>
      <c r="F2792" s="8">
        <v>1.9829030555999999E-4</v>
      </c>
      <c r="G2792" s="8">
        <v>1.7115908162E-4</v>
      </c>
      <c r="H2792" s="8">
        <v>2.6609101954999897E-4</v>
      </c>
      <c r="I2792" s="8">
        <v>2.8076551259999998E-4</v>
      </c>
      <c r="J2792" s="8">
        <v>2.9444907151799998E-4</v>
      </c>
      <c r="K2792" s="8">
        <v>3.1280785919399998E-4</v>
      </c>
      <c r="L2792" s="8">
        <v>3.3539093052900002E-4</v>
      </c>
      <c r="M2792" s="8">
        <v>3.5307786082899899E-4</v>
      </c>
      <c r="N2792" s="8">
        <v>3.7117271964399898E-4</v>
      </c>
      <c r="O2792">
        <v>0</v>
      </c>
      <c r="P2792">
        <v>0</v>
      </c>
      <c r="Q2792">
        <v>0</v>
      </c>
      <c r="R2792" t="s">
        <v>243</v>
      </c>
    </row>
    <row r="2793" spans="1:18" x14ac:dyDescent="0.3">
      <c r="A2793" t="s">
        <v>259</v>
      </c>
      <c r="B2793" t="s">
        <v>24</v>
      </c>
      <c r="C2793" t="s">
        <v>275</v>
      </c>
      <c r="D2793" s="8">
        <v>4.7816496259999998E-4</v>
      </c>
      <c r="E2793" s="8">
        <v>8.7168856939999896E-4</v>
      </c>
      <c r="F2793">
        <v>1.0637377327E-3</v>
      </c>
      <c r="G2793" s="8">
        <v>9.9912598869999992E-4</v>
      </c>
      <c r="H2793">
        <v>1.17418142753E-3</v>
      </c>
      <c r="I2793">
        <v>1.20645033958999E-3</v>
      </c>
      <c r="J2793">
        <v>1.1650430965E-3</v>
      </c>
      <c r="K2793">
        <v>1.14423574210999E-3</v>
      </c>
      <c r="L2793">
        <v>1.12215425185E-3</v>
      </c>
      <c r="M2793">
        <v>1.08526144596E-3</v>
      </c>
      <c r="N2793">
        <v>1.0451739962999999E-3</v>
      </c>
      <c r="O2793">
        <v>0</v>
      </c>
      <c r="P2793">
        <v>0</v>
      </c>
      <c r="Q2793">
        <v>0</v>
      </c>
      <c r="R2793" t="s">
        <v>243</v>
      </c>
    </row>
    <row r="2794" spans="1:18" x14ac:dyDescent="0.3">
      <c r="A2794" t="s">
        <v>259</v>
      </c>
      <c r="B2794" t="s">
        <v>24</v>
      </c>
      <c r="C2794" t="s">
        <v>276</v>
      </c>
      <c r="D2794" s="8">
        <v>1.1682887742000001E-4</v>
      </c>
      <c r="E2794" s="8">
        <v>2.802896494E-4</v>
      </c>
      <c r="F2794" s="8">
        <v>3.2774446358999998E-4</v>
      </c>
      <c r="G2794" s="8">
        <v>2.9237826407999999E-4</v>
      </c>
      <c r="H2794" s="8">
        <v>4.1651636111999997E-4</v>
      </c>
      <c r="I2794" s="8">
        <v>4.3780215071999898E-4</v>
      </c>
      <c r="J2794" s="8">
        <v>4.5331599330999999E-4</v>
      </c>
      <c r="K2794" s="8">
        <v>4.78183993788E-4</v>
      </c>
      <c r="L2794" s="8">
        <v>5.0648533656000002E-4</v>
      </c>
      <c r="M2794" s="8">
        <v>5.2676756893999996E-4</v>
      </c>
      <c r="N2794" s="8">
        <v>5.4595115218999902E-4</v>
      </c>
      <c r="O2794">
        <v>0</v>
      </c>
      <c r="P2794">
        <v>0</v>
      </c>
      <c r="Q2794">
        <v>0</v>
      </c>
      <c r="R2794" t="s">
        <v>243</v>
      </c>
    </row>
    <row r="2795" spans="1:18" x14ac:dyDescent="0.3">
      <c r="A2795" t="s">
        <v>259</v>
      </c>
      <c r="B2795" t="s">
        <v>24</v>
      </c>
      <c r="C2795" t="s">
        <v>277</v>
      </c>
      <c r="D2795" s="8">
        <v>1.5420743792E-4</v>
      </c>
      <c r="E2795" s="8">
        <v>3.5061506685999999E-4</v>
      </c>
      <c r="F2795" s="8">
        <v>4.1925698914000001E-4</v>
      </c>
      <c r="G2795" s="8">
        <v>3.8123086382999899E-4</v>
      </c>
      <c r="H2795" s="8">
        <v>4.9728368565999997E-4</v>
      </c>
      <c r="I2795" s="8">
        <v>5.5610880355000001E-4</v>
      </c>
      <c r="J2795" s="8">
        <v>5.6858657508000005E-4</v>
      </c>
      <c r="K2795" s="8">
        <v>5.9324178140999996E-4</v>
      </c>
      <c r="L2795" s="8">
        <v>6.1982816380999899E-4</v>
      </c>
      <c r="M2795" s="8">
        <v>6.36259522E-4</v>
      </c>
      <c r="N2795" s="8">
        <v>6.5051195493100004E-4</v>
      </c>
      <c r="O2795">
        <v>0</v>
      </c>
      <c r="P2795">
        <v>0</v>
      </c>
      <c r="Q2795">
        <v>0</v>
      </c>
      <c r="R2795" t="s">
        <v>243</v>
      </c>
    </row>
    <row r="2796" spans="1:18" x14ac:dyDescent="0.3">
      <c r="A2796" t="s">
        <v>259</v>
      </c>
      <c r="B2796" t="s">
        <v>24</v>
      </c>
      <c r="C2796" t="s">
        <v>278</v>
      </c>
      <c r="D2796" s="8">
        <v>1.8248261836000001E-4</v>
      </c>
      <c r="E2796" s="8">
        <v>4.0674519817999999E-4</v>
      </c>
      <c r="F2796" s="8">
        <v>4.9194720090000004E-4</v>
      </c>
      <c r="G2796" s="8">
        <v>4.5279015222000001E-4</v>
      </c>
      <c r="H2796" s="8">
        <v>5.8087399873999997E-4</v>
      </c>
      <c r="I2796" s="8">
        <v>6.4285004898E-4</v>
      </c>
      <c r="J2796" s="8">
        <v>6.5217888628000002E-4</v>
      </c>
      <c r="K2796" s="8">
        <v>6.7621140481E-4</v>
      </c>
      <c r="L2796" s="8">
        <v>7.0176698447000003E-4</v>
      </c>
      <c r="M2796" s="8">
        <v>7.1543921150000003E-4</v>
      </c>
      <c r="N2796" s="8">
        <v>7.2519552747999998E-4</v>
      </c>
      <c r="O2796">
        <v>0</v>
      </c>
      <c r="P2796">
        <v>0</v>
      </c>
      <c r="Q2796">
        <v>0</v>
      </c>
      <c r="R2796" t="s">
        <v>243</v>
      </c>
    </row>
    <row r="2797" spans="1:18" x14ac:dyDescent="0.3">
      <c r="A2797" t="s">
        <v>259</v>
      </c>
      <c r="B2797" t="s">
        <v>24</v>
      </c>
      <c r="C2797" t="s">
        <v>279</v>
      </c>
      <c r="D2797" s="8">
        <v>2.1038378319999999E-4</v>
      </c>
      <c r="E2797" s="8">
        <v>4.6074328656000002E-4</v>
      </c>
      <c r="F2797" s="8">
        <v>5.5753429425999998E-4</v>
      </c>
      <c r="G2797" s="8">
        <v>5.1533527829E-4</v>
      </c>
      <c r="H2797" s="8">
        <v>6.5588617233999997E-4</v>
      </c>
      <c r="I2797" s="8">
        <v>7.2116016903999997E-4</v>
      </c>
      <c r="J2797" s="8">
        <v>7.2727579524000004E-4</v>
      </c>
      <c r="K2797" s="8">
        <v>7.4884811432999999E-4</v>
      </c>
      <c r="L2797" s="8">
        <v>7.7218069087000001E-4</v>
      </c>
      <c r="M2797" s="8">
        <v>7.8157878855000004E-4</v>
      </c>
      <c r="N2797" s="8">
        <v>7.8580099335000004E-4</v>
      </c>
      <c r="O2797">
        <v>0</v>
      </c>
      <c r="P2797">
        <v>0</v>
      </c>
      <c r="Q2797">
        <v>0</v>
      </c>
      <c r="R2797" t="s">
        <v>243</v>
      </c>
    </row>
    <row r="2798" spans="1:18" x14ac:dyDescent="0.3">
      <c r="A2798" t="s">
        <v>259</v>
      </c>
      <c r="B2798" t="s">
        <v>24</v>
      </c>
      <c r="C2798" t="s">
        <v>280</v>
      </c>
      <c r="D2798" s="8">
        <v>2.3900197795E-4</v>
      </c>
      <c r="E2798" s="8">
        <v>5.1296533910000002E-4</v>
      </c>
      <c r="F2798" s="8">
        <v>6.2184936640000002E-4</v>
      </c>
      <c r="G2798" s="8">
        <v>5.7745739679999995E-4</v>
      </c>
      <c r="H2798" s="8">
        <v>7.2926432302999997E-4</v>
      </c>
      <c r="I2798" s="8">
        <v>7.9532523737E-4</v>
      </c>
      <c r="J2798" s="8">
        <v>7.9674363666000004E-4</v>
      </c>
      <c r="K2798" s="8">
        <v>8.1552705747000003E-4</v>
      </c>
      <c r="L2798" s="8">
        <v>8.3435331749000003E-4</v>
      </c>
      <c r="M2798" s="8">
        <v>8.3898829017999997E-4</v>
      </c>
      <c r="N2798" s="8">
        <v>8.3757539130000001E-4</v>
      </c>
      <c r="O2798">
        <v>0</v>
      </c>
      <c r="P2798">
        <v>0</v>
      </c>
      <c r="Q2798">
        <v>0</v>
      </c>
      <c r="R2798" t="s">
        <v>243</v>
      </c>
    </row>
    <row r="2799" spans="1:18" x14ac:dyDescent="0.3">
      <c r="A2799" t="s">
        <v>259</v>
      </c>
      <c r="B2799" t="s">
        <v>24</v>
      </c>
      <c r="C2799" t="s">
        <v>281</v>
      </c>
      <c r="D2799" s="8">
        <v>2.7108131719999999E-4</v>
      </c>
      <c r="E2799" s="8">
        <v>5.6709943020000003E-4</v>
      </c>
      <c r="F2799" s="8">
        <v>6.8929749079999999E-4</v>
      </c>
      <c r="G2799" s="8">
        <v>6.404375307E-4</v>
      </c>
      <c r="H2799" s="8">
        <v>8.0419549679999996E-4</v>
      </c>
      <c r="I2799" s="8">
        <v>8.6986531314999904E-4</v>
      </c>
      <c r="J2799" s="8">
        <v>8.6611447746E-4</v>
      </c>
      <c r="K2799" s="8">
        <v>8.8021977965999998E-4</v>
      </c>
      <c r="L2799" s="8">
        <v>8.9395191936999998E-4</v>
      </c>
      <c r="M2799" s="8">
        <v>8.9194975401000001E-4</v>
      </c>
      <c r="N2799" s="8">
        <v>8.8323174383999996E-4</v>
      </c>
      <c r="O2799">
        <v>0</v>
      </c>
      <c r="P2799">
        <v>0</v>
      </c>
      <c r="Q2799">
        <v>0</v>
      </c>
      <c r="R2799" t="s">
        <v>243</v>
      </c>
    </row>
    <row r="2800" spans="1:18" x14ac:dyDescent="0.3">
      <c r="A2800" t="s">
        <v>259</v>
      </c>
      <c r="B2800" t="s">
        <v>24</v>
      </c>
      <c r="C2800" t="s">
        <v>282</v>
      </c>
      <c r="D2800" s="8">
        <v>3.0776084849999999E-4</v>
      </c>
      <c r="E2800" s="8">
        <v>6.2922968249999904E-4</v>
      </c>
      <c r="F2800" s="8">
        <v>7.6485675040000002E-4</v>
      </c>
      <c r="G2800" s="8">
        <v>7.1788792510000003E-4</v>
      </c>
      <c r="H2800" s="8">
        <v>8.8674181268999996E-4</v>
      </c>
      <c r="I2800" s="8">
        <v>9.4954548448000005E-4</v>
      </c>
      <c r="J2800" s="8">
        <v>9.3990836996999999E-4</v>
      </c>
      <c r="K2800" s="8">
        <v>9.4776853602999902E-4</v>
      </c>
      <c r="L2800" s="8">
        <v>9.5393652908000004E-4</v>
      </c>
      <c r="M2800" s="8">
        <v>9.4389720880000004E-4</v>
      </c>
      <c r="N2800" s="8">
        <v>9.2764508683999998E-4</v>
      </c>
      <c r="O2800">
        <v>0</v>
      </c>
      <c r="P2800">
        <v>0</v>
      </c>
      <c r="Q2800">
        <v>0</v>
      </c>
      <c r="R2800" t="s">
        <v>243</v>
      </c>
    </row>
    <row r="2801" spans="1:18" x14ac:dyDescent="0.3">
      <c r="A2801" t="s">
        <v>259</v>
      </c>
      <c r="B2801" t="s">
        <v>24</v>
      </c>
      <c r="C2801" t="s">
        <v>283</v>
      </c>
      <c r="D2801" s="8">
        <v>3.6173710199999899E-4</v>
      </c>
      <c r="E2801" s="8">
        <v>7.1079132640000002E-4</v>
      </c>
      <c r="F2801" s="8">
        <v>8.6416440589999997E-4</v>
      </c>
      <c r="G2801" s="8">
        <v>8.0637951839999998E-4</v>
      </c>
      <c r="H2801" s="8">
        <v>9.8513637038000006E-4</v>
      </c>
      <c r="I2801">
        <v>1.0432878586799899E-3</v>
      </c>
      <c r="J2801">
        <v>1.0242233918000001E-3</v>
      </c>
      <c r="K2801">
        <v>1.02356138453999E-3</v>
      </c>
      <c r="L2801">
        <v>1.02086820946E-3</v>
      </c>
      <c r="M2801">
        <v>1.0016277146E-3</v>
      </c>
      <c r="N2801" s="8">
        <v>9.7617046214999996E-4</v>
      </c>
      <c r="O2801">
        <v>0</v>
      </c>
      <c r="P2801">
        <v>0</v>
      </c>
      <c r="Q2801">
        <v>0</v>
      </c>
      <c r="R2801" t="s">
        <v>243</v>
      </c>
    </row>
    <row r="2802" spans="1:18" x14ac:dyDescent="0.3">
      <c r="A2802" t="s">
        <v>259</v>
      </c>
      <c r="B2802" t="s">
        <v>24</v>
      </c>
      <c r="C2802" t="s">
        <v>334</v>
      </c>
      <c r="D2802">
        <v>2.9136399999999999E-3</v>
      </c>
      <c r="E2802">
        <v>2.25793E-3</v>
      </c>
      <c r="F2802">
        <v>1.91332E-3</v>
      </c>
      <c r="G2802">
        <v>1.0199199999999999E-3</v>
      </c>
      <c r="H2802">
        <v>1.053605E-3</v>
      </c>
      <c r="I2802">
        <v>1.0889960000000001E-3</v>
      </c>
      <c r="J2802">
        <v>1.110219E-3</v>
      </c>
      <c r="K2802">
        <v>1.1358779999999899E-3</v>
      </c>
      <c r="L2802">
        <v>1.1659140000000001E-3</v>
      </c>
      <c r="M2802">
        <v>1.187984E-3</v>
      </c>
      <c r="N2802">
        <v>1.205177E-3</v>
      </c>
      <c r="O2802">
        <v>0</v>
      </c>
      <c r="P2802">
        <v>0</v>
      </c>
      <c r="Q2802">
        <v>0</v>
      </c>
      <c r="R2802" t="s">
        <v>243</v>
      </c>
    </row>
    <row r="2803" spans="1:18" x14ac:dyDescent="0.3">
      <c r="A2803" t="s">
        <v>259</v>
      </c>
      <c r="B2803" t="s">
        <v>24</v>
      </c>
      <c r="C2803" t="s">
        <v>335</v>
      </c>
      <c r="D2803" s="8">
        <v>1.60185E-4</v>
      </c>
      <c r="E2803" s="8">
        <v>1.1254700000000001E-4</v>
      </c>
      <c r="F2803" s="8">
        <v>9.0243999999999999E-5</v>
      </c>
      <c r="G2803" s="8">
        <v>4.4022800000000001E-5</v>
      </c>
      <c r="H2803" s="8">
        <v>4.4731200000000003E-5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s">
        <v>243</v>
      </c>
    </row>
    <row r="2804" spans="1:18" x14ac:dyDescent="0.3">
      <c r="A2804" t="s">
        <v>259</v>
      </c>
      <c r="B2804" t="s">
        <v>24</v>
      </c>
      <c r="C2804" t="s">
        <v>336</v>
      </c>
      <c r="D2804">
        <v>1.6909099999999999E-3</v>
      </c>
      <c r="E2804">
        <v>1.2145400000000001E-3</v>
      </c>
      <c r="F2804">
        <v>1.0245199999999999E-3</v>
      </c>
      <c r="G2804" s="8">
        <v>5.2986400000000001E-4</v>
      </c>
      <c r="H2804" s="8">
        <v>5.42382E-4</v>
      </c>
      <c r="I2804" s="8">
        <v>5.6185499999999999E-4</v>
      </c>
      <c r="J2804" s="8">
        <v>5.7275559999999997E-4</v>
      </c>
      <c r="K2804" s="8">
        <v>5.8545259999999997E-4</v>
      </c>
      <c r="L2804" s="8">
        <v>5.9972400000000005E-4</v>
      </c>
      <c r="M2804" s="8">
        <v>6.1008500000000001E-4</v>
      </c>
      <c r="N2804" s="8">
        <v>6.17776E-4</v>
      </c>
      <c r="O2804">
        <v>0</v>
      </c>
      <c r="P2804">
        <v>0</v>
      </c>
      <c r="Q2804">
        <v>0</v>
      </c>
      <c r="R2804" t="s">
        <v>243</v>
      </c>
    </row>
    <row r="2805" spans="1:18" x14ac:dyDescent="0.3">
      <c r="A2805" t="s">
        <v>259</v>
      </c>
      <c r="B2805" t="s">
        <v>24</v>
      </c>
      <c r="C2805" t="s">
        <v>337</v>
      </c>
      <c r="D2805">
        <v>1.1857700000000001E-3</v>
      </c>
      <c r="E2805" s="8">
        <v>8.8460100000000005E-4</v>
      </c>
      <c r="F2805" s="8">
        <v>7.2581499999999999E-4</v>
      </c>
      <c r="G2805" s="8">
        <v>3.6744600000000001E-4</v>
      </c>
      <c r="H2805" s="8">
        <v>3.7335899999999997E-4</v>
      </c>
      <c r="I2805" s="8">
        <v>3.907348E-4</v>
      </c>
      <c r="J2805" s="8">
        <v>3.97571099999999E-4</v>
      </c>
      <c r="K2805" s="8">
        <v>4.0555749999999997E-4</v>
      </c>
      <c r="L2805" s="8">
        <v>4.1458639999999899E-4</v>
      </c>
      <c r="M2805" s="8">
        <v>4.2085439999999999E-4</v>
      </c>
      <c r="N2805" s="8">
        <v>4.2530070000000001E-4</v>
      </c>
      <c r="O2805">
        <v>0</v>
      </c>
      <c r="P2805">
        <v>0</v>
      </c>
      <c r="Q2805">
        <v>0</v>
      </c>
      <c r="R2805" t="s">
        <v>243</v>
      </c>
    </row>
    <row r="2806" spans="1:18" x14ac:dyDescent="0.3">
      <c r="A2806" t="s">
        <v>259</v>
      </c>
      <c r="B2806" t="s">
        <v>24</v>
      </c>
      <c r="C2806" t="s">
        <v>338</v>
      </c>
      <c r="D2806" s="8">
        <v>9.4332200000000002E-4</v>
      </c>
      <c r="E2806" s="8">
        <v>7.0409400000000005E-4</v>
      </c>
      <c r="F2806" s="8">
        <v>5.6865400000000003E-4</v>
      </c>
      <c r="G2806" s="8">
        <v>2.8350000000000001E-4</v>
      </c>
      <c r="H2806" s="8">
        <v>2.8806299999999899E-4</v>
      </c>
      <c r="I2806" s="8">
        <v>3.0116059999999898E-4</v>
      </c>
      <c r="J2806" s="8">
        <v>3.0620959999999998E-4</v>
      </c>
      <c r="K2806" s="8">
        <v>3.1221629999999997E-4</v>
      </c>
      <c r="L2806" s="8">
        <v>3.19041E-4</v>
      </c>
      <c r="M2806" s="8">
        <v>3.2376090000000001E-4</v>
      </c>
      <c r="N2806" s="8">
        <v>3.269476E-4</v>
      </c>
      <c r="O2806">
        <v>0</v>
      </c>
      <c r="P2806">
        <v>0</v>
      </c>
      <c r="Q2806">
        <v>0</v>
      </c>
      <c r="R2806" t="s">
        <v>243</v>
      </c>
    </row>
    <row r="2807" spans="1:18" x14ac:dyDescent="0.3">
      <c r="A2807" t="s">
        <v>259</v>
      </c>
      <c r="B2807" t="s">
        <v>24</v>
      </c>
      <c r="C2807" t="s">
        <v>339</v>
      </c>
      <c r="D2807" s="8">
        <v>7.6971299999999999E-4</v>
      </c>
      <c r="E2807" s="8">
        <v>5.7279100000000001E-4</v>
      </c>
      <c r="F2807" s="8">
        <v>4.6275999999999999E-4</v>
      </c>
      <c r="G2807" s="8">
        <v>2.2963700000000001E-4</v>
      </c>
      <c r="H2807" s="8">
        <v>2.3333199999999999E-4</v>
      </c>
      <c r="I2807" s="8">
        <v>2.4432479999999998E-4</v>
      </c>
      <c r="J2807" s="8">
        <v>2.483257E-4</v>
      </c>
      <c r="K2807" s="8">
        <v>2.530276E-4</v>
      </c>
      <c r="L2807" s="8">
        <v>2.5848769999999997E-4</v>
      </c>
      <c r="M2807" s="8">
        <v>2.6217889999999999E-4</v>
      </c>
      <c r="N2807" s="8">
        <v>2.6456509999999898E-4</v>
      </c>
      <c r="O2807">
        <v>0</v>
      </c>
      <c r="P2807">
        <v>0</v>
      </c>
      <c r="Q2807">
        <v>0</v>
      </c>
      <c r="R2807" t="s">
        <v>243</v>
      </c>
    </row>
    <row r="2808" spans="1:18" x14ac:dyDescent="0.3">
      <c r="A2808" t="s">
        <v>259</v>
      </c>
      <c r="B2808" t="s">
        <v>24</v>
      </c>
      <c r="C2808" t="s">
        <v>340</v>
      </c>
      <c r="D2808" s="8">
        <v>6.3526200000000004E-4</v>
      </c>
      <c r="E2808" s="8">
        <v>4.7276700000000002E-4</v>
      </c>
      <c r="F2808" s="8">
        <v>3.8118100000000002E-4</v>
      </c>
      <c r="G2808" s="8">
        <v>1.8800699999999999E-4</v>
      </c>
      <c r="H2808" s="8">
        <v>1.9103309999999999E-4</v>
      </c>
      <c r="I2808" s="8">
        <v>2.00208699999999E-4</v>
      </c>
      <c r="J2808" s="8">
        <v>2.033522E-4</v>
      </c>
      <c r="K2808" s="8">
        <v>2.0714529999999999E-4</v>
      </c>
      <c r="L2808" s="8">
        <v>2.114432E-4</v>
      </c>
      <c r="M2808" s="8">
        <v>2.1439939999999999E-4</v>
      </c>
      <c r="N2808" s="8">
        <v>7.7501299999999996E-5</v>
      </c>
      <c r="O2808">
        <v>0</v>
      </c>
      <c r="P2808">
        <v>0</v>
      </c>
      <c r="Q2808">
        <v>0</v>
      </c>
      <c r="R2808" t="s">
        <v>243</v>
      </c>
    </row>
    <row r="2809" spans="1:18" x14ac:dyDescent="0.3">
      <c r="A2809" t="s">
        <v>259</v>
      </c>
      <c r="B2809" t="s">
        <v>24</v>
      </c>
      <c r="C2809" t="s">
        <v>341</v>
      </c>
      <c r="D2809" s="8">
        <v>5.1973299999999998E-4</v>
      </c>
      <c r="E2809" s="8">
        <v>3.8904100000000002E-4</v>
      </c>
      <c r="F2809" s="8">
        <v>3.1244200000000001E-4</v>
      </c>
      <c r="G2809" s="8">
        <v>1.54296E-4</v>
      </c>
      <c r="H2809" s="8">
        <v>1.5677859999999901E-4</v>
      </c>
      <c r="I2809" s="8">
        <v>1.64592E-4</v>
      </c>
      <c r="J2809" s="8">
        <v>1.671039E-4</v>
      </c>
      <c r="K2809" s="8">
        <v>1.7012780000000001E-4</v>
      </c>
      <c r="L2809" s="8">
        <v>1.7357279999999901E-4</v>
      </c>
      <c r="M2809">
        <v>0</v>
      </c>
      <c r="N2809">
        <v>0</v>
      </c>
      <c r="O2809">
        <v>0</v>
      </c>
      <c r="P2809">
        <v>0</v>
      </c>
      <c r="Q2809">
        <v>0</v>
      </c>
      <c r="R2809" t="s">
        <v>243</v>
      </c>
    </row>
    <row r="2810" spans="1:18" x14ac:dyDescent="0.3">
      <c r="A2810" t="s">
        <v>259</v>
      </c>
      <c r="B2810" t="s">
        <v>24</v>
      </c>
      <c r="C2810" t="s">
        <v>342</v>
      </c>
      <c r="D2810" s="8">
        <v>4.1857100000000001E-4</v>
      </c>
      <c r="E2810" s="8">
        <v>3.11119E-4</v>
      </c>
      <c r="F2810" s="8">
        <v>2.5019499999999999E-4</v>
      </c>
      <c r="G2810" s="8">
        <v>1.21172E-4</v>
      </c>
      <c r="H2810" s="8">
        <v>1.23122E-4</v>
      </c>
      <c r="I2810" s="8">
        <v>1.2908160000000001E-4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 t="s">
        <v>243</v>
      </c>
    </row>
    <row r="2811" spans="1:18" x14ac:dyDescent="0.3">
      <c r="A2811" t="s">
        <v>259</v>
      </c>
      <c r="B2811" t="s">
        <v>24</v>
      </c>
      <c r="C2811" t="s">
        <v>343</v>
      </c>
      <c r="D2811" s="8">
        <v>3.0890600000000001E-4</v>
      </c>
      <c r="E2811" s="8">
        <v>2.2974099999999999E-4</v>
      </c>
      <c r="F2811" s="8">
        <v>1.85169E-4</v>
      </c>
      <c r="G2811" s="8">
        <v>9.1252800000000002E-5</v>
      </c>
      <c r="H2811" s="8">
        <v>9.2721199999999996E-5</v>
      </c>
      <c r="I2811" s="8">
        <v>9.7423099999999999E-5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 t="s">
        <v>243</v>
      </c>
    </row>
    <row r="2812" spans="1:18" x14ac:dyDescent="0.3">
      <c r="A2812" t="s">
        <v>259</v>
      </c>
      <c r="B2812" t="s">
        <v>24</v>
      </c>
      <c r="C2812" t="s">
        <v>284</v>
      </c>
      <c r="D2812">
        <v>5.6493625822999901E-3</v>
      </c>
      <c r="E2812">
        <v>8.5941194770999992E-3</v>
      </c>
      <c r="F2812">
        <v>7.7038888719999999E-3</v>
      </c>
      <c r="G2812">
        <v>6.2843986109999998E-3</v>
      </c>
      <c r="H2812">
        <v>6.0877213140000004E-3</v>
      </c>
      <c r="I2812">
        <v>6.2948473078999999E-3</v>
      </c>
      <c r="J2812">
        <v>6.4199171527999904E-3</v>
      </c>
      <c r="K2812">
        <v>6.5574326908999997E-3</v>
      </c>
      <c r="L2812">
        <v>6.8647438200999996E-3</v>
      </c>
      <c r="M2812">
        <v>7.0507405429999902E-3</v>
      </c>
      <c r="N2812">
        <v>7.3029413319999998E-3</v>
      </c>
      <c r="O2812">
        <v>0</v>
      </c>
      <c r="P2812">
        <v>0</v>
      </c>
      <c r="Q2812">
        <v>0</v>
      </c>
      <c r="R2812" t="s">
        <v>243</v>
      </c>
    </row>
    <row r="2813" spans="1:18" x14ac:dyDescent="0.3">
      <c r="A2813" t="s">
        <v>259</v>
      </c>
      <c r="B2813" t="s">
        <v>24</v>
      </c>
      <c r="C2813" t="s">
        <v>285</v>
      </c>
      <c r="D2813">
        <v>3.6819077553799998E-2</v>
      </c>
      <c r="E2813">
        <v>4.8913380512999899E-2</v>
      </c>
      <c r="F2813">
        <v>5.3298882710000002E-2</v>
      </c>
      <c r="G2813">
        <v>4.8188610399999998E-2</v>
      </c>
      <c r="H2813">
        <v>4.3079830399999998E-2</v>
      </c>
      <c r="I2813">
        <v>4.3997057143E-2</v>
      </c>
      <c r="J2813">
        <v>4.0765389901000003E-2</v>
      </c>
      <c r="K2813">
        <v>3.8905795500999998E-2</v>
      </c>
      <c r="L2813">
        <v>3.7831014192000002E-2</v>
      </c>
      <c r="M2813">
        <v>3.6102885079999897E-2</v>
      </c>
      <c r="N2813">
        <v>3.4462961819999999E-2</v>
      </c>
      <c r="O2813">
        <v>0</v>
      </c>
      <c r="P2813">
        <v>0</v>
      </c>
      <c r="Q2813">
        <v>0</v>
      </c>
      <c r="R2813" t="s">
        <v>243</v>
      </c>
    </row>
    <row r="2814" spans="1:18" x14ac:dyDescent="0.3">
      <c r="A2814" t="s">
        <v>259</v>
      </c>
      <c r="B2814" t="s">
        <v>24</v>
      </c>
      <c r="C2814" t="s">
        <v>286</v>
      </c>
      <c r="D2814">
        <v>8.9657211648999993E-3</v>
      </c>
      <c r="E2814">
        <v>1.4267393024500001E-2</v>
      </c>
      <c r="F2814">
        <v>1.3111906636999999E-2</v>
      </c>
      <c r="G2814">
        <v>1.10697553599999E-2</v>
      </c>
      <c r="H2814">
        <v>1.03097464009999E-2</v>
      </c>
      <c r="I2814">
        <v>1.06142064589999E-2</v>
      </c>
      <c r="J2814">
        <v>1.06667569989999E-2</v>
      </c>
      <c r="K2814">
        <v>1.08564565778999E-2</v>
      </c>
      <c r="L2814">
        <v>1.12833702167999E-2</v>
      </c>
      <c r="M2814">
        <v>1.15108384479999E-2</v>
      </c>
      <c r="N2814">
        <v>1.1824420727000001E-2</v>
      </c>
      <c r="O2814">
        <v>0</v>
      </c>
      <c r="P2814">
        <v>0</v>
      </c>
      <c r="Q2814">
        <v>0</v>
      </c>
      <c r="R2814" t="s">
        <v>243</v>
      </c>
    </row>
    <row r="2815" spans="1:18" x14ac:dyDescent="0.3">
      <c r="A2815" t="s">
        <v>259</v>
      </c>
      <c r="B2815" t="s">
        <v>24</v>
      </c>
      <c r="C2815" t="s">
        <v>287</v>
      </c>
      <c r="D2815">
        <v>1.18378600850999E-2</v>
      </c>
      <c r="E2815">
        <v>1.8013846224699901E-2</v>
      </c>
      <c r="F2815">
        <v>1.7134626478999999E-2</v>
      </c>
      <c r="G2815">
        <v>1.477094309E-2</v>
      </c>
      <c r="H2815">
        <v>1.286625869E-2</v>
      </c>
      <c r="I2815">
        <v>1.4207700786E-2</v>
      </c>
      <c r="J2815">
        <v>1.4081631856999999E-2</v>
      </c>
      <c r="K2815">
        <v>1.42173384339999E-2</v>
      </c>
      <c r="L2815">
        <v>1.4591395297899899E-2</v>
      </c>
      <c r="M2815">
        <v>1.4739713392E-2</v>
      </c>
      <c r="N2815">
        <v>1.4981069965999899E-2</v>
      </c>
      <c r="O2815">
        <v>0</v>
      </c>
      <c r="P2815">
        <v>0</v>
      </c>
      <c r="Q2815">
        <v>0</v>
      </c>
      <c r="R2815" t="s">
        <v>243</v>
      </c>
    </row>
    <row r="2816" spans="1:18" x14ac:dyDescent="0.3">
      <c r="A2816" t="s">
        <v>259</v>
      </c>
      <c r="B2816" t="s">
        <v>24</v>
      </c>
      <c r="C2816" t="s">
        <v>288</v>
      </c>
      <c r="D2816">
        <v>1.4011705463799999E-2</v>
      </c>
      <c r="E2816">
        <v>2.1058511546000001E-2</v>
      </c>
      <c r="F2816">
        <v>2.0462913632E-2</v>
      </c>
      <c r="G2816">
        <v>1.7886152360000001E-2</v>
      </c>
      <c r="H2816">
        <v>1.557462985E-2</v>
      </c>
      <c r="I2816">
        <v>1.7053431104E-2</v>
      </c>
      <c r="J2816">
        <v>1.6765628333999999E-2</v>
      </c>
      <c r="K2816">
        <v>1.6855613799999999E-2</v>
      </c>
      <c r="L2816">
        <v>1.7238428543099999E-2</v>
      </c>
      <c r="M2816">
        <v>1.7346957701000001E-2</v>
      </c>
      <c r="N2816">
        <v>1.7526334081999901E-2</v>
      </c>
      <c r="O2816">
        <v>0</v>
      </c>
      <c r="P2816">
        <v>0</v>
      </c>
      <c r="Q2816">
        <v>0</v>
      </c>
      <c r="R2816" t="s">
        <v>243</v>
      </c>
    </row>
    <row r="2817" spans="1:18" x14ac:dyDescent="0.3">
      <c r="A2817" t="s">
        <v>259</v>
      </c>
      <c r="B2817" t="s">
        <v>24</v>
      </c>
      <c r="C2817" t="s">
        <v>289</v>
      </c>
      <c r="D2817">
        <v>1.6157837686200001E-2</v>
      </c>
      <c r="E2817">
        <v>2.4037202939E-2</v>
      </c>
      <c r="F2817">
        <v>2.3578936904000002E-2</v>
      </c>
      <c r="G2817">
        <v>2.0719095789999899E-2</v>
      </c>
      <c r="H2817">
        <v>1.814638897E-2</v>
      </c>
      <c r="I2817">
        <v>1.9791858440999999E-2</v>
      </c>
      <c r="J2817">
        <v>1.93495641669999E-2</v>
      </c>
      <c r="K2817">
        <v>1.9351714504999899E-2</v>
      </c>
      <c r="L2817">
        <v>1.9722599819999902E-2</v>
      </c>
      <c r="M2817">
        <v>1.9750510204E-2</v>
      </c>
      <c r="N2817">
        <v>1.9830720366999999E-2</v>
      </c>
      <c r="O2817">
        <v>0</v>
      </c>
      <c r="P2817">
        <v>0</v>
      </c>
      <c r="Q2817">
        <v>0</v>
      </c>
      <c r="R2817" t="s">
        <v>243</v>
      </c>
    </row>
    <row r="2818" spans="1:18" x14ac:dyDescent="0.3">
      <c r="A2818" t="s">
        <v>259</v>
      </c>
      <c r="B2818" t="s">
        <v>24</v>
      </c>
      <c r="C2818" t="s">
        <v>290</v>
      </c>
      <c r="D2818">
        <v>1.8360196951299999E-2</v>
      </c>
      <c r="E2818">
        <v>2.6968307709000001E-2</v>
      </c>
      <c r="F2818">
        <v>2.6750808250999999E-2</v>
      </c>
      <c r="G2818">
        <v>2.3647006219999999E-2</v>
      </c>
      <c r="H2818">
        <v>2.0824207059999999E-2</v>
      </c>
      <c r="I2818">
        <v>2.2573576804E-2</v>
      </c>
      <c r="J2818">
        <v>2.1918025957999999E-2</v>
      </c>
      <c r="K2818">
        <v>2.1830577194E-2</v>
      </c>
      <c r="L2818">
        <v>2.2118577479999901E-2</v>
      </c>
      <c r="M2818">
        <v>2.2052588152999899E-2</v>
      </c>
      <c r="N2818">
        <v>2.20234407559999E-2</v>
      </c>
      <c r="O2818">
        <v>0</v>
      </c>
      <c r="P2818">
        <v>0</v>
      </c>
      <c r="Q2818">
        <v>0</v>
      </c>
      <c r="R2818" t="s">
        <v>243</v>
      </c>
    </row>
    <row r="2819" spans="1:18" x14ac:dyDescent="0.3">
      <c r="A2819" t="s">
        <v>259</v>
      </c>
      <c r="B2819" t="s">
        <v>24</v>
      </c>
      <c r="C2819" t="s">
        <v>291</v>
      </c>
      <c r="D2819">
        <v>2.0830349583799999E-2</v>
      </c>
      <c r="E2819">
        <v>3.0064317532999998E-2</v>
      </c>
      <c r="F2819">
        <v>3.0216503286E-2</v>
      </c>
      <c r="G2819">
        <v>2.6746489299999999E-2</v>
      </c>
      <c r="H2819">
        <v>2.3747525889999899E-2</v>
      </c>
      <c r="I2819">
        <v>2.5581680079999999E-2</v>
      </c>
      <c r="J2819">
        <v>2.4687077951999901E-2</v>
      </c>
      <c r="K2819">
        <v>2.44471952109999E-2</v>
      </c>
      <c r="L2819">
        <v>2.4642066521000001E-2</v>
      </c>
      <c r="M2819">
        <v>2.4406598219999999E-2</v>
      </c>
      <c r="N2819">
        <v>2.4184652838999999E-2</v>
      </c>
      <c r="O2819">
        <v>0</v>
      </c>
      <c r="P2819">
        <v>0</v>
      </c>
      <c r="Q2819">
        <v>0</v>
      </c>
      <c r="R2819" t="s">
        <v>243</v>
      </c>
    </row>
    <row r="2820" spans="1:18" x14ac:dyDescent="0.3">
      <c r="A2820" t="s">
        <v>259</v>
      </c>
      <c r="B2820" t="s">
        <v>24</v>
      </c>
      <c r="C2820" t="s">
        <v>292</v>
      </c>
      <c r="D2820">
        <v>2.3656694842499899E-2</v>
      </c>
      <c r="E2820">
        <v>3.3697749004000001E-2</v>
      </c>
      <c r="F2820">
        <v>3.4293698380000001E-2</v>
      </c>
      <c r="G2820">
        <v>3.0767521459999999E-2</v>
      </c>
      <c r="H2820">
        <v>2.7262114970000001E-2</v>
      </c>
      <c r="I2820">
        <v>2.91214559839999E-2</v>
      </c>
      <c r="J2820">
        <v>2.7925272216E-2</v>
      </c>
      <c r="K2820">
        <v>2.7468131372999999E-2</v>
      </c>
      <c r="L2820">
        <v>2.7475304208000002E-2</v>
      </c>
      <c r="M2820">
        <v>2.700046314E-2</v>
      </c>
      <c r="N2820">
        <v>2.6561322950000001E-2</v>
      </c>
      <c r="O2820">
        <v>0</v>
      </c>
      <c r="P2820">
        <v>0</v>
      </c>
      <c r="Q2820">
        <v>0</v>
      </c>
      <c r="R2820" t="s">
        <v>243</v>
      </c>
    </row>
    <row r="2821" spans="1:18" x14ac:dyDescent="0.3">
      <c r="A2821" t="s">
        <v>259</v>
      </c>
      <c r="B2821" t="s">
        <v>24</v>
      </c>
      <c r="C2821" t="s">
        <v>293</v>
      </c>
      <c r="D2821">
        <v>2.7819859923700001E-2</v>
      </c>
      <c r="E2821">
        <v>3.8616040763000001E-2</v>
      </c>
      <c r="F2821">
        <v>4.0027056989999997E-2</v>
      </c>
      <c r="G2821">
        <v>3.5701581439999998E-2</v>
      </c>
      <c r="H2821">
        <v>3.1915128969999998E-2</v>
      </c>
      <c r="I2821">
        <v>3.3775730080999898E-2</v>
      </c>
      <c r="J2821">
        <v>3.20879050179999E-2</v>
      </c>
      <c r="K2821">
        <v>3.1318643729999901E-2</v>
      </c>
      <c r="L2821">
        <v>3.1101099322999998E-2</v>
      </c>
      <c r="M2821">
        <v>3.03271274799999E-2</v>
      </c>
      <c r="N2821">
        <v>2.9557185609999901E-2</v>
      </c>
      <c r="O2821">
        <v>0</v>
      </c>
      <c r="P2821">
        <v>0</v>
      </c>
      <c r="Q2821">
        <v>0</v>
      </c>
      <c r="R2821" t="s">
        <v>243</v>
      </c>
    </row>
    <row r="2822" spans="1:18" x14ac:dyDescent="0.3">
      <c r="A2822" t="s">
        <v>259</v>
      </c>
      <c r="B2822" t="s">
        <v>24</v>
      </c>
      <c r="C2822" t="s">
        <v>344</v>
      </c>
      <c r="D2822" s="8">
        <v>1.89438E-4</v>
      </c>
      <c r="E2822" s="8">
        <v>1.4601999999999999E-4</v>
      </c>
      <c r="F2822" s="8">
        <v>1.2342000000000001E-4</v>
      </c>
      <c r="G2822" s="8">
        <v>6.5487799999999993E-5</v>
      </c>
      <c r="H2822" s="8">
        <v>6.7661800000000003E-5</v>
      </c>
      <c r="I2822" s="8">
        <v>6.9897399999999999E-5</v>
      </c>
      <c r="J2822" s="8">
        <v>7.1280100000000002E-5</v>
      </c>
      <c r="K2822" s="8">
        <v>7.2940279999999995E-5</v>
      </c>
      <c r="L2822" s="8">
        <v>7.4846699999999894E-5</v>
      </c>
      <c r="M2822" s="8">
        <v>7.6272899999999999E-5</v>
      </c>
      <c r="N2822" s="8">
        <v>7.7381300000000004E-5</v>
      </c>
      <c r="O2822">
        <v>0</v>
      </c>
      <c r="P2822">
        <v>0</v>
      </c>
      <c r="Q2822">
        <v>0</v>
      </c>
      <c r="R2822" t="s">
        <v>243</v>
      </c>
    </row>
    <row r="2823" spans="1:18" x14ac:dyDescent="0.3">
      <c r="A2823" t="s">
        <v>259</v>
      </c>
      <c r="B2823" t="s">
        <v>24</v>
      </c>
      <c r="C2823" t="s">
        <v>345</v>
      </c>
      <c r="D2823" s="8">
        <v>1.8580399999999999E-5</v>
      </c>
      <c r="E2823" s="8">
        <v>1.3234999999999999E-5</v>
      </c>
      <c r="F2823" s="8">
        <v>1.0706199999999999E-5</v>
      </c>
      <c r="G2823" s="8">
        <v>5.2940599999999996E-6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243</v>
      </c>
    </row>
    <row r="2824" spans="1:18" x14ac:dyDescent="0.3">
      <c r="A2824" t="s">
        <v>259</v>
      </c>
      <c r="B2824" t="s">
        <v>24</v>
      </c>
      <c r="C2824" t="s">
        <v>346</v>
      </c>
      <c r="D2824" s="8">
        <v>1.23025E-4</v>
      </c>
      <c r="E2824" s="8">
        <v>8.9301299999999998E-5</v>
      </c>
      <c r="F2824" s="8">
        <v>7.5221200000000004E-5</v>
      </c>
      <c r="G2824" s="8">
        <v>3.8978299999999999E-5</v>
      </c>
      <c r="H2824" s="8">
        <v>3.99058E-5</v>
      </c>
      <c r="I2824" s="8">
        <v>4.1316399999999901E-5</v>
      </c>
      <c r="J2824" s="8">
        <v>4.2130499999999999E-5</v>
      </c>
      <c r="K2824" s="8">
        <v>4.3071909999999997E-5</v>
      </c>
      <c r="L2824" s="8">
        <v>4.4108520000000001E-5</v>
      </c>
      <c r="M2824" s="8">
        <v>4.4876319999999997E-5</v>
      </c>
      <c r="N2824" s="8">
        <v>4.5444729999999997E-5</v>
      </c>
      <c r="O2824">
        <v>0</v>
      </c>
      <c r="P2824">
        <v>0</v>
      </c>
      <c r="Q2824">
        <v>0</v>
      </c>
      <c r="R2824" t="s">
        <v>243</v>
      </c>
    </row>
    <row r="2825" spans="1:18" x14ac:dyDescent="0.3">
      <c r="A2825" t="s">
        <v>259</v>
      </c>
      <c r="B2825" t="s">
        <v>24</v>
      </c>
      <c r="C2825" t="s">
        <v>347</v>
      </c>
      <c r="D2825" s="8">
        <v>9.2731699999999999E-5</v>
      </c>
      <c r="E2825" s="8">
        <v>6.9372499999999994E-5</v>
      </c>
      <c r="F2825" s="8">
        <v>5.7163900000000003E-5</v>
      </c>
      <c r="G2825" s="8">
        <v>2.91235E-5</v>
      </c>
      <c r="H2825" s="8">
        <v>2.9597299999999999E-5</v>
      </c>
      <c r="I2825" s="8">
        <v>3.0957989999999997E-5</v>
      </c>
      <c r="J2825" s="8">
        <v>3.1509040000000002E-5</v>
      </c>
      <c r="K2825" s="8">
        <v>3.2147380000000002E-5</v>
      </c>
      <c r="L2825" s="8">
        <v>3.2853179999999998E-5</v>
      </c>
      <c r="M2825" s="8">
        <v>3.3354249999999997E-5</v>
      </c>
      <c r="N2825" s="8">
        <v>3.3708480000000003E-5</v>
      </c>
      <c r="O2825">
        <v>0</v>
      </c>
      <c r="P2825">
        <v>0</v>
      </c>
      <c r="Q2825">
        <v>0</v>
      </c>
      <c r="R2825" t="s">
        <v>243</v>
      </c>
    </row>
    <row r="2826" spans="1:18" x14ac:dyDescent="0.3">
      <c r="A2826" t="s">
        <v>259</v>
      </c>
      <c r="B2826" t="s">
        <v>24</v>
      </c>
      <c r="C2826" t="s">
        <v>348</v>
      </c>
      <c r="D2826" s="8">
        <v>7.7253400000000001E-5</v>
      </c>
      <c r="E2826" s="8">
        <v>5.7815600000000003E-5</v>
      </c>
      <c r="F2826" s="8">
        <v>4.7042800000000003E-5</v>
      </c>
      <c r="G2826" s="8">
        <v>2.3674999999999999E-5</v>
      </c>
      <c r="H2826" s="8">
        <v>2.4060029999999999E-5</v>
      </c>
      <c r="I2826" s="8">
        <v>2.514049E-5</v>
      </c>
      <c r="J2826" s="8">
        <v>2.5569660000000001E-5</v>
      </c>
      <c r="K2826" s="8">
        <v>2.6075540000000001E-5</v>
      </c>
      <c r="L2826" s="8">
        <v>2.6637519999999998E-5</v>
      </c>
      <c r="M2826" s="8">
        <v>2.7035190000000001E-5</v>
      </c>
      <c r="N2826" s="8">
        <v>2.7302759999999901E-5</v>
      </c>
      <c r="O2826">
        <v>0</v>
      </c>
      <c r="P2826">
        <v>0</v>
      </c>
      <c r="Q2826">
        <v>0</v>
      </c>
      <c r="R2826" t="s">
        <v>243</v>
      </c>
    </row>
    <row r="2827" spans="1:18" x14ac:dyDescent="0.3">
      <c r="A2827" t="s">
        <v>259</v>
      </c>
      <c r="B2827" t="s">
        <v>24</v>
      </c>
      <c r="C2827" t="s">
        <v>349</v>
      </c>
      <c r="D2827" s="8">
        <v>6.5655799999999996E-5</v>
      </c>
      <c r="E2827" s="8">
        <v>4.9017400000000003E-5</v>
      </c>
      <c r="F2827" s="8">
        <v>3.9894999999999997E-5</v>
      </c>
      <c r="G2827" s="8">
        <v>2.0002099999999999E-5</v>
      </c>
      <c r="H2827" s="8">
        <v>2.0327419999999999E-5</v>
      </c>
      <c r="I2827" s="8">
        <v>2.12736299999999E-5</v>
      </c>
      <c r="J2827" s="8">
        <v>2.1628519999999999E-5</v>
      </c>
      <c r="K2827" s="8">
        <v>2.2041619999999899E-5</v>
      </c>
      <c r="L2827" s="8">
        <v>2.251049E-5</v>
      </c>
      <c r="M2827" s="8">
        <v>2.2835000000000001E-5</v>
      </c>
      <c r="N2827" s="8">
        <v>2.3044040000000001E-5</v>
      </c>
      <c r="O2827">
        <v>0</v>
      </c>
      <c r="P2827">
        <v>0</v>
      </c>
      <c r="Q2827">
        <v>0</v>
      </c>
      <c r="R2827" t="s">
        <v>243</v>
      </c>
    </row>
    <row r="2828" spans="1:18" x14ac:dyDescent="0.3">
      <c r="A2828" t="s">
        <v>259</v>
      </c>
      <c r="B2828" t="s">
        <v>24</v>
      </c>
      <c r="C2828" t="s">
        <v>350</v>
      </c>
      <c r="D2828" s="8">
        <v>5.6300700000000001E-5</v>
      </c>
      <c r="E2828" s="8">
        <v>4.2030999999999998E-5</v>
      </c>
      <c r="F2828" s="8">
        <v>3.4153899999999998E-5</v>
      </c>
      <c r="G2828" s="8">
        <v>1.70419E-5</v>
      </c>
      <c r="H2828" s="8">
        <v>1.731918E-5</v>
      </c>
      <c r="I2828" s="8">
        <v>1.814127E-5</v>
      </c>
      <c r="J2828" s="8">
        <v>1.8431600000000002E-5</v>
      </c>
      <c r="K2828" s="8">
        <v>1.8778579999999999E-5</v>
      </c>
      <c r="L2828" s="8">
        <v>1.9162390000000001E-5</v>
      </c>
      <c r="M2828" s="8">
        <v>1.9432840000000001E-5</v>
      </c>
      <c r="N2828" s="8">
        <v>1.960258E-5</v>
      </c>
      <c r="O2828">
        <v>0</v>
      </c>
      <c r="P2828">
        <v>0</v>
      </c>
      <c r="Q2828">
        <v>0</v>
      </c>
      <c r="R2828" t="s">
        <v>243</v>
      </c>
    </row>
    <row r="2829" spans="1:18" x14ac:dyDescent="0.3">
      <c r="A2829" t="s">
        <v>259</v>
      </c>
      <c r="B2829" t="s">
        <v>24</v>
      </c>
      <c r="C2829" t="s">
        <v>351</v>
      </c>
      <c r="D2829" s="8">
        <v>4.7930699999999998E-5</v>
      </c>
      <c r="E2829" s="8">
        <v>3.5947500000000001E-5</v>
      </c>
      <c r="F2829" s="8">
        <v>2.9118299999999999E-5</v>
      </c>
      <c r="G2829" s="8">
        <v>1.45432E-5</v>
      </c>
      <c r="H2829" s="8">
        <v>1.477979E-5</v>
      </c>
      <c r="I2829" s="8">
        <v>1.5508009999999999E-5</v>
      </c>
      <c r="J2829" s="8">
        <v>1.574947E-5</v>
      </c>
      <c r="K2829" s="8">
        <v>1.6037019999999899E-5</v>
      </c>
      <c r="L2829" s="8">
        <v>1.6356849999999999E-5</v>
      </c>
      <c r="M2829" s="8">
        <v>1.6575329999999999E-5</v>
      </c>
      <c r="N2829">
        <v>0</v>
      </c>
      <c r="O2829">
        <v>0</v>
      </c>
      <c r="P2829">
        <v>0</v>
      </c>
      <c r="Q2829">
        <v>0</v>
      </c>
      <c r="R2829" t="s">
        <v>243</v>
      </c>
    </row>
    <row r="2830" spans="1:18" x14ac:dyDescent="0.3">
      <c r="A2830" t="s">
        <v>259</v>
      </c>
      <c r="B2830" t="s">
        <v>24</v>
      </c>
      <c r="C2830" t="s">
        <v>352</v>
      </c>
      <c r="D2830" s="8">
        <v>4.0284100000000003E-5</v>
      </c>
      <c r="E2830" s="8">
        <v>3.00416E-5</v>
      </c>
      <c r="F2830" s="8">
        <v>2.4358600000000001E-5</v>
      </c>
      <c r="G2830" s="8">
        <v>1.19765E-5</v>
      </c>
      <c r="H2830" s="8">
        <v>1.2171339999999999E-5</v>
      </c>
      <c r="I2830" s="8">
        <v>1.2753619999999901E-5</v>
      </c>
      <c r="J2830" s="8">
        <v>1.295274E-5</v>
      </c>
      <c r="K2830" s="8">
        <v>1.318222E-5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 t="s">
        <v>243</v>
      </c>
    </row>
    <row r="2831" spans="1:18" x14ac:dyDescent="0.3">
      <c r="A2831" t="s">
        <v>259</v>
      </c>
      <c r="B2831" t="s">
        <v>24</v>
      </c>
      <c r="C2831" t="s">
        <v>353</v>
      </c>
      <c r="D2831" s="8">
        <v>3.15524E-5</v>
      </c>
      <c r="E2831" s="8">
        <v>2.3538000000000001E-5</v>
      </c>
      <c r="F2831" s="8">
        <v>1.9119599999999999E-5</v>
      </c>
      <c r="G2831" s="8">
        <v>9.5334299999999996E-6</v>
      </c>
      <c r="H2831" s="8">
        <v>9.6885099999999995E-6</v>
      </c>
      <c r="I2831" s="8">
        <v>1.017434E-5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 t="s">
        <v>243</v>
      </c>
    </row>
    <row r="2832" spans="1:18" x14ac:dyDescent="0.3">
      <c r="A2832" t="s">
        <v>259</v>
      </c>
      <c r="B2832" t="s">
        <v>24</v>
      </c>
      <c r="C2832" t="s">
        <v>294</v>
      </c>
      <c r="D2832" s="8">
        <v>9.0022481400000003E-4</v>
      </c>
      <c r="E2832">
        <v>2.7805784999999999E-3</v>
      </c>
      <c r="F2832">
        <v>3.4567249499999901E-3</v>
      </c>
      <c r="G2832">
        <v>2.8450702E-3</v>
      </c>
      <c r="H2832">
        <v>2.69311485E-3</v>
      </c>
      <c r="I2832">
        <v>2.8592111600000002E-3</v>
      </c>
      <c r="J2832">
        <v>3.15713157E-3</v>
      </c>
      <c r="K2832">
        <v>3.3595111399999998E-3</v>
      </c>
      <c r="L2832">
        <v>3.63510597999999E-3</v>
      </c>
      <c r="M2832">
        <v>3.8886025199999898E-3</v>
      </c>
      <c r="N2832">
        <v>4.1538271599999999E-3</v>
      </c>
      <c r="O2832">
        <v>0</v>
      </c>
      <c r="P2832">
        <v>0</v>
      </c>
      <c r="Q2832">
        <v>0</v>
      </c>
      <c r="R2832" t="s">
        <v>243</v>
      </c>
    </row>
    <row r="2833" spans="1:18" x14ac:dyDescent="0.3">
      <c r="A2833" t="s">
        <v>259</v>
      </c>
      <c r="B2833" t="s">
        <v>24</v>
      </c>
      <c r="C2833" t="s">
        <v>295</v>
      </c>
      <c r="D2833">
        <v>7.0973706900000003E-3</v>
      </c>
      <c r="E2833">
        <v>1.74760503E-2</v>
      </c>
      <c r="F2833">
        <v>2.31620042999999E-2</v>
      </c>
      <c r="G2833">
        <v>2.0281648100000001E-2</v>
      </c>
      <c r="H2833">
        <v>1.89014034999999E-2</v>
      </c>
      <c r="I2833">
        <v>2.01023577E-2</v>
      </c>
      <c r="J2833">
        <v>2.0305535499999999E-2</v>
      </c>
      <c r="K2833">
        <v>2.0539705500000002E-2</v>
      </c>
      <c r="L2833">
        <v>2.0962636999999899E-2</v>
      </c>
      <c r="M2833">
        <v>2.1136191200000001E-2</v>
      </c>
      <c r="N2833">
        <v>2.1217090500000001E-2</v>
      </c>
      <c r="O2833">
        <v>0</v>
      </c>
      <c r="P2833">
        <v>0</v>
      </c>
      <c r="Q2833">
        <v>0</v>
      </c>
      <c r="R2833" t="s">
        <v>243</v>
      </c>
    </row>
    <row r="2834" spans="1:18" x14ac:dyDescent="0.3">
      <c r="A2834" t="s">
        <v>259</v>
      </c>
      <c r="B2834" t="s">
        <v>24</v>
      </c>
      <c r="C2834" t="s">
        <v>296</v>
      </c>
      <c r="D2834">
        <v>1.453609489E-3</v>
      </c>
      <c r="E2834">
        <v>4.6696879399999898E-3</v>
      </c>
      <c r="F2834">
        <v>5.8633421999999998E-3</v>
      </c>
      <c r="G2834">
        <v>4.9733672999999999E-3</v>
      </c>
      <c r="H2834">
        <v>4.53229609999999E-3</v>
      </c>
      <c r="I2834">
        <v>4.7928651599999997E-3</v>
      </c>
      <c r="J2834">
        <v>5.2281764300000002E-3</v>
      </c>
      <c r="K2834">
        <v>5.56294448E-3</v>
      </c>
      <c r="L2834">
        <v>5.9981385900000003E-3</v>
      </c>
      <c r="M2834">
        <v>6.3962956E-3</v>
      </c>
      <c r="N2834">
        <v>6.8048090999999903E-3</v>
      </c>
      <c r="O2834">
        <v>0</v>
      </c>
      <c r="P2834">
        <v>0</v>
      </c>
      <c r="Q2834">
        <v>0</v>
      </c>
      <c r="R2834" t="s">
        <v>243</v>
      </c>
    </row>
    <row r="2835" spans="1:18" x14ac:dyDescent="0.3">
      <c r="A2835" t="s">
        <v>259</v>
      </c>
      <c r="B2835" t="s">
        <v>24</v>
      </c>
      <c r="C2835" t="s">
        <v>297</v>
      </c>
      <c r="D2835">
        <v>1.948125266E-3</v>
      </c>
      <c r="E2835">
        <v>5.9415662800000003E-3</v>
      </c>
      <c r="F2835">
        <v>7.6430674000000001E-3</v>
      </c>
      <c r="G2835">
        <v>6.597828E-3</v>
      </c>
      <c r="H2835">
        <v>5.6285752000000003E-3</v>
      </c>
      <c r="I2835">
        <v>6.4101768799999896E-3</v>
      </c>
      <c r="J2835">
        <v>6.9004718400000001E-3</v>
      </c>
      <c r="K2835">
        <v>7.2881629299999997E-3</v>
      </c>
      <c r="L2835">
        <v>7.7907313999999997E-3</v>
      </c>
      <c r="M2835">
        <v>8.2365278000000007E-3</v>
      </c>
      <c r="N2835">
        <v>8.68850859999999E-3</v>
      </c>
      <c r="O2835">
        <v>0</v>
      </c>
      <c r="P2835">
        <v>0</v>
      </c>
      <c r="Q2835">
        <v>0</v>
      </c>
      <c r="R2835" t="s">
        <v>243</v>
      </c>
    </row>
    <row r="2836" spans="1:18" x14ac:dyDescent="0.3">
      <c r="A2836" t="s">
        <v>259</v>
      </c>
      <c r="B2836" t="s">
        <v>24</v>
      </c>
      <c r="C2836" t="s">
        <v>298</v>
      </c>
      <c r="D2836">
        <v>2.3324010399999998E-3</v>
      </c>
      <c r="E2836">
        <v>6.99052566E-3</v>
      </c>
      <c r="F2836">
        <v>9.1086446999999997E-3</v>
      </c>
      <c r="G2836">
        <v>7.9502390999999992E-3</v>
      </c>
      <c r="H2836">
        <v>6.80760629999999E-3</v>
      </c>
      <c r="I2836">
        <v>7.6932583999999998E-3</v>
      </c>
      <c r="J2836">
        <v>8.2204492699999993E-3</v>
      </c>
      <c r="K2836">
        <v>8.6591054000000004E-3</v>
      </c>
      <c r="L2836">
        <v>9.2343436000000001E-3</v>
      </c>
      <c r="M2836">
        <v>9.7378020000000003E-3</v>
      </c>
      <c r="N2836">
        <v>1.0228631199999999E-2</v>
      </c>
      <c r="O2836">
        <v>0</v>
      </c>
      <c r="P2836">
        <v>0</v>
      </c>
      <c r="Q2836">
        <v>0</v>
      </c>
      <c r="R2836" t="s">
        <v>243</v>
      </c>
    </row>
    <row r="2837" spans="1:18" x14ac:dyDescent="0.3">
      <c r="A2837" t="s">
        <v>259</v>
      </c>
      <c r="B2837" t="s">
        <v>24</v>
      </c>
      <c r="C2837" t="s">
        <v>299</v>
      </c>
      <c r="D2837">
        <v>2.72076857E-3</v>
      </c>
      <c r="E2837">
        <v>8.0310672000000003E-3</v>
      </c>
      <c r="F2837">
        <v>1.04748728E-2</v>
      </c>
      <c r="G2837">
        <v>9.1680189999999995E-3</v>
      </c>
      <c r="H2837">
        <v>7.9310943000000002E-3</v>
      </c>
      <c r="I2837">
        <v>8.9354094000000002E-3</v>
      </c>
      <c r="J2837">
        <v>9.4961703399999899E-3</v>
      </c>
      <c r="K2837">
        <v>9.9636408999999992E-3</v>
      </c>
      <c r="L2837">
        <v>1.05993165999999E-2</v>
      </c>
      <c r="M2837">
        <v>1.11344979E-2</v>
      </c>
      <c r="N2837">
        <v>1.1639737900000001E-2</v>
      </c>
      <c r="O2837">
        <v>0</v>
      </c>
      <c r="P2837">
        <v>0</v>
      </c>
      <c r="Q2837">
        <v>0</v>
      </c>
      <c r="R2837" t="s">
        <v>243</v>
      </c>
    </row>
    <row r="2838" spans="1:18" x14ac:dyDescent="0.3">
      <c r="A2838" t="s">
        <v>259</v>
      </c>
      <c r="B2838" t="s">
        <v>24</v>
      </c>
      <c r="C2838" t="s">
        <v>300</v>
      </c>
      <c r="D2838">
        <v>3.1292376300000001E-3</v>
      </c>
      <c r="E2838">
        <v>9.0698261999999901E-3</v>
      </c>
      <c r="F2838">
        <v>1.1859537599999999E-2</v>
      </c>
      <c r="G2838">
        <v>1.04141315E-2</v>
      </c>
      <c r="H2838">
        <v>9.1024386999999998E-3</v>
      </c>
      <c r="I2838">
        <v>1.02005007E-2</v>
      </c>
      <c r="J2838">
        <v>1.07687972399999E-2</v>
      </c>
      <c r="K2838">
        <v>1.12669036999999E-2</v>
      </c>
      <c r="L2838">
        <v>1.19254820999999E-2</v>
      </c>
      <c r="M2838">
        <v>1.2484367499999999E-2</v>
      </c>
      <c r="N2838">
        <v>1.29990172999999E-2</v>
      </c>
      <c r="O2838">
        <v>0</v>
      </c>
      <c r="P2838">
        <v>0</v>
      </c>
      <c r="Q2838">
        <v>0</v>
      </c>
      <c r="R2838" t="s">
        <v>243</v>
      </c>
    </row>
    <row r="2839" spans="1:18" x14ac:dyDescent="0.3">
      <c r="A2839" t="s">
        <v>259</v>
      </c>
      <c r="B2839" t="s">
        <v>24</v>
      </c>
      <c r="C2839" t="s">
        <v>301</v>
      </c>
      <c r="D2839">
        <v>3.6002733600000001E-3</v>
      </c>
      <c r="E2839">
        <v>1.0184334999999999E-2</v>
      </c>
      <c r="F2839">
        <v>1.33651701E-2</v>
      </c>
      <c r="G2839">
        <v>1.17189398E-2</v>
      </c>
      <c r="H2839">
        <v>1.03854906E-2</v>
      </c>
      <c r="I2839">
        <v>1.1575975299999999E-2</v>
      </c>
      <c r="J2839">
        <v>1.2147451199999999E-2</v>
      </c>
      <c r="K2839">
        <v>1.26529648999999E-2</v>
      </c>
      <c r="L2839">
        <v>1.3334693499999901E-2</v>
      </c>
      <c r="M2839">
        <v>1.3880801200000001E-2</v>
      </c>
      <c r="N2839">
        <v>1.4360443299999999E-2</v>
      </c>
      <c r="O2839">
        <v>0</v>
      </c>
      <c r="P2839">
        <v>0</v>
      </c>
      <c r="Q2839">
        <v>0</v>
      </c>
      <c r="R2839" t="s">
        <v>243</v>
      </c>
    </row>
    <row r="2840" spans="1:18" x14ac:dyDescent="0.3">
      <c r="A2840" t="s">
        <v>259</v>
      </c>
      <c r="B2840" t="s">
        <v>24</v>
      </c>
      <c r="C2840" t="s">
        <v>302</v>
      </c>
      <c r="D2840">
        <v>4.1575644999999996E-3</v>
      </c>
      <c r="E2840">
        <v>1.1517276700000001E-2</v>
      </c>
      <c r="F2840">
        <v>1.51261301999999E-2</v>
      </c>
      <c r="G2840">
        <v>1.33887334E-2</v>
      </c>
      <c r="H2840">
        <v>1.19227089E-2</v>
      </c>
      <c r="I2840">
        <v>1.3194666199999899E-2</v>
      </c>
      <c r="J2840">
        <v>1.37676951E-2</v>
      </c>
      <c r="K2840">
        <v>1.4265138199999999E-2</v>
      </c>
      <c r="L2840">
        <v>1.4932932899999999E-2</v>
      </c>
      <c r="M2840">
        <v>1.5441292699999999E-2</v>
      </c>
      <c r="N2840">
        <v>1.58838829E-2</v>
      </c>
      <c r="O2840">
        <v>0</v>
      </c>
      <c r="P2840">
        <v>0</v>
      </c>
      <c r="Q2840">
        <v>0</v>
      </c>
      <c r="R2840" t="s">
        <v>243</v>
      </c>
    </row>
    <row r="2841" spans="1:18" x14ac:dyDescent="0.3">
      <c r="A2841" t="s">
        <v>259</v>
      </c>
      <c r="B2841" t="s">
        <v>24</v>
      </c>
      <c r="C2841" t="s">
        <v>303</v>
      </c>
      <c r="D2841">
        <v>5.0190791800000002E-3</v>
      </c>
      <c r="E2841">
        <v>1.33702741999999E-2</v>
      </c>
      <c r="F2841">
        <v>1.7582021499999999E-2</v>
      </c>
      <c r="G2841">
        <v>1.54000305E-2</v>
      </c>
      <c r="H2841">
        <v>1.39732078E-2</v>
      </c>
      <c r="I2841">
        <v>1.53450836E-2</v>
      </c>
      <c r="J2841">
        <v>1.5865365499999999E-2</v>
      </c>
      <c r="K2841">
        <v>1.63420741999999E-2</v>
      </c>
      <c r="L2841">
        <v>1.7002490799999999E-2</v>
      </c>
      <c r="M2841">
        <v>1.7467182500000001E-2</v>
      </c>
      <c r="N2841">
        <v>1.7835250600000001E-2</v>
      </c>
      <c r="O2841">
        <v>0</v>
      </c>
      <c r="P2841">
        <v>0</v>
      </c>
      <c r="Q2841">
        <v>0</v>
      </c>
      <c r="R2841" t="s">
        <v>243</v>
      </c>
    </row>
    <row r="2842" spans="1:18" x14ac:dyDescent="0.3">
      <c r="A2842" t="s">
        <v>259</v>
      </c>
      <c r="B2842" t="s">
        <v>24</v>
      </c>
      <c r="C2842" t="s">
        <v>304</v>
      </c>
      <c r="D2842">
        <v>5.0059400000000004E-3</v>
      </c>
      <c r="E2842">
        <v>1.1330399999999999E-2</v>
      </c>
      <c r="F2842">
        <v>1.34229E-2</v>
      </c>
      <c r="G2842">
        <v>1.1958399999999999E-2</v>
      </c>
      <c r="H2842">
        <v>1.2982250000000001E-2</v>
      </c>
      <c r="I2842">
        <v>1.33740099999999E-2</v>
      </c>
      <c r="J2842">
        <v>1.372028E-2</v>
      </c>
      <c r="K2842">
        <v>1.421091E-2</v>
      </c>
      <c r="L2842">
        <v>1.4726329999999999E-2</v>
      </c>
      <c r="M2842">
        <v>1.51084299999999E-2</v>
      </c>
      <c r="N2842">
        <v>1.5403109999999999E-2</v>
      </c>
      <c r="O2842">
        <v>0</v>
      </c>
      <c r="P2842">
        <v>0</v>
      </c>
      <c r="Q2842">
        <v>0</v>
      </c>
      <c r="R2842" t="s">
        <v>243</v>
      </c>
    </row>
    <row r="2843" spans="1:18" x14ac:dyDescent="0.3">
      <c r="A2843" t="s">
        <v>259</v>
      </c>
      <c r="B2843" t="s">
        <v>24</v>
      </c>
      <c r="C2843" t="s">
        <v>305</v>
      </c>
      <c r="D2843">
        <v>9.5042800000000004E-3</v>
      </c>
      <c r="E2843">
        <v>1.9423200000000002E-2</v>
      </c>
      <c r="F2843">
        <v>2.35655E-2</v>
      </c>
      <c r="G2843">
        <v>2.19454E-2</v>
      </c>
      <c r="H2843">
        <v>2.2301749999999999E-2</v>
      </c>
      <c r="I2843">
        <v>2.3308959999999899E-2</v>
      </c>
      <c r="J2843">
        <v>2.3647109999999999E-2</v>
      </c>
      <c r="K2843">
        <v>2.4030860000000001E-2</v>
      </c>
      <c r="L2843">
        <v>2.4439269999999999E-2</v>
      </c>
      <c r="M2843">
        <v>2.4696349999999999E-2</v>
      </c>
      <c r="N2843">
        <v>2.4815540000000001E-2</v>
      </c>
      <c r="O2843">
        <v>0</v>
      </c>
      <c r="P2843">
        <v>0</v>
      </c>
      <c r="Q2843">
        <v>0</v>
      </c>
      <c r="R2843" t="s">
        <v>243</v>
      </c>
    </row>
    <row r="2844" spans="1:18" x14ac:dyDescent="0.3">
      <c r="A2844" t="s">
        <v>259</v>
      </c>
      <c r="B2844" t="s">
        <v>24</v>
      </c>
      <c r="C2844" t="s">
        <v>306</v>
      </c>
      <c r="D2844">
        <v>6.2196200000000004E-3</v>
      </c>
      <c r="E2844">
        <v>1.34608E-2</v>
      </c>
      <c r="F2844">
        <v>1.61321E-2</v>
      </c>
      <c r="G2844">
        <v>1.47808E-2</v>
      </c>
      <c r="H2844">
        <v>1.5325019999999899E-2</v>
      </c>
      <c r="I2844">
        <v>1.5862890000000001E-2</v>
      </c>
      <c r="J2844">
        <v>1.6200829999999999E-2</v>
      </c>
      <c r="K2844">
        <v>1.6602820000000001E-2</v>
      </c>
      <c r="L2844">
        <v>1.702793E-2</v>
      </c>
      <c r="M2844">
        <v>1.733815E-2</v>
      </c>
      <c r="N2844">
        <v>1.756491E-2</v>
      </c>
      <c r="O2844">
        <v>0</v>
      </c>
      <c r="P2844">
        <v>0</v>
      </c>
      <c r="Q2844">
        <v>0</v>
      </c>
      <c r="R2844" t="s">
        <v>243</v>
      </c>
    </row>
    <row r="2845" spans="1:18" x14ac:dyDescent="0.3">
      <c r="A2845" t="s">
        <v>259</v>
      </c>
      <c r="B2845" t="s">
        <v>24</v>
      </c>
      <c r="C2845" t="s">
        <v>307</v>
      </c>
      <c r="D2845">
        <v>6.8871799999999997E-3</v>
      </c>
      <c r="E2845">
        <v>1.43663E-2</v>
      </c>
      <c r="F2845">
        <v>1.73554E-2</v>
      </c>
      <c r="G2845">
        <v>1.6045500000000001E-2</v>
      </c>
      <c r="H2845">
        <v>1.6359450000000001E-2</v>
      </c>
      <c r="I2845">
        <v>1.7129430000000001E-2</v>
      </c>
      <c r="J2845">
        <v>1.7440600000000001E-2</v>
      </c>
      <c r="K2845">
        <v>1.7803039999999999E-2</v>
      </c>
      <c r="L2845">
        <v>1.819877E-2</v>
      </c>
      <c r="M2845">
        <v>1.847853E-2</v>
      </c>
      <c r="N2845">
        <v>1.86757E-2</v>
      </c>
      <c r="O2845">
        <v>0</v>
      </c>
      <c r="P2845">
        <v>0</v>
      </c>
      <c r="Q2845">
        <v>0</v>
      </c>
      <c r="R2845" t="s">
        <v>243</v>
      </c>
    </row>
    <row r="2846" spans="1:18" x14ac:dyDescent="0.3">
      <c r="A2846" t="s">
        <v>259</v>
      </c>
      <c r="B2846" t="s">
        <v>24</v>
      </c>
      <c r="C2846" t="s">
        <v>308</v>
      </c>
      <c r="D2846">
        <v>7.26189E-3</v>
      </c>
      <c r="E2846">
        <v>1.49745E-2</v>
      </c>
      <c r="F2846">
        <v>1.8151199999999999E-2</v>
      </c>
      <c r="G2846">
        <v>1.6850299999999999E-2</v>
      </c>
      <c r="H2846">
        <v>1.714514E-2</v>
      </c>
      <c r="I2846">
        <v>1.7920889999999998E-2</v>
      </c>
      <c r="J2846">
        <v>1.8228370000000001E-2</v>
      </c>
      <c r="K2846">
        <v>1.8591629999999901E-2</v>
      </c>
      <c r="L2846">
        <v>1.899342E-2</v>
      </c>
      <c r="M2846">
        <v>1.9277429999999901E-2</v>
      </c>
      <c r="N2846">
        <v>1.9468360000000001E-2</v>
      </c>
      <c r="O2846">
        <v>0</v>
      </c>
      <c r="P2846">
        <v>0</v>
      </c>
      <c r="Q2846">
        <v>0</v>
      </c>
      <c r="R2846" t="s">
        <v>243</v>
      </c>
    </row>
    <row r="2847" spans="1:18" x14ac:dyDescent="0.3">
      <c r="A2847" t="s">
        <v>259</v>
      </c>
      <c r="B2847" t="s">
        <v>24</v>
      </c>
      <c r="C2847" t="s">
        <v>309</v>
      </c>
      <c r="D2847">
        <v>7.5644099999999997E-3</v>
      </c>
      <c r="E2847">
        <v>1.55061E-2</v>
      </c>
      <c r="F2847">
        <v>1.8796799999999999E-2</v>
      </c>
      <c r="G2847">
        <v>1.74705E-2</v>
      </c>
      <c r="H2847">
        <v>1.776289E-2</v>
      </c>
      <c r="I2847">
        <v>1.8591320000000001E-2</v>
      </c>
      <c r="J2847">
        <v>1.8901540000000001E-2</v>
      </c>
      <c r="K2847">
        <v>1.9263240000000001E-2</v>
      </c>
      <c r="L2847">
        <v>1.967325E-2</v>
      </c>
      <c r="M2847">
        <v>1.9956950000000001E-2</v>
      </c>
      <c r="N2847">
        <v>2.01396199999999E-2</v>
      </c>
      <c r="O2847">
        <v>0</v>
      </c>
      <c r="P2847">
        <v>0</v>
      </c>
      <c r="Q2847">
        <v>0</v>
      </c>
      <c r="R2847" t="s">
        <v>243</v>
      </c>
    </row>
    <row r="2848" spans="1:18" x14ac:dyDescent="0.3">
      <c r="A2848" t="s">
        <v>259</v>
      </c>
      <c r="B2848" t="s">
        <v>24</v>
      </c>
      <c r="C2848" t="s">
        <v>310</v>
      </c>
      <c r="D2848">
        <v>7.8295900000000009E-3</v>
      </c>
      <c r="E2848">
        <v>1.5990299999999999E-2</v>
      </c>
      <c r="F2848">
        <v>1.93907E-2</v>
      </c>
      <c r="G2848">
        <v>1.8041999999999999E-2</v>
      </c>
      <c r="H2848">
        <v>1.8338190000000001E-2</v>
      </c>
      <c r="I2848">
        <v>1.9208719999999999E-2</v>
      </c>
      <c r="J2848">
        <v>1.9515789999999901E-2</v>
      </c>
      <c r="K2848">
        <v>1.988328E-2</v>
      </c>
      <c r="L2848">
        <v>2.0289729999999999E-2</v>
      </c>
      <c r="M2848">
        <v>2.057608E-2</v>
      </c>
      <c r="N2848">
        <v>2.075581E-2</v>
      </c>
      <c r="O2848">
        <v>0</v>
      </c>
      <c r="P2848">
        <v>0</v>
      </c>
      <c r="Q2848">
        <v>0</v>
      </c>
      <c r="R2848" t="s">
        <v>243</v>
      </c>
    </row>
    <row r="2849" spans="1:18" x14ac:dyDescent="0.3">
      <c r="A2849" t="s">
        <v>259</v>
      </c>
      <c r="B2849" t="s">
        <v>24</v>
      </c>
      <c r="C2849" t="s">
        <v>311</v>
      </c>
      <c r="D2849">
        <v>8.0918299999999995E-3</v>
      </c>
      <c r="E2849">
        <v>1.6475099999999999E-2</v>
      </c>
      <c r="F2849">
        <v>1.9990000000000001E-2</v>
      </c>
      <c r="G2849">
        <v>1.8595899999999999E-2</v>
      </c>
      <c r="H2849">
        <v>1.8898789999999999E-2</v>
      </c>
      <c r="I2849">
        <v>1.9829610000000001E-2</v>
      </c>
      <c r="J2849">
        <v>2.0137840000000001E-2</v>
      </c>
      <c r="K2849">
        <v>2.0505510000000001E-2</v>
      </c>
      <c r="L2849">
        <v>2.0914490000000001E-2</v>
      </c>
      <c r="M2849">
        <v>2.1193819999999999E-2</v>
      </c>
      <c r="N2849">
        <v>2.1357979999999999E-2</v>
      </c>
      <c r="O2849">
        <v>0</v>
      </c>
      <c r="P2849">
        <v>0</v>
      </c>
      <c r="Q2849">
        <v>0</v>
      </c>
      <c r="R2849" t="s">
        <v>243</v>
      </c>
    </row>
    <row r="2850" spans="1:18" x14ac:dyDescent="0.3">
      <c r="A2850" t="s">
        <v>259</v>
      </c>
      <c r="B2850" t="s">
        <v>24</v>
      </c>
      <c r="C2850" t="s">
        <v>312</v>
      </c>
      <c r="D2850">
        <v>8.3633600000000002E-3</v>
      </c>
      <c r="E2850">
        <v>1.70236E-2</v>
      </c>
      <c r="F2850">
        <v>2.0650499999999999E-2</v>
      </c>
      <c r="G2850">
        <v>1.9262499999999998E-2</v>
      </c>
      <c r="H2850">
        <v>1.9575519999999999E-2</v>
      </c>
      <c r="I2850">
        <v>2.0511419999999999E-2</v>
      </c>
      <c r="J2850">
        <v>2.083111E-2</v>
      </c>
      <c r="K2850">
        <v>2.1200110000000001E-2</v>
      </c>
      <c r="L2850">
        <v>2.160362E-2</v>
      </c>
      <c r="M2850">
        <v>2.1874569999999999E-2</v>
      </c>
      <c r="N2850">
        <v>2.203132E-2</v>
      </c>
      <c r="O2850">
        <v>0</v>
      </c>
      <c r="P2850">
        <v>0</v>
      </c>
      <c r="Q2850">
        <v>0</v>
      </c>
      <c r="R2850" t="s">
        <v>243</v>
      </c>
    </row>
    <row r="2851" spans="1:18" x14ac:dyDescent="0.3">
      <c r="A2851" t="s">
        <v>259</v>
      </c>
      <c r="B2851" t="s">
        <v>24</v>
      </c>
      <c r="C2851" t="s">
        <v>313</v>
      </c>
      <c r="D2851">
        <v>8.7327399999999993E-3</v>
      </c>
      <c r="E2851">
        <v>1.7755900000000002E-2</v>
      </c>
      <c r="F2851">
        <v>2.1531000000000002E-2</v>
      </c>
      <c r="G2851">
        <v>2.0031899999999998E-2</v>
      </c>
      <c r="H2851">
        <v>2.0357190000000001E-2</v>
      </c>
      <c r="I2851">
        <v>2.1377409999999999E-2</v>
      </c>
      <c r="J2851">
        <v>2.17024E-2</v>
      </c>
      <c r="K2851">
        <v>2.20823699999999E-2</v>
      </c>
      <c r="L2851">
        <v>2.2498899999999999E-2</v>
      </c>
      <c r="M2851">
        <v>2.2777249999999999E-2</v>
      </c>
      <c r="N2851">
        <v>2.29290799999999E-2</v>
      </c>
      <c r="O2851">
        <v>0</v>
      </c>
      <c r="P2851">
        <v>0</v>
      </c>
      <c r="Q2851">
        <v>0</v>
      </c>
      <c r="R2851" t="s">
        <v>243</v>
      </c>
    </row>
    <row r="2852" spans="1:18" x14ac:dyDescent="0.3">
      <c r="A2852" t="s">
        <v>259</v>
      </c>
      <c r="B2852" t="s">
        <v>24</v>
      </c>
      <c r="C2852" t="s">
        <v>314</v>
      </c>
      <c r="D2852" s="8">
        <v>9.3675499999999897E-4</v>
      </c>
      <c r="E2852">
        <v>1.571518E-3</v>
      </c>
      <c r="F2852">
        <v>1.5661340000000001E-3</v>
      </c>
      <c r="G2852">
        <v>1.3738369999999999E-3</v>
      </c>
      <c r="H2852">
        <v>1.3989969999999999E-3</v>
      </c>
      <c r="I2852">
        <v>1.422691E-3</v>
      </c>
      <c r="J2852">
        <v>1.45139099999999E-3</v>
      </c>
      <c r="K2852">
        <v>1.480416E-3</v>
      </c>
      <c r="L2852">
        <v>1.51268E-3</v>
      </c>
      <c r="M2852">
        <v>1.533073E-3</v>
      </c>
      <c r="N2852">
        <v>1.5444320000000001E-3</v>
      </c>
      <c r="O2852">
        <v>0</v>
      </c>
      <c r="P2852">
        <v>0</v>
      </c>
      <c r="Q2852">
        <v>0</v>
      </c>
      <c r="R2852" t="s">
        <v>243</v>
      </c>
    </row>
    <row r="2853" spans="1:18" x14ac:dyDescent="0.3">
      <c r="A2853" t="s">
        <v>259</v>
      </c>
      <c r="B2853" t="s">
        <v>24</v>
      </c>
      <c r="C2853" t="s">
        <v>315</v>
      </c>
      <c r="D2853">
        <v>1.706843E-3</v>
      </c>
      <c r="E2853">
        <v>2.6925400000000002E-3</v>
      </c>
      <c r="F2853">
        <v>2.8009419999999998E-3</v>
      </c>
      <c r="G2853">
        <v>2.5777999999999999E-3</v>
      </c>
      <c r="H2853">
        <v>2.4581400000000002E-3</v>
      </c>
      <c r="I2853">
        <v>2.5328359999999901E-3</v>
      </c>
      <c r="J2853">
        <v>2.5475939999999998E-3</v>
      </c>
      <c r="K2853">
        <v>2.5383889999999998E-3</v>
      </c>
      <c r="L2853">
        <v>2.5358220000000001E-3</v>
      </c>
      <c r="M2853">
        <v>2.5238999999999999E-3</v>
      </c>
      <c r="N2853">
        <v>2.4994520000000001E-3</v>
      </c>
      <c r="O2853">
        <v>0</v>
      </c>
      <c r="P2853">
        <v>0</v>
      </c>
      <c r="Q2853">
        <v>0</v>
      </c>
      <c r="R2853" t="s">
        <v>243</v>
      </c>
    </row>
    <row r="2854" spans="1:18" x14ac:dyDescent="0.3">
      <c r="A2854" t="s">
        <v>259</v>
      </c>
      <c r="B2854" t="s">
        <v>24</v>
      </c>
      <c r="C2854" t="s">
        <v>316</v>
      </c>
      <c r="D2854">
        <v>1.140364E-3</v>
      </c>
      <c r="E2854">
        <v>1.8662819999999999E-3</v>
      </c>
      <c r="F2854">
        <v>1.9062790000000001E-3</v>
      </c>
      <c r="G2854">
        <v>1.722871E-3</v>
      </c>
      <c r="H2854">
        <v>1.6788949999999999E-3</v>
      </c>
      <c r="I2854">
        <v>1.7140079999999999E-3</v>
      </c>
      <c r="J2854">
        <v>1.7378129999999999E-3</v>
      </c>
      <c r="K2854">
        <v>1.749189E-3</v>
      </c>
      <c r="L2854">
        <v>1.764208E-3</v>
      </c>
      <c r="M2854">
        <v>1.770509E-3</v>
      </c>
      <c r="N2854">
        <v>1.7685820000000001E-3</v>
      </c>
      <c r="O2854">
        <v>0</v>
      </c>
      <c r="P2854">
        <v>0</v>
      </c>
      <c r="Q2854">
        <v>0</v>
      </c>
      <c r="R2854" t="s">
        <v>243</v>
      </c>
    </row>
    <row r="2855" spans="1:18" x14ac:dyDescent="0.3">
      <c r="A2855" t="s">
        <v>259</v>
      </c>
      <c r="B2855" t="s">
        <v>24</v>
      </c>
      <c r="C2855" t="s">
        <v>317</v>
      </c>
      <c r="D2855">
        <v>1.250194E-3</v>
      </c>
      <c r="E2855">
        <v>1.9916309999999998E-3</v>
      </c>
      <c r="F2855">
        <v>2.0582420000000001E-3</v>
      </c>
      <c r="G2855">
        <v>1.8789599999999901E-3</v>
      </c>
      <c r="H2855">
        <v>1.7980579999999999E-3</v>
      </c>
      <c r="I2855">
        <v>1.858415E-3</v>
      </c>
      <c r="J2855">
        <v>1.8767949999999999E-3</v>
      </c>
      <c r="K2855">
        <v>1.879435E-3</v>
      </c>
      <c r="L2855">
        <v>1.887833E-3</v>
      </c>
      <c r="M2855">
        <v>1.888252E-3</v>
      </c>
      <c r="N2855">
        <v>1.8810039999999999E-3</v>
      </c>
      <c r="O2855">
        <v>0</v>
      </c>
      <c r="P2855">
        <v>0</v>
      </c>
      <c r="Q2855">
        <v>0</v>
      </c>
      <c r="R2855" t="s">
        <v>243</v>
      </c>
    </row>
    <row r="2856" spans="1:18" x14ac:dyDescent="0.3">
      <c r="A2856" t="s">
        <v>259</v>
      </c>
      <c r="B2856" t="s">
        <v>24</v>
      </c>
      <c r="C2856" t="s">
        <v>318</v>
      </c>
      <c r="D2856">
        <v>1.312281E-3</v>
      </c>
      <c r="E2856">
        <v>2.0758970000000002E-3</v>
      </c>
      <c r="F2856">
        <v>2.1554149999999999E-3</v>
      </c>
      <c r="G2856">
        <v>1.9766850000000002E-3</v>
      </c>
      <c r="H2856">
        <v>1.8877399999999999E-3</v>
      </c>
      <c r="I2856">
        <v>1.9463099999999999E-3</v>
      </c>
      <c r="J2856">
        <v>1.9631259999999999E-3</v>
      </c>
      <c r="K2856">
        <v>1.963556E-3</v>
      </c>
      <c r="L2856">
        <v>1.9706810000000002E-3</v>
      </c>
      <c r="M2856">
        <v>1.9700849999999999E-3</v>
      </c>
      <c r="N2856">
        <v>1.960912E-3</v>
      </c>
      <c r="O2856">
        <v>0</v>
      </c>
      <c r="P2856">
        <v>0</v>
      </c>
      <c r="Q2856">
        <v>0</v>
      </c>
      <c r="R2856" t="s">
        <v>243</v>
      </c>
    </row>
    <row r="2857" spans="1:18" x14ac:dyDescent="0.3">
      <c r="A2857" t="s">
        <v>259</v>
      </c>
      <c r="B2857" t="s">
        <v>24</v>
      </c>
      <c r="C2857" t="s">
        <v>319</v>
      </c>
      <c r="D2857">
        <v>1.3632010000000001E-3</v>
      </c>
      <c r="E2857">
        <v>2.1495529999999998E-3</v>
      </c>
      <c r="F2857">
        <v>2.233292E-3</v>
      </c>
      <c r="G2857">
        <v>2.050975E-3</v>
      </c>
      <c r="H2857">
        <v>1.9570970000000001E-3</v>
      </c>
      <c r="I2857">
        <v>2.0198849999999999E-3</v>
      </c>
      <c r="J2857">
        <v>2.0361379999999998E-3</v>
      </c>
      <c r="K2857">
        <v>2.0347210000000002E-3</v>
      </c>
      <c r="L2857">
        <v>2.0413179999999999E-3</v>
      </c>
      <c r="M2857">
        <v>2.0395650000000001E-3</v>
      </c>
      <c r="N2857">
        <v>2.0285220000000001E-3</v>
      </c>
      <c r="O2857">
        <v>0</v>
      </c>
      <c r="P2857">
        <v>0</v>
      </c>
      <c r="Q2857">
        <v>0</v>
      </c>
      <c r="R2857" t="s">
        <v>243</v>
      </c>
    </row>
    <row r="2858" spans="1:18" x14ac:dyDescent="0.3">
      <c r="A2858" t="s">
        <v>259</v>
      </c>
      <c r="B2858" t="s">
        <v>24</v>
      </c>
      <c r="C2858" t="s">
        <v>320</v>
      </c>
      <c r="D2858">
        <v>1.4086529999999999E-3</v>
      </c>
      <c r="E2858">
        <v>2.2166740000000001E-3</v>
      </c>
      <c r="F2858">
        <v>2.3043970000000001E-3</v>
      </c>
      <c r="G2858">
        <v>2.118811E-3</v>
      </c>
      <c r="H2858">
        <v>2.0210110000000001E-3</v>
      </c>
      <c r="I2858">
        <v>2.0872249999999998E-3</v>
      </c>
      <c r="J2858">
        <v>2.1024709999999999E-3</v>
      </c>
      <c r="K2858">
        <v>2.100279E-3</v>
      </c>
      <c r="L2858">
        <v>2.1053080000000002E-3</v>
      </c>
      <c r="M2858">
        <v>2.1028409999999998E-3</v>
      </c>
      <c r="N2858">
        <v>2.0905859999999902E-3</v>
      </c>
      <c r="O2858">
        <v>0</v>
      </c>
      <c r="P2858">
        <v>0</v>
      </c>
      <c r="Q2858">
        <v>0</v>
      </c>
      <c r="R2858" t="s">
        <v>243</v>
      </c>
    </row>
    <row r="2859" spans="1:18" x14ac:dyDescent="0.3">
      <c r="A2859" t="s">
        <v>259</v>
      </c>
      <c r="B2859" t="s">
        <v>24</v>
      </c>
      <c r="C2859" t="s">
        <v>321</v>
      </c>
      <c r="D2859">
        <v>1.4543819999999999E-3</v>
      </c>
      <c r="E2859">
        <v>2.2838649999999999E-3</v>
      </c>
      <c r="F2859">
        <v>2.375865E-3</v>
      </c>
      <c r="G2859">
        <v>2.1841870000000002E-3</v>
      </c>
      <c r="H2859">
        <v>2.0829949999999998E-3</v>
      </c>
      <c r="I2859">
        <v>2.154797E-3</v>
      </c>
      <c r="J2859">
        <v>2.1695199999999999E-3</v>
      </c>
      <c r="K2859">
        <v>2.1660030000000001E-3</v>
      </c>
      <c r="L2859">
        <v>2.1701389999999902E-3</v>
      </c>
      <c r="M2859">
        <v>2.1659700000000001E-3</v>
      </c>
      <c r="N2859">
        <v>2.1512300000000001E-3</v>
      </c>
      <c r="O2859">
        <v>0</v>
      </c>
      <c r="P2859">
        <v>0</v>
      </c>
      <c r="Q2859">
        <v>0</v>
      </c>
      <c r="R2859" t="s">
        <v>243</v>
      </c>
    </row>
    <row r="2860" spans="1:18" x14ac:dyDescent="0.3">
      <c r="A2860" t="s">
        <v>259</v>
      </c>
      <c r="B2860" t="s">
        <v>24</v>
      </c>
      <c r="C2860" t="s">
        <v>322</v>
      </c>
      <c r="D2860">
        <v>1.5023980000000001E-3</v>
      </c>
      <c r="E2860">
        <v>2.3599020000000001E-3</v>
      </c>
      <c r="F2860">
        <v>2.4544409999999999E-3</v>
      </c>
      <c r="G2860">
        <v>2.2626209999999998E-3</v>
      </c>
      <c r="H2860">
        <v>2.1576350000000002E-3</v>
      </c>
      <c r="I2860">
        <v>2.2288859999999998E-3</v>
      </c>
      <c r="J2860">
        <v>2.2442249999999999E-3</v>
      </c>
      <c r="K2860">
        <v>2.2393830000000002E-3</v>
      </c>
      <c r="L2860">
        <v>2.2416290000000002E-3</v>
      </c>
      <c r="M2860">
        <v>2.2355410000000002E-3</v>
      </c>
      <c r="N2860">
        <v>2.2190510000000001E-3</v>
      </c>
      <c r="O2860">
        <v>0</v>
      </c>
      <c r="P2860">
        <v>0</v>
      </c>
      <c r="Q2860">
        <v>0</v>
      </c>
      <c r="R2860" t="s">
        <v>243</v>
      </c>
    </row>
    <row r="2861" spans="1:18" x14ac:dyDescent="0.3">
      <c r="A2861" t="s">
        <v>259</v>
      </c>
      <c r="B2861" t="s">
        <v>24</v>
      </c>
      <c r="C2861" t="s">
        <v>323</v>
      </c>
      <c r="D2861">
        <v>1.5683680000000001E-3</v>
      </c>
      <c r="E2861">
        <v>2.4614199999999902E-3</v>
      </c>
      <c r="F2861">
        <v>2.5591249999999898E-3</v>
      </c>
      <c r="G2861">
        <v>2.3530299999999999E-3</v>
      </c>
      <c r="H2861">
        <v>2.2438039999999999E-3</v>
      </c>
      <c r="I2861">
        <v>2.3230299999999998E-3</v>
      </c>
      <c r="J2861">
        <v>2.3380789999999999E-3</v>
      </c>
      <c r="K2861">
        <v>2.3325609999999999E-3</v>
      </c>
      <c r="L2861">
        <v>2.3345319999999998E-3</v>
      </c>
      <c r="M2861">
        <v>2.3277889999999998E-3</v>
      </c>
      <c r="N2861">
        <v>2.3094689999999898E-3</v>
      </c>
      <c r="O2861">
        <v>0</v>
      </c>
      <c r="P2861">
        <v>0</v>
      </c>
      <c r="Q2861">
        <v>0</v>
      </c>
      <c r="R2861" t="s">
        <v>243</v>
      </c>
    </row>
    <row r="2862" spans="1:18" x14ac:dyDescent="0.3">
      <c r="A2862" t="s">
        <v>259</v>
      </c>
      <c r="B2862" t="s">
        <v>56</v>
      </c>
      <c r="C2862" t="s">
        <v>261</v>
      </c>
      <c r="D2862">
        <v>1.3190499659999999E-3</v>
      </c>
      <c r="E2862">
        <v>1.4386100100000001E-3</v>
      </c>
      <c r="F2862">
        <v>1.49046996E-3</v>
      </c>
      <c r="G2862">
        <v>1.52247998E-3</v>
      </c>
      <c r="H2862">
        <v>1.56211126199999E-3</v>
      </c>
      <c r="I2862">
        <v>1.608272531E-3</v>
      </c>
      <c r="J2862">
        <v>1.594076238E-3</v>
      </c>
      <c r="K2862">
        <v>1.5925866749999999E-3</v>
      </c>
      <c r="L2862">
        <v>1.576772631E-3</v>
      </c>
      <c r="M2862">
        <v>1.544772115E-3</v>
      </c>
      <c r="N2862">
        <v>1.5144860144999999E-3</v>
      </c>
      <c r="O2862">
        <v>0</v>
      </c>
      <c r="P2862">
        <v>0</v>
      </c>
      <c r="Q2862">
        <v>0</v>
      </c>
      <c r="R2862" t="s">
        <v>243</v>
      </c>
    </row>
    <row r="2863" spans="1:18" x14ac:dyDescent="0.3">
      <c r="A2863" t="s">
        <v>259</v>
      </c>
      <c r="B2863" t="s">
        <v>56</v>
      </c>
      <c r="C2863" t="s">
        <v>262</v>
      </c>
      <c r="D2863">
        <v>4.2607407999999999E-2</v>
      </c>
      <c r="E2863">
        <v>5.0017619999999999E-2</v>
      </c>
      <c r="F2863">
        <v>5.9391607999999999E-2</v>
      </c>
      <c r="G2863">
        <v>4.9428486000000001E-2</v>
      </c>
      <c r="H2863">
        <v>4.4952262159999999E-2</v>
      </c>
      <c r="I2863">
        <v>4.7345663327999901E-2</v>
      </c>
      <c r="J2863">
        <v>4.7537709994999899E-2</v>
      </c>
      <c r="K2863">
        <v>4.3068586983E-2</v>
      </c>
      <c r="L2863">
        <v>4.0820971164999997E-2</v>
      </c>
      <c r="M2863">
        <v>3.9058933060099998E-2</v>
      </c>
      <c r="N2863">
        <v>3.7189609166999898E-2</v>
      </c>
      <c r="O2863">
        <v>0</v>
      </c>
      <c r="P2863">
        <v>0</v>
      </c>
      <c r="Q2863">
        <v>0</v>
      </c>
      <c r="R2863" t="s">
        <v>243</v>
      </c>
    </row>
    <row r="2864" spans="1:18" x14ac:dyDescent="0.3">
      <c r="A2864" t="s">
        <v>259</v>
      </c>
      <c r="B2864" t="s">
        <v>56</v>
      </c>
      <c r="C2864" t="s">
        <v>263</v>
      </c>
      <c r="D2864">
        <v>0.121562434</v>
      </c>
      <c r="E2864">
        <v>0.10295167</v>
      </c>
      <c r="F2864">
        <v>0.105394179999999</v>
      </c>
      <c r="G2864">
        <v>0.101873359</v>
      </c>
      <c r="H2864">
        <v>0.103491581</v>
      </c>
      <c r="I2864">
        <v>0.10876505713</v>
      </c>
      <c r="J2864">
        <v>0.1137647576</v>
      </c>
      <c r="K2864">
        <v>0.116405139</v>
      </c>
      <c r="L2864">
        <v>0.11852476720000001</v>
      </c>
      <c r="M2864">
        <v>0.12023080749999999</v>
      </c>
      <c r="N2864">
        <v>0.12165816439999901</v>
      </c>
      <c r="O2864">
        <v>0</v>
      </c>
      <c r="P2864">
        <v>0</v>
      </c>
      <c r="Q2864">
        <v>0</v>
      </c>
      <c r="R2864" t="s">
        <v>243</v>
      </c>
    </row>
    <row r="2865" spans="1:18" x14ac:dyDescent="0.3">
      <c r="A2865" t="s">
        <v>259</v>
      </c>
      <c r="B2865" t="s">
        <v>56</v>
      </c>
      <c r="C2865" t="s">
        <v>264</v>
      </c>
      <c r="D2865" s="8">
        <v>4.8136543999999898E-4</v>
      </c>
      <c r="E2865" s="8">
        <v>5.0642107999999996E-4</v>
      </c>
      <c r="F2865" s="8">
        <v>5.0337349999999995E-4</v>
      </c>
      <c r="G2865" s="8">
        <v>6.4995645999999896E-4</v>
      </c>
      <c r="H2865" s="8">
        <v>6.8824580999999902E-4</v>
      </c>
      <c r="I2865">
        <v>1.0996288999999999E-3</v>
      </c>
      <c r="J2865">
        <v>1.40046589699999E-3</v>
      </c>
      <c r="K2865">
        <v>1.5097757509999999E-3</v>
      </c>
      <c r="L2865">
        <v>1.543221662E-3</v>
      </c>
      <c r="M2865">
        <v>1.53879595E-3</v>
      </c>
      <c r="N2865">
        <v>1.5420002E-3</v>
      </c>
      <c r="O2865">
        <v>0</v>
      </c>
      <c r="P2865">
        <v>0</v>
      </c>
      <c r="Q2865">
        <v>0</v>
      </c>
      <c r="R2865" t="s">
        <v>243</v>
      </c>
    </row>
    <row r="2866" spans="1:18" x14ac:dyDescent="0.3">
      <c r="A2866" t="s">
        <v>259</v>
      </c>
      <c r="B2866" t="s">
        <v>56</v>
      </c>
      <c r="C2866" t="s">
        <v>265</v>
      </c>
      <c r="D2866">
        <v>3.8338120999999998E-3</v>
      </c>
      <c r="E2866">
        <v>3.7850091999999998E-3</v>
      </c>
      <c r="F2866">
        <v>3.8038031000000002E-3</v>
      </c>
      <c r="G2866">
        <v>4.8506056999999998E-3</v>
      </c>
      <c r="H2866">
        <v>4.7043763000000002E-3</v>
      </c>
      <c r="I2866">
        <v>5.9998106500000004E-3</v>
      </c>
      <c r="J2866">
        <v>6.7051667000000001E-3</v>
      </c>
      <c r="K2866">
        <v>7.0368453700000002E-3</v>
      </c>
      <c r="L2866">
        <v>7.0997228500000002E-3</v>
      </c>
      <c r="M2866">
        <v>7.0535205200000003E-3</v>
      </c>
      <c r="N2866">
        <v>7.0142597099999903E-3</v>
      </c>
      <c r="O2866">
        <v>0</v>
      </c>
      <c r="P2866">
        <v>0</v>
      </c>
      <c r="Q2866">
        <v>0</v>
      </c>
      <c r="R2866" t="s">
        <v>243</v>
      </c>
    </row>
    <row r="2867" spans="1:18" x14ac:dyDescent="0.3">
      <c r="A2867" t="s">
        <v>259</v>
      </c>
      <c r="B2867" t="s">
        <v>56</v>
      </c>
      <c r="C2867" t="s">
        <v>266</v>
      </c>
      <c r="D2867" s="8">
        <v>7.6514520999999998E-4</v>
      </c>
      <c r="E2867" s="8">
        <v>8.4955556999999999E-4</v>
      </c>
      <c r="F2867" s="8">
        <v>8.4744069999999902E-4</v>
      </c>
      <c r="G2867">
        <v>1.11787537E-3</v>
      </c>
      <c r="H2867">
        <v>1.13516073E-3</v>
      </c>
      <c r="I2867">
        <v>1.7779815799999999E-3</v>
      </c>
      <c r="J2867">
        <v>2.2334441500000001E-3</v>
      </c>
      <c r="K2867">
        <v>2.4079236490000002E-3</v>
      </c>
      <c r="L2867">
        <v>2.461696809E-3</v>
      </c>
      <c r="M2867">
        <v>2.4599151549999998E-3</v>
      </c>
      <c r="N2867">
        <v>2.4693003629999901E-3</v>
      </c>
      <c r="O2867">
        <v>0</v>
      </c>
      <c r="P2867">
        <v>0</v>
      </c>
      <c r="Q2867">
        <v>0</v>
      </c>
      <c r="R2867" t="s">
        <v>243</v>
      </c>
    </row>
    <row r="2868" spans="1:18" x14ac:dyDescent="0.3">
      <c r="A2868" t="s">
        <v>259</v>
      </c>
      <c r="B2868" t="s">
        <v>56</v>
      </c>
      <c r="C2868" t="s">
        <v>267</v>
      </c>
      <c r="D2868">
        <v>1.0190147599999999E-3</v>
      </c>
      <c r="E2868">
        <v>1.0878435E-3</v>
      </c>
      <c r="F2868">
        <v>1.1074572999999999E-3</v>
      </c>
      <c r="G2868">
        <v>1.4783074E-3</v>
      </c>
      <c r="H2868">
        <v>1.3875832400000001E-3</v>
      </c>
      <c r="I2868">
        <v>2.3350720499999999E-3</v>
      </c>
      <c r="J2868">
        <v>2.8716159900000001E-3</v>
      </c>
      <c r="K2868">
        <v>3.0691210889999898E-3</v>
      </c>
      <c r="L2868">
        <v>3.1245676100000001E-3</v>
      </c>
      <c r="M2868">
        <v>3.1111029830000001E-3</v>
      </c>
      <c r="N2868">
        <v>3.1120263499999998E-3</v>
      </c>
      <c r="O2868">
        <v>0</v>
      </c>
      <c r="P2868">
        <v>0</v>
      </c>
      <c r="Q2868">
        <v>0</v>
      </c>
      <c r="R2868" t="s">
        <v>243</v>
      </c>
    </row>
    <row r="2869" spans="1:18" x14ac:dyDescent="0.3">
      <c r="A2869" t="s">
        <v>259</v>
      </c>
      <c r="B2869" t="s">
        <v>56</v>
      </c>
      <c r="C2869" t="s">
        <v>268</v>
      </c>
      <c r="D2869">
        <v>1.2171920300000001E-3</v>
      </c>
      <c r="E2869">
        <v>1.2898113E-3</v>
      </c>
      <c r="F2869">
        <v>1.3262459000000001E-3</v>
      </c>
      <c r="G2869">
        <v>1.7820644999999901E-3</v>
      </c>
      <c r="H2869">
        <v>1.6712545399999901E-3</v>
      </c>
      <c r="I2869">
        <v>2.7489738400000002E-3</v>
      </c>
      <c r="J2869">
        <v>3.3460203399999998E-3</v>
      </c>
      <c r="K2869">
        <v>3.5716736200000002E-3</v>
      </c>
      <c r="L2869">
        <v>3.6378876E-3</v>
      </c>
      <c r="M2869">
        <v>3.6271347700000001E-3</v>
      </c>
      <c r="N2869">
        <v>3.6278407499999899E-3</v>
      </c>
      <c r="O2869">
        <v>0</v>
      </c>
      <c r="P2869">
        <v>0</v>
      </c>
      <c r="Q2869">
        <v>0</v>
      </c>
      <c r="R2869" t="s">
        <v>243</v>
      </c>
    </row>
    <row r="2870" spans="1:18" x14ac:dyDescent="0.3">
      <c r="A2870" t="s">
        <v>259</v>
      </c>
      <c r="B2870" t="s">
        <v>56</v>
      </c>
      <c r="C2870" t="s">
        <v>269</v>
      </c>
      <c r="D2870">
        <v>1.4186367999999899E-3</v>
      </c>
      <c r="E2870">
        <v>1.4957165E-3</v>
      </c>
      <c r="F2870">
        <v>1.5346317000000001E-3</v>
      </c>
      <c r="G2870">
        <v>2.05914859999999E-3</v>
      </c>
      <c r="H2870">
        <v>1.9428400799999901E-3</v>
      </c>
      <c r="I2870">
        <v>3.13692967E-3</v>
      </c>
      <c r="J2870">
        <v>3.7844972199999999E-3</v>
      </c>
      <c r="K2870">
        <v>4.0306110199999998E-3</v>
      </c>
      <c r="L2870">
        <v>4.1067411599999999E-3</v>
      </c>
      <c r="M2870">
        <v>4.09517705E-3</v>
      </c>
      <c r="N2870">
        <v>4.0929902499999898E-3</v>
      </c>
      <c r="O2870">
        <v>0</v>
      </c>
      <c r="P2870">
        <v>0</v>
      </c>
      <c r="Q2870">
        <v>0</v>
      </c>
      <c r="R2870" t="s">
        <v>243</v>
      </c>
    </row>
    <row r="2871" spans="1:18" x14ac:dyDescent="0.3">
      <c r="A2871" t="s">
        <v>259</v>
      </c>
      <c r="B2871" t="s">
        <v>56</v>
      </c>
      <c r="C2871" t="s">
        <v>270</v>
      </c>
      <c r="D2871">
        <v>1.6320347999999999E-3</v>
      </c>
      <c r="E2871">
        <v>1.7075065000000001E-3</v>
      </c>
      <c r="F2871">
        <v>1.7507664999999999E-3</v>
      </c>
      <c r="G2871">
        <v>2.3467838999999902E-3</v>
      </c>
      <c r="H2871">
        <v>2.2296629899999998E-3</v>
      </c>
      <c r="I2871">
        <v>3.5175361099999899E-3</v>
      </c>
      <c r="J2871">
        <v>4.20194964E-3</v>
      </c>
      <c r="K2871">
        <v>4.4703320999999897E-3</v>
      </c>
      <c r="L2871">
        <v>4.5468184600000001E-3</v>
      </c>
      <c r="M2871">
        <v>4.5361786100000002E-3</v>
      </c>
      <c r="N2871">
        <v>4.5339424899999998E-3</v>
      </c>
      <c r="O2871">
        <v>0</v>
      </c>
      <c r="P2871">
        <v>0</v>
      </c>
      <c r="Q2871">
        <v>0</v>
      </c>
      <c r="R2871" t="s">
        <v>243</v>
      </c>
    </row>
    <row r="2872" spans="1:18" x14ac:dyDescent="0.3">
      <c r="A2872" t="s">
        <v>259</v>
      </c>
      <c r="B2872" t="s">
        <v>56</v>
      </c>
      <c r="C2872" t="s">
        <v>271</v>
      </c>
      <c r="D2872">
        <v>1.8803803E-3</v>
      </c>
      <c r="E2872">
        <v>1.942521E-3</v>
      </c>
      <c r="F2872">
        <v>1.9921261999999999E-3</v>
      </c>
      <c r="G2872">
        <v>2.6530169000000001E-3</v>
      </c>
      <c r="H2872">
        <v>2.54873757E-3</v>
      </c>
      <c r="I2872">
        <v>3.91529153E-3</v>
      </c>
      <c r="J2872">
        <v>4.6319205399999999E-3</v>
      </c>
      <c r="K2872">
        <v>4.9173275699999899E-3</v>
      </c>
      <c r="L2872">
        <v>4.99723307E-3</v>
      </c>
      <c r="M2872">
        <v>4.9803107399999996E-3</v>
      </c>
      <c r="N2872">
        <v>4.9685157199999899E-3</v>
      </c>
      <c r="O2872">
        <v>0</v>
      </c>
      <c r="P2872">
        <v>0</v>
      </c>
      <c r="Q2872">
        <v>0</v>
      </c>
      <c r="R2872" t="s">
        <v>243</v>
      </c>
    </row>
    <row r="2873" spans="1:18" x14ac:dyDescent="0.3">
      <c r="A2873" t="s">
        <v>259</v>
      </c>
      <c r="B2873" t="s">
        <v>56</v>
      </c>
      <c r="C2873" t="s">
        <v>272</v>
      </c>
      <c r="D2873">
        <v>2.1777912999999898E-3</v>
      </c>
      <c r="E2873">
        <v>2.2357199E-3</v>
      </c>
      <c r="F2873">
        <v>2.2839738999999898E-3</v>
      </c>
      <c r="G2873">
        <v>3.0535897E-3</v>
      </c>
      <c r="H2873">
        <v>2.92473638E-3</v>
      </c>
      <c r="I2873">
        <v>4.3637623499999997E-3</v>
      </c>
      <c r="J2873">
        <v>5.1098308499999898E-3</v>
      </c>
      <c r="K2873">
        <v>5.4098920100000003E-3</v>
      </c>
      <c r="L2873">
        <v>5.4858957799999997E-3</v>
      </c>
      <c r="M2873">
        <v>5.4610561599999904E-3</v>
      </c>
      <c r="N2873">
        <v>5.4452804199999899E-3</v>
      </c>
      <c r="O2873">
        <v>0</v>
      </c>
      <c r="P2873">
        <v>0</v>
      </c>
      <c r="Q2873">
        <v>0</v>
      </c>
      <c r="R2873" t="s">
        <v>243</v>
      </c>
    </row>
    <row r="2874" spans="1:18" x14ac:dyDescent="0.3">
      <c r="A2874" t="s">
        <v>259</v>
      </c>
      <c r="B2874" t="s">
        <v>56</v>
      </c>
      <c r="C2874" t="s">
        <v>273</v>
      </c>
      <c r="D2874">
        <v>2.6464275E-3</v>
      </c>
      <c r="E2874">
        <v>2.6695075E-3</v>
      </c>
      <c r="F2874">
        <v>2.7113422999999999E-3</v>
      </c>
      <c r="G2874">
        <v>3.5512603000000002E-3</v>
      </c>
      <c r="H2874">
        <v>3.444796E-3</v>
      </c>
      <c r="I2874">
        <v>4.9217045600000002E-3</v>
      </c>
      <c r="J2874">
        <v>5.6785686300000002E-3</v>
      </c>
      <c r="K2874">
        <v>5.9998628599999999E-3</v>
      </c>
      <c r="L2874">
        <v>6.0817601499999997E-3</v>
      </c>
      <c r="M2874">
        <v>6.0583509899999896E-3</v>
      </c>
      <c r="N2874">
        <v>6.0394164899999899E-3</v>
      </c>
      <c r="O2874">
        <v>0</v>
      </c>
      <c r="P2874">
        <v>0</v>
      </c>
      <c r="Q2874">
        <v>0</v>
      </c>
      <c r="R2874" t="s">
        <v>243</v>
      </c>
    </row>
    <row r="2875" spans="1:18" x14ac:dyDescent="0.3">
      <c r="A2875" t="s">
        <v>259</v>
      </c>
      <c r="B2875" t="s">
        <v>56</v>
      </c>
      <c r="C2875" t="s">
        <v>274</v>
      </c>
      <c r="D2875" s="8">
        <v>3.23638E-8</v>
      </c>
      <c r="E2875" s="8">
        <v>3.0064200000000001E-8</v>
      </c>
      <c r="F2875" s="8">
        <v>2.8462099999999999E-8</v>
      </c>
      <c r="G2875" s="8">
        <v>2.6894700000000001E-8</v>
      </c>
      <c r="H2875" s="8">
        <v>2.1298659999999998E-8</v>
      </c>
      <c r="I2875" s="8">
        <v>1.226906E-8</v>
      </c>
      <c r="J2875" s="8">
        <v>3.37032E-9</v>
      </c>
      <c r="K2875" s="8">
        <v>3.7145099999999998E-9</v>
      </c>
      <c r="L2875" s="8">
        <v>4.001712E-9</v>
      </c>
      <c r="M2875" s="8">
        <v>4.2289720000000004E-9</v>
      </c>
      <c r="N2875" s="8">
        <v>4.4007200000000001E-9</v>
      </c>
      <c r="O2875">
        <v>0</v>
      </c>
      <c r="P2875">
        <v>0</v>
      </c>
      <c r="Q2875">
        <v>0</v>
      </c>
      <c r="R2875" t="s">
        <v>243</v>
      </c>
    </row>
    <row r="2876" spans="1:18" x14ac:dyDescent="0.3">
      <c r="A2876" t="s">
        <v>259</v>
      </c>
      <c r="B2876" t="s">
        <v>56</v>
      </c>
      <c r="C2876" t="s">
        <v>275</v>
      </c>
      <c r="D2876" s="8">
        <v>3.8707100000000001E-7</v>
      </c>
      <c r="E2876" s="8">
        <v>3.85824E-7</v>
      </c>
      <c r="F2876" s="8">
        <v>3.8361999999999999E-7</v>
      </c>
      <c r="G2876" s="8">
        <v>3.81415E-7</v>
      </c>
      <c r="H2876" s="8">
        <v>2.8875829999999997E-7</v>
      </c>
      <c r="I2876" s="8">
        <v>1.73863E-7</v>
      </c>
      <c r="J2876" s="8">
        <v>4.9925099999999998E-8</v>
      </c>
      <c r="K2876" s="8">
        <v>5.4588199999999897E-8</v>
      </c>
      <c r="L2876" s="8">
        <v>5.8298499999999998E-8</v>
      </c>
      <c r="M2876" s="8">
        <v>6.1055E-8</v>
      </c>
      <c r="N2876" s="8">
        <v>6.2886239999999995E-8</v>
      </c>
      <c r="O2876">
        <v>0</v>
      </c>
      <c r="P2876">
        <v>0</v>
      </c>
      <c r="Q2876">
        <v>0</v>
      </c>
      <c r="R2876" t="s">
        <v>243</v>
      </c>
    </row>
    <row r="2877" spans="1:18" x14ac:dyDescent="0.3">
      <c r="A2877" t="s">
        <v>259</v>
      </c>
      <c r="B2877" t="s">
        <v>56</v>
      </c>
      <c r="C2877" t="s">
        <v>276</v>
      </c>
      <c r="D2877" s="8">
        <v>5.4371200000000002E-8</v>
      </c>
      <c r="E2877" s="8">
        <v>5.3865E-8</v>
      </c>
      <c r="F2877" s="8">
        <v>5.0736900000000001E-8</v>
      </c>
      <c r="G2877" s="8">
        <v>4.7676899999999999E-8</v>
      </c>
      <c r="H2877" s="8">
        <v>3.7279059999999998E-8</v>
      </c>
      <c r="I2877" s="8">
        <v>2.164001E-8</v>
      </c>
      <c r="J2877" s="8">
        <v>6.1385899999999897E-9</v>
      </c>
      <c r="K2877" s="8">
        <v>6.7689699999999996E-9</v>
      </c>
      <c r="L2877" s="8">
        <v>7.28031999999999E-9</v>
      </c>
      <c r="M2877" s="8">
        <v>7.6944200000000008E-9</v>
      </c>
      <c r="N2877" s="8">
        <v>8.0149599999999998E-9</v>
      </c>
      <c r="O2877">
        <v>0</v>
      </c>
      <c r="P2877">
        <v>0</v>
      </c>
      <c r="Q2877">
        <v>0</v>
      </c>
      <c r="R2877" t="s">
        <v>243</v>
      </c>
    </row>
    <row r="2878" spans="1:18" x14ac:dyDescent="0.3">
      <c r="A2878" t="s">
        <v>259</v>
      </c>
      <c r="B2878" t="s">
        <v>56</v>
      </c>
      <c r="C2878" t="s">
        <v>277</v>
      </c>
      <c r="D2878" s="8">
        <v>7.37895E-8</v>
      </c>
      <c r="E2878" s="8">
        <v>7.0149800000000005E-8</v>
      </c>
      <c r="F2878" s="8">
        <v>6.8061599999999996E-8</v>
      </c>
      <c r="G2878" s="8">
        <v>6.6014199999999996E-8</v>
      </c>
      <c r="H2878" s="8">
        <v>5.01207E-8</v>
      </c>
      <c r="I2878" s="8">
        <v>3.0165059999999998E-8</v>
      </c>
      <c r="J2878" s="8">
        <v>8.6012599999999906E-9</v>
      </c>
      <c r="K2878" s="8">
        <v>9.4340799999999993E-9</v>
      </c>
      <c r="L2878" s="8">
        <v>1.008945E-8</v>
      </c>
      <c r="M2878" s="8">
        <v>1.0591920000000001E-8</v>
      </c>
      <c r="N2878" s="8">
        <v>1.0979269999999899E-8</v>
      </c>
      <c r="O2878">
        <v>0</v>
      </c>
      <c r="P2878">
        <v>0</v>
      </c>
      <c r="Q2878">
        <v>0</v>
      </c>
      <c r="R2878" t="s">
        <v>243</v>
      </c>
    </row>
    <row r="2879" spans="1:18" x14ac:dyDescent="0.3">
      <c r="A2879" t="s">
        <v>259</v>
      </c>
      <c r="B2879" t="s">
        <v>56</v>
      </c>
      <c r="C2879" t="s">
        <v>278</v>
      </c>
      <c r="D2879" s="8">
        <v>8.9324100000000005E-8</v>
      </c>
      <c r="E2879" s="8">
        <v>8.5181899999999996E-8</v>
      </c>
      <c r="F2879" s="8">
        <v>8.4148900000000003E-8</v>
      </c>
      <c r="G2879" s="8">
        <v>8.3128899999999997E-8</v>
      </c>
      <c r="H2879" s="8">
        <v>6.30121999999999E-8</v>
      </c>
      <c r="I2879" s="8">
        <v>3.787585E-8</v>
      </c>
      <c r="J2879" s="8">
        <v>1.0733139999999999E-8</v>
      </c>
      <c r="K2879" s="8">
        <v>1.176809E-8</v>
      </c>
      <c r="L2879" s="8">
        <v>1.260026E-8</v>
      </c>
      <c r="M2879" s="8">
        <v>1.324753E-8</v>
      </c>
      <c r="N2879" s="8">
        <v>1.3729739999999999E-8</v>
      </c>
      <c r="O2879">
        <v>0</v>
      </c>
      <c r="P2879">
        <v>0</v>
      </c>
      <c r="Q2879">
        <v>0</v>
      </c>
      <c r="R2879" t="s">
        <v>243</v>
      </c>
    </row>
    <row r="2880" spans="1:18" x14ac:dyDescent="0.3">
      <c r="A2880" t="s">
        <v>259</v>
      </c>
      <c r="B2880" t="s">
        <v>56</v>
      </c>
      <c r="C2880" t="s">
        <v>279</v>
      </c>
      <c r="D2880" s="8">
        <v>1.06153E-7</v>
      </c>
      <c r="E2880" s="8">
        <v>1.0271899999999999E-7</v>
      </c>
      <c r="F2880" s="8">
        <v>1.01474E-7</v>
      </c>
      <c r="G2880" s="8">
        <v>9.9021199999999995E-8</v>
      </c>
      <c r="H2880" s="8">
        <v>7.5111500000000004E-8</v>
      </c>
      <c r="I2880" s="8">
        <v>4.5295919999999998E-8</v>
      </c>
      <c r="J2880" s="8">
        <v>1.29786599999999E-8</v>
      </c>
      <c r="K2880" s="8">
        <v>1.420767E-8</v>
      </c>
      <c r="L2880" s="8">
        <v>1.523423E-8</v>
      </c>
      <c r="M2880" s="8">
        <v>1.6016120000000001E-8</v>
      </c>
      <c r="N2880" s="8">
        <v>1.658356E-8</v>
      </c>
      <c r="O2880">
        <v>0</v>
      </c>
      <c r="P2880">
        <v>0</v>
      </c>
      <c r="Q2880">
        <v>0</v>
      </c>
      <c r="R2880" t="s">
        <v>243</v>
      </c>
    </row>
    <row r="2881" spans="1:18" x14ac:dyDescent="0.3">
      <c r="A2881" t="s">
        <v>259</v>
      </c>
      <c r="B2881" t="s">
        <v>56</v>
      </c>
      <c r="C2881" t="s">
        <v>280</v>
      </c>
      <c r="D2881" s="8">
        <v>1.2557200000000001E-7</v>
      </c>
      <c r="E2881" s="8">
        <v>1.2025699999999999E-7</v>
      </c>
      <c r="F2881" s="8">
        <v>1.18799E-7</v>
      </c>
      <c r="G2881" s="8">
        <v>1.17358E-7</v>
      </c>
      <c r="H2881" s="8">
        <v>8.9150799999999899E-8</v>
      </c>
      <c r="I2881" s="8">
        <v>5.3738899999999997E-8</v>
      </c>
      <c r="J2881" s="8">
        <v>1.5436469999999898E-8</v>
      </c>
      <c r="K2881" s="8">
        <v>1.6902820000000001E-8</v>
      </c>
      <c r="L2881" s="8">
        <v>1.8091389999999899E-8</v>
      </c>
      <c r="M2881" s="8">
        <v>1.9036900000000002E-8</v>
      </c>
      <c r="N2881" s="8">
        <v>1.9721319999999899E-8</v>
      </c>
      <c r="O2881">
        <v>0</v>
      </c>
      <c r="P2881">
        <v>0</v>
      </c>
      <c r="Q2881">
        <v>0</v>
      </c>
      <c r="R2881" t="s">
        <v>243</v>
      </c>
    </row>
    <row r="2882" spans="1:18" x14ac:dyDescent="0.3">
      <c r="A2882" t="s">
        <v>259</v>
      </c>
      <c r="B2882" t="s">
        <v>56</v>
      </c>
      <c r="C2882" t="s">
        <v>281</v>
      </c>
      <c r="D2882" s="8">
        <v>1.4887399999999999E-7</v>
      </c>
      <c r="E2882" s="8">
        <v>1.41552E-7</v>
      </c>
      <c r="F2882" s="8">
        <v>1.4107300000000001E-7</v>
      </c>
      <c r="G2882" s="8">
        <v>1.39363E-7</v>
      </c>
      <c r="H2882" s="8">
        <v>1.061727E-7</v>
      </c>
      <c r="I2882" s="8">
        <v>6.3939099999999901E-8</v>
      </c>
      <c r="J2882" s="8">
        <v>1.839832E-8</v>
      </c>
      <c r="K2882" s="8">
        <v>2.0118030000000002E-8</v>
      </c>
      <c r="L2882" s="8">
        <v>2.15331E-8</v>
      </c>
      <c r="M2882" s="8">
        <v>2.2619130000000001E-8</v>
      </c>
      <c r="N2882" s="8">
        <v>2.336152E-8</v>
      </c>
      <c r="O2882">
        <v>0</v>
      </c>
      <c r="P2882">
        <v>0</v>
      </c>
      <c r="Q2882">
        <v>0</v>
      </c>
      <c r="R2882" t="s">
        <v>243</v>
      </c>
    </row>
    <row r="2883" spans="1:18" x14ac:dyDescent="0.3">
      <c r="A2883" t="s">
        <v>259</v>
      </c>
      <c r="B2883" t="s">
        <v>56</v>
      </c>
      <c r="C2883" t="s">
        <v>282</v>
      </c>
      <c r="D2883" s="8">
        <v>1.7735399999999999E-7</v>
      </c>
      <c r="E2883" s="8">
        <v>1.70364E-7</v>
      </c>
      <c r="F2883" s="8">
        <v>1.6829799999999999E-7</v>
      </c>
      <c r="G2883" s="8">
        <v>1.6992500000000001E-7</v>
      </c>
      <c r="H2883" s="8">
        <v>1.290508E-7</v>
      </c>
      <c r="I2883" s="8">
        <v>7.7789199999999994E-8</v>
      </c>
      <c r="J2883" s="8">
        <v>2.2369939999999999E-8</v>
      </c>
      <c r="K2883" s="8">
        <v>2.444183E-8</v>
      </c>
      <c r="L2883" s="8">
        <v>2.6101329999999999E-8</v>
      </c>
      <c r="M2883" s="8">
        <v>2.736201E-8</v>
      </c>
      <c r="N2883" s="8">
        <v>2.8248839999999999E-8</v>
      </c>
      <c r="O2883">
        <v>0</v>
      </c>
      <c r="P2883">
        <v>0</v>
      </c>
      <c r="Q2883">
        <v>0</v>
      </c>
      <c r="R2883" t="s">
        <v>243</v>
      </c>
    </row>
    <row r="2884" spans="1:18" x14ac:dyDescent="0.3">
      <c r="A2884" t="s">
        <v>259</v>
      </c>
      <c r="B2884" t="s">
        <v>56</v>
      </c>
      <c r="C2884" t="s">
        <v>283</v>
      </c>
      <c r="D2884" s="8">
        <v>2.2784100000000001E-7</v>
      </c>
      <c r="E2884" s="8">
        <v>2.1796500000000001E-7</v>
      </c>
      <c r="F2884" s="8">
        <v>2.15322E-7</v>
      </c>
      <c r="G2884" s="8">
        <v>2.1393499999999999E-7</v>
      </c>
      <c r="H2884" s="8">
        <v>1.63062699999999E-7</v>
      </c>
      <c r="I2884" s="8">
        <v>9.8450400000000007E-8</v>
      </c>
      <c r="J2884" s="8">
        <v>2.86231E-8</v>
      </c>
      <c r="K2884" s="8">
        <v>3.1326900000000001E-8</v>
      </c>
      <c r="L2884" s="8">
        <v>3.3557739999999998E-8</v>
      </c>
      <c r="M2884" s="8">
        <v>3.5279379999999897E-8</v>
      </c>
      <c r="N2884" s="8">
        <v>3.6464020000000001E-8</v>
      </c>
      <c r="O2884">
        <v>0</v>
      </c>
      <c r="P2884">
        <v>0</v>
      </c>
      <c r="Q2884">
        <v>0</v>
      </c>
      <c r="R2884" t="s">
        <v>243</v>
      </c>
    </row>
    <row r="2885" spans="1:18" x14ac:dyDescent="0.3">
      <c r="A2885" t="s">
        <v>259</v>
      </c>
      <c r="B2885" t="s">
        <v>56</v>
      </c>
      <c r="C2885" t="s">
        <v>284</v>
      </c>
      <c r="D2885">
        <v>6.0365194999999899E-3</v>
      </c>
      <c r="E2885">
        <v>6.5068356000000001E-3</v>
      </c>
      <c r="F2885">
        <v>7.2033035E-3</v>
      </c>
      <c r="G2885">
        <v>5.8010902999999997E-3</v>
      </c>
      <c r="H2885">
        <v>5.6136053000000003E-3</v>
      </c>
      <c r="I2885">
        <v>5.8796288031000002E-3</v>
      </c>
      <c r="J2885">
        <v>6.10915507859999E-3</v>
      </c>
      <c r="K2885">
        <v>5.8393024980400001E-3</v>
      </c>
      <c r="L2885">
        <v>5.90584067636E-3</v>
      </c>
      <c r="M2885">
        <v>5.8410230053999998E-3</v>
      </c>
      <c r="N2885">
        <v>5.7516278764999998E-3</v>
      </c>
      <c r="O2885">
        <v>0</v>
      </c>
      <c r="P2885">
        <v>0</v>
      </c>
      <c r="Q2885">
        <v>0</v>
      </c>
      <c r="R2885" t="s">
        <v>243</v>
      </c>
    </row>
    <row r="2886" spans="1:18" x14ac:dyDescent="0.3">
      <c r="A2886" t="s">
        <v>259</v>
      </c>
      <c r="B2886" t="s">
        <v>56</v>
      </c>
      <c r="C2886" t="s">
        <v>285</v>
      </c>
      <c r="D2886">
        <v>2.2584335099999998E-2</v>
      </c>
      <c r="E2886">
        <v>2.1265225999999901E-2</v>
      </c>
      <c r="F2886">
        <v>2.3417254999999901E-2</v>
      </c>
      <c r="G2886">
        <v>1.9798079E-2</v>
      </c>
      <c r="H2886">
        <v>1.7348992781000001E-2</v>
      </c>
      <c r="I2886">
        <v>1.6856334682799901E-2</v>
      </c>
      <c r="J2886">
        <v>1.5752954585499999E-2</v>
      </c>
      <c r="K2886">
        <v>1.35981728423999E-2</v>
      </c>
      <c r="L2886">
        <v>1.30178352612699E-2</v>
      </c>
      <c r="M2886">
        <v>1.2297701253999999E-2</v>
      </c>
      <c r="N2886">
        <v>1.1565560367000001E-2</v>
      </c>
      <c r="O2886">
        <v>0</v>
      </c>
      <c r="P2886">
        <v>0</v>
      </c>
      <c r="Q2886">
        <v>0</v>
      </c>
      <c r="R2886" t="s">
        <v>243</v>
      </c>
    </row>
    <row r="2887" spans="1:18" x14ac:dyDescent="0.3">
      <c r="A2887" t="s">
        <v>259</v>
      </c>
      <c r="B2887" t="s">
        <v>56</v>
      </c>
      <c r="C2887" t="s">
        <v>286</v>
      </c>
      <c r="D2887">
        <v>8.8716729000000005E-3</v>
      </c>
      <c r="E2887">
        <v>9.8097658999999997E-3</v>
      </c>
      <c r="F2887">
        <v>1.0873421499999999E-2</v>
      </c>
      <c r="G2887">
        <v>8.9928300999999999E-3</v>
      </c>
      <c r="H2887">
        <v>8.3681480119999901E-3</v>
      </c>
      <c r="I2887">
        <v>8.6061936317999906E-3</v>
      </c>
      <c r="J2887">
        <v>8.7054793712999998E-3</v>
      </c>
      <c r="K2887">
        <v>8.1303372048999994E-3</v>
      </c>
      <c r="L2887">
        <v>8.1117828282699991E-3</v>
      </c>
      <c r="M2887">
        <v>7.9303709032E-3</v>
      </c>
      <c r="N2887">
        <v>7.7160458739999899E-3</v>
      </c>
      <c r="O2887">
        <v>0</v>
      </c>
      <c r="P2887">
        <v>0</v>
      </c>
      <c r="Q2887">
        <v>0</v>
      </c>
      <c r="R2887" t="s">
        <v>243</v>
      </c>
    </row>
    <row r="2888" spans="1:18" x14ac:dyDescent="0.3">
      <c r="A2888" t="s">
        <v>259</v>
      </c>
      <c r="B2888" t="s">
        <v>56</v>
      </c>
      <c r="C2888" t="s">
        <v>287</v>
      </c>
      <c r="D2888">
        <v>1.10568491E-2</v>
      </c>
      <c r="E2888">
        <v>1.1710336E-2</v>
      </c>
      <c r="F2888">
        <v>1.31458016E-2</v>
      </c>
      <c r="G2888">
        <v>1.1021680000000001E-2</v>
      </c>
      <c r="H2888">
        <v>9.7493134470000003E-3</v>
      </c>
      <c r="I2888">
        <v>1.03912893662999E-2</v>
      </c>
      <c r="J2888">
        <v>1.0303994308200001E-2</v>
      </c>
      <c r="K2888">
        <v>9.4509060951999905E-3</v>
      </c>
      <c r="L2888">
        <v>9.3158630881699893E-3</v>
      </c>
      <c r="M2888">
        <v>9.004310594E-3</v>
      </c>
      <c r="N2888">
        <v>8.6790705829999908E-3</v>
      </c>
      <c r="O2888">
        <v>0</v>
      </c>
      <c r="P2888">
        <v>0</v>
      </c>
      <c r="Q2888">
        <v>0</v>
      </c>
      <c r="R2888" t="s">
        <v>243</v>
      </c>
    </row>
    <row r="2889" spans="1:18" x14ac:dyDescent="0.3">
      <c r="A2889" t="s">
        <v>259</v>
      </c>
      <c r="B2889" t="s">
        <v>56</v>
      </c>
      <c r="C2889" t="s">
        <v>288</v>
      </c>
      <c r="D2889">
        <v>1.2563362E-2</v>
      </c>
      <c r="E2889">
        <v>1.3108469399999901E-2</v>
      </c>
      <c r="F2889">
        <v>1.47790825E-2</v>
      </c>
      <c r="G2889">
        <v>1.24855464E-2</v>
      </c>
      <c r="H2889">
        <v>1.1013230657E-2</v>
      </c>
      <c r="I2889">
        <v>1.1546412067199901E-2</v>
      </c>
      <c r="J2889">
        <v>1.1313864918899999E-2</v>
      </c>
      <c r="K2889">
        <v>1.02599987121E-2</v>
      </c>
      <c r="L2889">
        <v>1.00561069252299E-2</v>
      </c>
      <c r="M2889">
        <v>9.6759923959999997E-3</v>
      </c>
      <c r="N2889">
        <v>9.2780638979999899E-3</v>
      </c>
      <c r="O2889">
        <v>0</v>
      </c>
      <c r="P2889">
        <v>0</v>
      </c>
      <c r="Q2889">
        <v>0</v>
      </c>
      <c r="R2889" t="s">
        <v>243</v>
      </c>
    </row>
    <row r="2890" spans="1:18" x14ac:dyDescent="0.3">
      <c r="A2890" t="s">
        <v>259</v>
      </c>
      <c r="B2890" t="s">
        <v>56</v>
      </c>
      <c r="C2890" t="s">
        <v>289</v>
      </c>
      <c r="D2890">
        <v>1.39360435E-2</v>
      </c>
      <c r="E2890">
        <v>1.4358321800000001E-2</v>
      </c>
      <c r="F2890">
        <v>1.6130089699999999E-2</v>
      </c>
      <c r="G2890">
        <v>1.3649363499999999E-2</v>
      </c>
      <c r="H2890">
        <v>1.20433912749999E-2</v>
      </c>
      <c r="I2890">
        <v>1.24798020188E-2</v>
      </c>
      <c r="J2890">
        <v>1.2118504442099999E-2</v>
      </c>
      <c r="K2890">
        <v>1.0885366866400001E-2</v>
      </c>
      <c r="L2890">
        <v>1.0618630032699999E-2</v>
      </c>
      <c r="M2890">
        <v>1.0175246577999999E-2</v>
      </c>
      <c r="N2890">
        <v>9.7150507849999897E-3</v>
      </c>
      <c r="O2890">
        <v>0</v>
      </c>
      <c r="P2890">
        <v>0</v>
      </c>
      <c r="Q2890">
        <v>0</v>
      </c>
      <c r="R2890" t="s">
        <v>243</v>
      </c>
    </row>
    <row r="2891" spans="1:18" x14ac:dyDescent="0.3">
      <c r="A2891" t="s">
        <v>259</v>
      </c>
      <c r="B2891" t="s">
        <v>56</v>
      </c>
      <c r="C2891" t="s">
        <v>290</v>
      </c>
      <c r="D2891">
        <v>1.52339841E-2</v>
      </c>
      <c r="E2891">
        <v>1.54813093999999E-2</v>
      </c>
      <c r="F2891">
        <v>1.7347519299999999E-2</v>
      </c>
      <c r="G2891">
        <v>1.47046817E-2</v>
      </c>
      <c r="H2891">
        <v>1.2984189074999999E-2</v>
      </c>
      <c r="I2891">
        <v>1.3284801588800001E-2</v>
      </c>
      <c r="J2891">
        <v>1.27911852524E-2</v>
      </c>
      <c r="K2891">
        <v>1.1397103486400001E-2</v>
      </c>
      <c r="L2891">
        <v>1.1065223133410001E-2</v>
      </c>
      <c r="M2891">
        <v>1.0570305811E-2</v>
      </c>
      <c r="N2891">
        <v>1.0060124469999999E-2</v>
      </c>
      <c r="O2891">
        <v>0</v>
      </c>
      <c r="P2891">
        <v>0</v>
      </c>
      <c r="Q2891">
        <v>0</v>
      </c>
      <c r="R2891" t="s">
        <v>243</v>
      </c>
    </row>
    <row r="2892" spans="1:18" x14ac:dyDescent="0.3">
      <c r="A2892" t="s">
        <v>259</v>
      </c>
      <c r="B2892" t="s">
        <v>56</v>
      </c>
      <c r="C2892" t="s">
        <v>291</v>
      </c>
      <c r="D2892">
        <v>1.6564752199999901E-2</v>
      </c>
      <c r="E2892">
        <v>1.6559457199999999E-2</v>
      </c>
      <c r="F2892">
        <v>1.85157185E-2</v>
      </c>
      <c r="G2892">
        <v>1.5678049499999999E-2</v>
      </c>
      <c r="H2892">
        <v>1.3870585911999999E-2</v>
      </c>
      <c r="I2892">
        <v>1.40166324822E-2</v>
      </c>
      <c r="J2892">
        <v>1.3396917711600001E-2</v>
      </c>
      <c r="K2892">
        <v>1.1845079364599999E-2</v>
      </c>
      <c r="L2892">
        <v>1.145705914864E-2</v>
      </c>
      <c r="M2892">
        <v>1.0910144447999899E-2</v>
      </c>
      <c r="N2892">
        <v>1.0348869195999999E-2</v>
      </c>
      <c r="O2892">
        <v>0</v>
      </c>
      <c r="P2892">
        <v>0</v>
      </c>
      <c r="Q2892">
        <v>0</v>
      </c>
      <c r="R2892" t="s">
        <v>243</v>
      </c>
    </row>
    <row r="2893" spans="1:18" x14ac:dyDescent="0.3">
      <c r="A2893" t="s">
        <v>259</v>
      </c>
      <c r="B2893" t="s">
        <v>56</v>
      </c>
      <c r="C2893" t="s">
        <v>292</v>
      </c>
      <c r="D2893">
        <v>1.7936319900000001E-2</v>
      </c>
      <c r="E2893">
        <v>1.7693456900000001E-2</v>
      </c>
      <c r="F2893">
        <v>1.9700536099999999E-2</v>
      </c>
      <c r="G2893">
        <v>1.67512729999999E-2</v>
      </c>
      <c r="H2893">
        <v>1.47572718399999E-2</v>
      </c>
      <c r="I2893">
        <v>1.4744113105199999E-2</v>
      </c>
      <c r="J2893">
        <v>1.39940869622E-2</v>
      </c>
      <c r="K2893">
        <v>1.22757307496E-2</v>
      </c>
      <c r="L2893">
        <v>1.182919317598E-2</v>
      </c>
      <c r="M2893">
        <v>1.1232750627E-2</v>
      </c>
      <c r="N2893">
        <v>1.0627379758000001E-2</v>
      </c>
      <c r="O2893">
        <v>0</v>
      </c>
      <c r="P2893">
        <v>0</v>
      </c>
      <c r="Q2893">
        <v>0</v>
      </c>
      <c r="R2893" t="s">
        <v>243</v>
      </c>
    </row>
    <row r="2894" spans="1:18" x14ac:dyDescent="0.3">
      <c r="A2894" t="s">
        <v>259</v>
      </c>
      <c r="B2894" t="s">
        <v>56</v>
      </c>
      <c r="C2894" t="s">
        <v>293</v>
      </c>
      <c r="D2894">
        <v>1.9689102600000001E-2</v>
      </c>
      <c r="E2894">
        <v>1.9025941899999999E-2</v>
      </c>
      <c r="F2894">
        <v>2.1077966899999901E-2</v>
      </c>
      <c r="G2894">
        <v>1.7828006E-2</v>
      </c>
      <c r="H2894">
        <v>1.5716054052000002E-2</v>
      </c>
      <c r="I2894">
        <v>1.55110650927E-2</v>
      </c>
      <c r="J2894">
        <v>1.4621235945600001E-2</v>
      </c>
      <c r="K2894">
        <v>1.27405412172999E-2</v>
      </c>
      <c r="L2894">
        <v>1.2245486491049999E-2</v>
      </c>
      <c r="M2894">
        <v>1.1607522847E-2</v>
      </c>
      <c r="N2894">
        <v>1.0958656209E-2</v>
      </c>
      <c r="O2894">
        <v>0</v>
      </c>
      <c r="P2894">
        <v>0</v>
      </c>
      <c r="Q2894">
        <v>0</v>
      </c>
      <c r="R2894" t="s">
        <v>243</v>
      </c>
    </row>
    <row r="2895" spans="1:18" x14ac:dyDescent="0.3">
      <c r="A2895" t="s">
        <v>259</v>
      </c>
      <c r="B2895" t="s">
        <v>56</v>
      </c>
      <c r="C2895" t="s">
        <v>294</v>
      </c>
      <c r="D2895">
        <v>1.2214728199999999E-3</v>
      </c>
      <c r="E2895">
        <v>1.4030175899999999E-3</v>
      </c>
      <c r="F2895">
        <v>1.6321438299999999E-3</v>
      </c>
      <c r="G2895">
        <v>1.25032806E-3</v>
      </c>
      <c r="H2895">
        <v>1.4127105519999999E-3</v>
      </c>
      <c r="I2895">
        <v>1.70000107699999E-3</v>
      </c>
      <c r="J2895">
        <v>2.0258301175999898E-3</v>
      </c>
      <c r="K2895">
        <v>2.1959535657999998E-3</v>
      </c>
      <c r="L2895">
        <v>2.3247100980999902E-3</v>
      </c>
      <c r="M2895">
        <v>2.4198828459000002E-3</v>
      </c>
      <c r="N2895">
        <v>2.514958836E-3</v>
      </c>
      <c r="O2895">
        <v>0</v>
      </c>
      <c r="P2895">
        <v>0</v>
      </c>
      <c r="Q2895">
        <v>0</v>
      </c>
      <c r="R2895" t="s">
        <v>243</v>
      </c>
    </row>
    <row r="2896" spans="1:18" x14ac:dyDescent="0.3">
      <c r="A2896" t="s">
        <v>259</v>
      </c>
      <c r="B2896" t="s">
        <v>56</v>
      </c>
      <c r="C2896" t="s">
        <v>295</v>
      </c>
      <c r="D2896">
        <v>6.2062520600000004E-3</v>
      </c>
      <c r="E2896">
        <v>6.0952579200000004E-3</v>
      </c>
      <c r="F2896">
        <v>6.8739435000000002E-3</v>
      </c>
      <c r="G2896">
        <v>5.6734705999999897E-3</v>
      </c>
      <c r="H2896">
        <v>5.8163819800000002E-3</v>
      </c>
      <c r="I2896">
        <v>6.2260666679999997E-3</v>
      </c>
      <c r="J2896">
        <v>6.59949249499999E-3</v>
      </c>
      <c r="K2896">
        <v>6.8023865099999898E-3</v>
      </c>
      <c r="L2896">
        <v>6.9546755899999998E-3</v>
      </c>
      <c r="M2896">
        <v>7.0483500959999997E-3</v>
      </c>
      <c r="N2896">
        <v>7.1207902950000002E-3</v>
      </c>
      <c r="O2896">
        <v>0</v>
      </c>
      <c r="P2896">
        <v>0</v>
      </c>
      <c r="Q2896">
        <v>0</v>
      </c>
      <c r="R2896" t="s">
        <v>243</v>
      </c>
    </row>
    <row r="2897" spans="1:18" x14ac:dyDescent="0.3">
      <c r="A2897" t="s">
        <v>259</v>
      </c>
      <c r="B2897" t="s">
        <v>56</v>
      </c>
      <c r="C2897" t="s">
        <v>296</v>
      </c>
      <c r="D2897">
        <v>1.8625598199999999E-3</v>
      </c>
      <c r="E2897">
        <v>2.2134143600000002E-3</v>
      </c>
      <c r="F2897">
        <v>2.57052385E-3</v>
      </c>
      <c r="G2897">
        <v>2.0302744900000001E-3</v>
      </c>
      <c r="H2897">
        <v>2.1903271749999999E-3</v>
      </c>
      <c r="I2897">
        <v>2.5879612350000001E-3</v>
      </c>
      <c r="J2897">
        <v>3.0213573769999999E-3</v>
      </c>
      <c r="K2897">
        <v>3.2579966622000001E-3</v>
      </c>
      <c r="L2897">
        <v>3.4338675092E-3</v>
      </c>
      <c r="M2897">
        <v>3.56476386059999E-3</v>
      </c>
      <c r="N2897">
        <v>3.6928089820000001E-3</v>
      </c>
      <c r="O2897">
        <v>0</v>
      </c>
      <c r="P2897">
        <v>0</v>
      </c>
      <c r="Q2897">
        <v>0</v>
      </c>
      <c r="R2897" t="s">
        <v>243</v>
      </c>
    </row>
    <row r="2898" spans="1:18" x14ac:dyDescent="0.3">
      <c r="A2898" t="s">
        <v>259</v>
      </c>
      <c r="B2898" t="s">
        <v>56</v>
      </c>
      <c r="C2898" t="s">
        <v>297</v>
      </c>
      <c r="D2898">
        <v>2.3934108599999999E-3</v>
      </c>
      <c r="E2898">
        <v>2.71983116E-3</v>
      </c>
      <c r="F2898">
        <v>3.2000061599999998E-3</v>
      </c>
      <c r="G2898">
        <v>2.57170501999999E-3</v>
      </c>
      <c r="H2898">
        <v>2.5866058309999898E-3</v>
      </c>
      <c r="I2898">
        <v>3.23636527599999E-3</v>
      </c>
      <c r="J2898">
        <v>3.7037348529999998E-3</v>
      </c>
      <c r="K2898">
        <v>3.9526262923999904E-3</v>
      </c>
      <c r="L2898">
        <v>4.1387155293999903E-3</v>
      </c>
      <c r="M2898">
        <v>4.2676966331999999E-3</v>
      </c>
      <c r="N2898">
        <v>4.3942609505999899E-3</v>
      </c>
      <c r="O2898">
        <v>0</v>
      </c>
      <c r="P2898">
        <v>0</v>
      </c>
      <c r="Q2898">
        <v>0</v>
      </c>
      <c r="R2898" t="s">
        <v>243</v>
      </c>
    </row>
    <row r="2899" spans="1:18" x14ac:dyDescent="0.3">
      <c r="A2899" t="s">
        <v>259</v>
      </c>
      <c r="B2899" t="s">
        <v>56</v>
      </c>
      <c r="C2899" t="s">
        <v>298</v>
      </c>
      <c r="D2899">
        <v>2.7817513500000002E-3</v>
      </c>
      <c r="E2899">
        <v>3.1158219099999998E-3</v>
      </c>
      <c r="F2899">
        <v>3.6814280899999901E-3</v>
      </c>
      <c r="G2899">
        <v>2.9906722399999901E-3</v>
      </c>
      <c r="H2899">
        <v>3.0052359990000001E-3</v>
      </c>
      <c r="I2899">
        <v>3.68834553999999E-3</v>
      </c>
      <c r="J2899">
        <v>4.1723612889999996E-3</v>
      </c>
      <c r="K2899">
        <v>4.4331342001E-3</v>
      </c>
      <c r="L2899">
        <v>4.6299664103999997E-3</v>
      </c>
      <c r="M2899">
        <v>4.7661672738E-3</v>
      </c>
      <c r="N2899">
        <v>4.8938806191000002E-3</v>
      </c>
      <c r="O2899">
        <v>0</v>
      </c>
      <c r="P2899">
        <v>0</v>
      </c>
      <c r="Q2899">
        <v>0</v>
      </c>
      <c r="R2899" t="s">
        <v>243</v>
      </c>
    </row>
    <row r="2900" spans="1:18" x14ac:dyDescent="0.3">
      <c r="A2900" t="s">
        <v>259</v>
      </c>
      <c r="B2900" t="s">
        <v>56</v>
      </c>
      <c r="C2900" t="s">
        <v>299</v>
      </c>
      <c r="D2900">
        <v>3.15434659E-3</v>
      </c>
      <c r="E2900">
        <v>3.49010311E-3</v>
      </c>
      <c r="F2900">
        <v>4.10190117E-3</v>
      </c>
      <c r="G2900">
        <v>3.3446296000000002E-3</v>
      </c>
      <c r="H2900">
        <v>3.3758435769999898E-3</v>
      </c>
      <c r="I2900">
        <v>4.0828404689999898E-3</v>
      </c>
      <c r="J2900">
        <v>4.5744415910000001E-3</v>
      </c>
      <c r="K2900">
        <v>4.8369616286E-3</v>
      </c>
      <c r="L2900">
        <v>5.0392103892999999E-3</v>
      </c>
      <c r="M2900">
        <v>5.1751486448999998E-3</v>
      </c>
      <c r="N2900">
        <v>5.2984593529999896E-3</v>
      </c>
      <c r="O2900">
        <v>0</v>
      </c>
      <c r="P2900">
        <v>0</v>
      </c>
      <c r="Q2900">
        <v>0</v>
      </c>
      <c r="R2900" t="s">
        <v>243</v>
      </c>
    </row>
    <row r="2901" spans="1:18" x14ac:dyDescent="0.3">
      <c r="A2901" t="s">
        <v>259</v>
      </c>
      <c r="B2901" t="s">
        <v>56</v>
      </c>
      <c r="C2901" t="s">
        <v>300</v>
      </c>
      <c r="D2901">
        <v>3.5258763799999901E-3</v>
      </c>
      <c r="E2901">
        <v>3.8457808500000001E-3</v>
      </c>
      <c r="F2901">
        <v>4.50132479999999E-3</v>
      </c>
      <c r="G2901">
        <v>3.6848823000000001E-3</v>
      </c>
      <c r="H2901">
        <v>3.738405708E-3</v>
      </c>
      <c r="I2901">
        <v>4.4436802389999997E-3</v>
      </c>
      <c r="J2901">
        <v>4.9302486509999899E-3</v>
      </c>
      <c r="K2901">
        <v>5.1932666215000001E-3</v>
      </c>
      <c r="L2901">
        <v>5.3901894834999901E-3</v>
      </c>
      <c r="M2901">
        <v>5.5247355290000003E-3</v>
      </c>
      <c r="N2901">
        <v>5.6440561240000001E-3</v>
      </c>
      <c r="O2901">
        <v>0</v>
      </c>
      <c r="P2901">
        <v>0</v>
      </c>
      <c r="Q2901">
        <v>0</v>
      </c>
      <c r="R2901" t="s">
        <v>243</v>
      </c>
    </row>
    <row r="2902" spans="1:18" x14ac:dyDescent="0.3">
      <c r="A2902" t="s">
        <v>259</v>
      </c>
      <c r="B2902" t="s">
        <v>56</v>
      </c>
      <c r="C2902" t="s">
        <v>301</v>
      </c>
      <c r="D2902">
        <v>3.9296773699999997E-3</v>
      </c>
      <c r="E2902">
        <v>4.20782438E-3</v>
      </c>
      <c r="F2902">
        <v>4.906232E-3</v>
      </c>
      <c r="G2902">
        <v>4.0181080999999999E-3</v>
      </c>
      <c r="H2902">
        <v>4.1081367470000001E-3</v>
      </c>
      <c r="I2902">
        <v>4.79340970499999E-3</v>
      </c>
      <c r="J2902">
        <v>5.2696372920000003E-3</v>
      </c>
      <c r="K2902">
        <v>5.5258144134000004E-3</v>
      </c>
      <c r="L2902">
        <v>5.7177254719999902E-3</v>
      </c>
      <c r="M2902">
        <v>5.84376998499999E-3</v>
      </c>
      <c r="N2902">
        <v>5.9510051650000003E-3</v>
      </c>
      <c r="O2902">
        <v>0</v>
      </c>
      <c r="P2902">
        <v>0</v>
      </c>
      <c r="Q2902">
        <v>0</v>
      </c>
      <c r="R2902" t="s">
        <v>243</v>
      </c>
    </row>
    <row r="2903" spans="1:18" x14ac:dyDescent="0.3">
      <c r="A2903" t="s">
        <v>259</v>
      </c>
      <c r="B2903" t="s">
        <v>56</v>
      </c>
      <c r="C2903" t="s">
        <v>302</v>
      </c>
      <c r="D2903">
        <v>4.3750104900000001E-3</v>
      </c>
      <c r="E2903">
        <v>4.6145334800000003E-3</v>
      </c>
      <c r="F2903">
        <v>5.3423311000000001E-3</v>
      </c>
      <c r="G2903">
        <v>4.4112227999999996E-3</v>
      </c>
      <c r="H2903">
        <v>4.4987053379999999E-3</v>
      </c>
      <c r="I2903">
        <v>5.1537388E-3</v>
      </c>
      <c r="J2903">
        <v>5.6150845129999899E-3</v>
      </c>
      <c r="K2903">
        <v>5.8593480160000003E-3</v>
      </c>
      <c r="L2903">
        <v>6.0395792228999899E-3</v>
      </c>
      <c r="M2903">
        <v>6.1551557960000001E-3</v>
      </c>
      <c r="N2903">
        <v>6.253245696E-3</v>
      </c>
      <c r="O2903">
        <v>0</v>
      </c>
      <c r="P2903">
        <v>0</v>
      </c>
      <c r="Q2903">
        <v>0</v>
      </c>
      <c r="R2903" t="s">
        <v>243</v>
      </c>
    </row>
    <row r="2904" spans="1:18" x14ac:dyDescent="0.3">
      <c r="A2904" t="s">
        <v>259</v>
      </c>
      <c r="B2904" t="s">
        <v>56</v>
      </c>
      <c r="C2904" t="s">
        <v>303</v>
      </c>
      <c r="D2904">
        <v>4.9981848400000002E-3</v>
      </c>
      <c r="E2904">
        <v>5.1330134999999898E-3</v>
      </c>
      <c r="F2904">
        <v>5.8861381999999896E-3</v>
      </c>
      <c r="G2904">
        <v>4.8369221999999996E-3</v>
      </c>
      <c r="H2904">
        <v>4.9690720800000003E-3</v>
      </c>
      <c r="I2904">
        <v>5.5571283849999899E-3</v>
      </c>
      <c r="J2904">
        <v>5.9880680379999999E-3</v>
      </c>
      <c r="K2904">
        <v>6.219413226E-3</v>
      </c>
      <c r="L2904">
        <v>6.3917488401999999E-3</v>
      </c>
      <c r="M2904">
        <v>6.5011833559999897E-3</v>
      </c>
      <c r="N2904">
        <v>6.5897033990000003E-3</v>
      </c>
      <c r="O2904">
        <v>0</v>
      </c>
      <c r="P2904">
        <v>0</v>
      </c>
      <c r="Q2904">
        <v>0</v>
      </c>
      <c r="R2904" t="s">
        <v>243</v>
      </c>
    </row>
    <row r="2905" spans="1:18" x14ac:dyDescent="0.3">
      <c r="A2905" t="s">
        <v>259</v>
      </c>
      <c r="B2905" t="s">
        <v>56</v>
      </c>
      <c r="C2905" t="s">
        <v>304</v>
      </c>
      <c r="D2905">
        <v>3.2079299999999999E-3</v>
      </c>
      <c r="E2905">
        <v>3.9592999999999998E-3</v>
      </c>
      <c r="F2905">
        <v>4.2826000000000001E-3</v>
      </c>
      <c r="G2905">
        <v>3.9365499999999996E-3</v>
      </c>
      <c r="H2905">
        <v>4.4488799999999997E-3</v>
      </c>
      <c r="I2905">
        <v>4.5505800000000002E-3</v>
      </c>
      <c r="J2905">
        <v>4.7451070000000001E-3</v>
      </c>
      <c r="K2905">
        <v>4.9838699999999996E-3</v>
      </c>
      <c r="L2905">
        <v>5.1751999999999996E-3</v>
      </c>
      <c r="M2905">
        <v>5.3333410000000001E-3</v>
      </c>
      <c r="N2905">
        <v>5.4807009999999897E-3</v>
      </c>
      <c r="O2905">
        <v>0</v>
      </c>
      <c r="P2905">
        <v>0</v>
      </c>
      <c r="Q2905">
        <v>0</v>
      </c>
      <c r="R2905" t="s">
        <v>243</v>
      </c>
    </row>
    <row r="2906" spans="1:18" x14ac:dyDescent="0.3">
      <c r="A2906" t="s">
        <v>259</v>
      </c>
      <c r="B2906" t="s">
        <v>56</v>
      </c>
      <c r="C2906" t="s">
        <v>305</v>
      </c>
      <c r="D2906">
        <v>5.7315500000000002E-3</v>
      </c>
      <c r="E2906">
        <v>6.4151499999999997E-3</v>
      </c>
      <c r="F2906">
        <v>6.8725499999999998E-3</v>
      </c>
      <c r="G2906">
        <v>6.4370699999999996E-3</v>
      </c>
      <c r="H2906">
        <v>6.7738399999999997E-3</v>
      </c>
      <c r="I2906">
        <v>7.0814099999999998E-3</v>
      </c>
      <c r="J2906">
        <v>7.30586E-3</v>
      </c>
      <c r="K2906">
        <v>7.5210139999999899E-3</v>
      </c>
      <c r="L2906">
        <v>7.7155699999999997E-3</v>
      </c>
      <c r="M2906">
        <v>7.8873299999999997E-3</v>
      </c>
      <c r="N2906">
        <v>8.0515999999999904E-3</v>
      </c>
      <c r="O2906">
        <v>0</v>
      </c>
      <c r="P2906">
        <v>0</v>
      </c>
      <c r="Q2906">
        <v>0</v>
      </c>
      <c r="R2906" t="s">
        <v>243</v>
      </c>
    </row>
    <row r="2907" spans="1:18" x14ac:dyDescent="0.3">
      <c r="A2907" t="s">
        <v>259</v>
      </c>
      <c r="B2907" t="s">
        <v>56</v>
      </c>
      <c r="C2907" t="s">
        <v>306</v>
      </c>
      <c r="D2907">
        <v>3.9569699999999998E-3</v>
      </c>
      <c r="E2907">
        <v>4.7218E-3</v>
      </c>
      <c r="F2907">
        <v>5.0608800000000002E-3</v>
      </c>
      <c r="G2907">
        <v>4.7088399999999997E-3</v>
      </c>
      <c r="H2907">
        <v>5.08444E-3</v>
      </c>
      <c r="I2907">
        <v>5.22822999999999E-3</v>
      </c>
      <c r="J2907">
        <v>5.4302889999999996E-3</v>
      </c>
      <c r="K2907">
        <v>5.6313709999999996E-3</v>
      </c>
      <c r="L2907">
        <v>5.8027499999999997E-3</v>
      </c>
      <c r="M2907">
        <v>5.9516400000000002E-3</v>
      </c>
      <c r="N2907">
        <v>6.0955000000000002E-3</v>
      </c>
      <c r="O2907">
        <v>0</v>
      </c>
      <c r="P2907">
        <v>0</v>
      </c>
      <c r="Q2907">
        <v>0</v>
      </c>
      <c r="R2907" t="s">
        <v>243</v>
      </c>
    </row>
    <row r="2908" spans="1:18" x14ac:dyDescent="0.3">
      <c r="A2908" t="s">
        <v>259</v>
      </c>
      <c r="B2908" t="s">
        <v>56</v>
      </c>
      <c r="C2908" t="s">
        <v>307</v>
      </c>
      <c r="D2908">
        <v>4.3604799999999999E-3</v>
      </c>
      <c r="E2908">
        <v>5.0195200000000004E-3</v>
      </c>
      <c r="F2908">
        <v>5.3869399999999998E-3</v>
      </c>
      <c r="G2908">
        <v>5.0320299999999998E-3</v>
      </c>
      <c r="H2908">
        <v>5.3018500000000003E-3</v>
      </c>
      <c r="I2908">
        <v>5.5541699999999998E-3</v>
      </c>
      <c r="J2908">
        <v>5.753518E-3</v>
      </c>
      <c r="K2908">
        <v>5.9443209999999998E-3</v>
      </c>
      <c r="L2908">
        <v>6.1118600000000002E-3</v>
      </c>
      <c r="M2908">
        <v>6.2582499999999999E-3</v>
      </c>
      <c r="N2908">
        <v>6.4014199999999997E-3</v>
      </c>
      <c r="O2908">
        <v>0</v>
      </c>
      <c r="P2908">
        <v>0</v>
      </c>
      <c r="Q2908">
        <v>0</v>
      </c>
      <c r="R2908" t="s">
        <v>243</v>
      </c>
    </row>
    <row r="2909" spans="1:18" x14ac:dyDescent="0.3">
      <c r="A2909" t="s">
        <v>259</v>
      </c>
      <c r="B2909" t="s">
        <v>56</v>
      </c>
      <c r="C2909" t="s">
        <v>308</v>
      </c>
      <c r="D2909">
        <v>4.5797900000000002E-3</v>
      </c>
      <c r="E2909">
        <v>5.20537E-3</v>
      </c>
      <c r="F2909">
        <v>5.5886499999999997E-3</v>
      </c>
      <c r="G2909">
        <v>5.2307400000000002E-3</v>
      </c>
      <c r="H2909">
        <v>5.49966E-3</v>
      </c>
      <c r="I2909">
        <v>5.7541099999999998E-3</v>
      </c>
      <c r="J2909">
        <v>5.9550690000000003E-3</v>
      </c>
      <c r="K2909">
        <v>6.1478000000000001E-3</v>
      </c>
      <c r="L2909">
        <v>6.3198200000000003E-3</v>
      </c>
      <c r="M2909">
        <v>6.4711899999999999E-3</v>
      </c>
      <c r="N2909">
        <v>6.6178599999999997E-3</v>
      </c>
      <c r="O2909">
        <v>0</v>
      </c>
      <c r="P2909">
        <v>0</v>
      </c>
      <c r="Q2909">
        <v>0</v>
      </c>
      <c r="R2909" t="s">
        <v>243</v>
      </c>
    </row>
    <row r="2910" spans="1:18" x14ac:dyDescent="0.3">
      <c r="A2910" t="s">
        <v>259</v>
      </c>
      <c r="B2910" t="s">
        <v>56</v>
      </c>
      <c r="C2910" t="s">
        <v>309</v>
      </c>
      <c r="D2910">
        <v>4.7508300000000002E-3</v>
      </c>
      <c r="E2910">
        <v>5.3595700000000001E-3</v>
      </c>
      <c r="F2910">
        <v>5.7474199999999996E-3</v>
      </c>
      <c r="G2910">
        <v>5.3811800000000002E-3</v>
      </c>
      <c r="H2910">
        <v>5.6534999999999997E-3</v>
      </c>
      <c r="I2910">
        <v>5.9220899999999996E-3</v>
      </c>
      <c r="J2910">
        <v>6.1258179999999999E-3</v>
      </c>
      <c r="K2910">
        <v>6.3201239999999999E-3</v>
      </c>
      <c r="L2910">
        <v>6.4967599999999999E-3</v>
      </c>
      <c r="M2910">
        <v>6.6513600000000003E-3</v>
      </c>
      <c r="N2910">
        <v>6.8002699999999998E-3</v>
      </c>
      <c r="O2910">
        <v>0</v>
      </c>
      <c r="P2910">
        <v>0</v>
      </c>
      <c r="Q2910">
        <v>0</v>
      </c>
      <c r="R2910" t="s">
        <v>243</v>
      </c>
    </row>
    <row r="2911" spans="1:18" x14ac:dyDescent="0.3">
      <c r="A2911" t="s">
        <v>259</v>
      </c>
      <c r="B2911" t="s">
        <v>56</v>
      </c>
      <c r="C2911" t="s">
        <v>310</v>
      </c>
      <c r="D2911">
        <v>4.89545E-3</v>
      </c>
      <c r="E2911">
        <v>5.4951899999999996E-3</v>
      </c>
      <c r="F2911">
        <v>5.8908199999999997E-3</v>
      </c>
      <c r="G2911">
        <v>5.5184099999999996E-3</v>
      </c>
      <c r="H2911">
        <v>5.8025500000000001E-3</v>
      </c>
      <c r="I2911">
        <v>6.07596E-3</v>
      </c>
      <c r="J2911">
        <v>6.2807779999999999E-3</v>
      </c>
      <c r="K2911">
        <v>6.47848E-3</v>
      </c>
      <c r="L2911">
        <v>6.65652E-3</v>
      </c>
      <c r="M2911">
        <v>6.81484E-3</v>
      </c>
      <c r="N2911">
        <v>6.9670399999999999E-3</v>
      </c>
      <c r="O2911">
        <v>0</v>
      </c>
      <c r="P2911">
        <v>0</v>
      </c>
      <c r="Q2911">
        <v>0</v>
      </c>
      <c r="R2911" t="s">
        <v>243</v>
      </c>
    </row>
    <row r="2912" spans="1:18" x14ac:dyDescent="0.3">
      <c r="A2912" t="s">
        <v>259</v>
      </c>
      <c r="B2912" t="s">
        <v>56</v>
      </c>
      <c r="C2912" t="s">
        <v>311</v>
      </c>
      <c r="D2912">
        <v>5.0335199999999997E-3</v>
      </c>
      <c r="E2912">
        <v>5.6279900000000002E-3</v>
      </c>
      <c r="F2912">
        <v>6.0339E-3</v>
      </c>
      <c r="G2912">
        <v>5.6505000000000001E-3</v>
      </c>
      <c r="H2912">
        <v>5.9532600000000001E-3</v>
      </c>
      <c r="I2912">
        <v>6.2300200000000002E-3</v>
      </c>
      <c r="J2912">
        <v>6.4369559999999998E-3</v>
      </c>
      <c r="K2912">
        <v>6.6366740000000004E-3</v>
      </c>
      <c r="L2912">
        <v>6.81775E-3</v>
      </c>
      <c r="M2912">
        <v>6.9772999999999996E-3</v>
      </c>
      <c r="N2912">
        <v>7.1294499999999998E-3</v>
      </c>
      <c r="O2912">
        <v>0</v>
      </c>
      <c r="P2912">
        <v>0</v>
      </c>
      <c r="Q2912">
        <v>0</v>
      </c>
      <c r="R2912" t="s">
        <v>243</v>
      </c>
    </row>
    <row r="2913" spans="1:18" x14ac:dyDescent="0.3">
      <c r="A2913" t="s">
        <v>259</v>
      </c>
      <c r="B2913" t="s">
        <v>56</v>
      </c>
      <c r="C2913" t="s">
        <v>312</v>
      </c>
      <c r="D2913">
        <v>5.1720999999999998E-3</v>
      </c>
      <c r="E2913">
        <v>5.7762400000000002E-3</v>
      </c>
      <c r="F2913">
        <v>6.1903799999999997E-3</v>
      </c>
      <c r="G2913">
        <v>5.8085799999999998E-3</v>
      </c>
      <c r="H2913">
        <v>6.1131299999999996E-3</v>
      </c>
      <c r="I2913">
        <v>6.3983399999999998E-3</v>
      </c>
      <c r="J2913">
        <v>6.6102030000000003E-3</v>
      </c>
      <c r="K2913">
        <v>6.8125429999999999E-3</v>
      </c>
      <c r="L2913">
        <v>6.9948299999999996E-3</v>
      </c>
      <c r="M2913">
        <v>7.1556299999999996E-3</v>
      </c>
      <c r="N2913">
        <v>7.3103899999999999E-3</v>
      </c>
      <c r="O2913">
        <v>0</v>
      </c>
      <c r="P2913">
        <v>0</v>
      </c>
      <c r="Q2913">
        <v>0</v>
      </c>
      <c r="R2913" t="s">
        <v>243</v>
      </c>
    </row>
    <row r="2914" spans="1:18" x14ac:dyDescent="0.3">
      <c r="A2914" t="s">
        <v>259</v>
      </c>
      <c r="B2914" t="s">
        <v>56</v>
      </c>
      <c r="C2914" t="s">
        <v>313</v>
      </c>
      <c r="D2914">
        <v>5.35579E-3</v>
      </c>
      <c r="E2914">
        <v>5.9724299999999999E-3</v>
      </c>
      <c r="F2914">
        <v>6.39771E-3</v>
      </c>
      <c r="G2914">
        <v>5.9900200000000004E-3</v>
      </c>
      <c r="H2914">
        <v>6.3181000000000001E-3</v>
      </c>
      <c r="I2914">
        <v>6.6111499999999997E-3</v>
      </c>
      <c r="J2914">
        <v>6.8268139999999996E-3</v>
      </c>
      <c r="K2914">
        <v>7.03466399999999E-3</v>
      </c>
      <c r="L2914">
        <v>7.2237300000000003E-3</v>
      </c>
      <c r="M2914">
        <v>7.3909800000000001E-3</v>
      </c>
      <c r="N2914">
        <v>7.55056999999999E-3</v>
      </c>
      <c r="O2914">
        <v>0</v>
      </c>
      <c r="P2914">
        <v>0</v>
      </c>
      <c r="Q2914">
        <v>0</v>
      </c>
      <c r="R2914" t="s">
        <v>243</v>
      </c>
    </row>
    <row r="2915" spans="1:18" x14ac:dyDescent="0.3">
      <c r="A2915" t="s">
        <v>259</v>
      </c>
      <c r="B2915" t="s">
        <v>56</v>
      </c>
      <c r="C2915" t="s">
        <v>314</v>
      </c>
      <c r="D2915">
        <v>2.0750899999999999E-3</v>
      </c>
      <c r="E2915">
        <v>2.6050100000000001E-3</v>
      </c>
      <c r="F2915">
        <v>2.8282099999999998E-3</v>
      </c>
      <c r="G2915">
        <v>2.6030599999999999E-3</v>
      </c>
      <c r="H2915">
        <v>2.9248199999999999E-3</v>
      </c>
      <c r="I2915">
        <v>2.95539E-3</v>
      </c>
      <c r="J2915">
        <v>3.06749E-3</v>
      </c>
      <c r="K2915">
        <v>3.19652E-3</v>
      </c>
      <c r="L2915">
        <v>3.28963E-3</v>
      </c>
      <c r="M2915">
        <v>3.3619499999999998E-3</v>
      </c>
      <c r="N2915">
        <v>3.42231E-3</v>
      </c>
      <c r="O2915">
        <v>0</v>
      </c>
      <c r="P2915">
        <v>0</v>
      </c>
      <c r="Q2915">
        <v>0</v>
      </c>
      <c r="R2915" t="s">
        <v>243</v>
      </c>
    </row>
    <row r="2916" spans="1:18" x14ac:dyDescent="0.3">
      <c r="A2916" t="s">
        <v>259</v>
      </c>
      <c r="B2916" t="s">
        <v>56</v>
      </c>
      <c r="C2916" t="s">
        <v>315</v>
      </c>
      <c r="D2916">
        <v>3.8882700000000001E-3</v>
      </c>
      <c r="E2916">
        <v>4.3241599999999996E-3</v>
      </c>
      <c r="F2916">
        <v>4.6280699999999998E-3</v>
      </c>
      <c r="G2916">
        <v>4.3334799999999998E-3</v>
      </c>
      <c r="H2916">
        <v>4.4962400000000003E-3</v>
      </c>
      <c r="I2916">
        <v>4.6391799999999997E-3</v>
      </c>
      <c r="J2916">
        <v>4.7545799999999996E-3</v>
      </c>
      <c r="K2916">
        <v>4.8416800000000001E-3</v>
      </c>
      <c r="L2916">
        <v>4.9155800000000001E-3</v>
      </c>
      <c r="M2916">
        <v>4.9787399999999997E-3</v>
      </c>
      <c r="N2916">
        <v>5.0309400000000002E-3</v>
      </c>
      <c r="O2916">
        <v>0</v>
      </c>
      <c r="P2916">
        <v>0</v>
      </c>
      <c r="Q2916">
        <v>0</v>
      </c>
      <c r="R2916" t="s">
        <v>243</v>
      </c>
    </row>
    <row r="2917" spans="1:18" x14ac:dyDescent="0.3">
      <c r="A2917" t="s">
        <v>259</v>
      </c>
      <c r="B2917" t="s">
        <v>56</v>
      </c>
      <c r="C2917" t="s">
        <v>316</v>
      </c>
      <c r="D2917">
        <v>2.6092899999999998E-3</v>
      </c>
      <c r="E2917">
        <v>3.1525699999999999E-3</v>
      </c>
      <c r="F2917">
        <v>3.3844600000000002E-3</v>
      </c>
      <c r="G2917">
        <v>3.15058E-3</v>
      </c>
      <c r="H2917">
        <v>3.36689E-3</v>
      </c>
      <c r="I2917">
        <v>3.41771E-3</v>
      </c>
      <c r="J2917">
        <v>3.5287600000000001E-3</v>
      </c>
      <c r="K2917">
        <v>3.6232399999999998E-3</v>
      </c>
      <c r="L2917">
        <v>3.69586E-3</v>
      </c>
      <c r="M2917">
        <v>3.7563499999999999E-3</v>
      </c>
      <c r="N2917">
        <v>3.8085900000000002E-3</v>
      </c>
      <c r="O2917">
        <v>0</v>
      </c>
      <c r="P2917">
        <v>0</v>
      </c>
      <c r="Q2917">
        <v>0</v>
      </c>
      <c r="R2917" t="s">
        <v>243</v>
      </c>
    </row>
    <row r="2918" spans="1:18" x14ac:dyDescent="0.3">
      <c r="A2918" t="s">
        <v>259</v>
      </c>
      <c r="B2918" t="s">
        <v>56</v>
      </c>
      <c r="C2918" t="s">
        <v>317</v>
      </c>
      <c r="D2918">
        <v>2.9074399999999999E-3</v>
      </c>
      <c r="E2918">
        <v>3.3676299999999999E-3</v>
      </c>
      <c r="F2918">
        <v>3.6170199999999999E-3</v>
      </c>
      <c r="G2918">
        <v>3.3793500000000001E-3</v>
      </c>
      <c r="H2918">
        <v>3.5153799999999998E-3</v>
      </c>
      <c r="I2918">
        <v>3.6367000000000001E-3</v>
      </c>
      <c r="J2918">
        <v>3.74304E-3</v>
      </c>
      <c r="K2918">
        <v>3.8262600000000002E-3</v>
      </c>
      <c r="L2918">
        <v>3.8937199999999998E-3</v>
      </c>
      <c r="M2918">
        <v>3.95035E-3</v>
      </c>
      <c r="N2918">
        <v>3.99986E-3</v>
      </c>
      <c r="O2918">
        <v>0</v>
      </c>
      <c r="P2918">
        <v>0</v>
      </c>
      <c r="Q2918">
        <v>0</v>
      </c>
      <c r="R2918" t="s">
        <v>243</v>
      </c>
    </row>
    <row r="2919" spans="1:18" x14ac:dyDescent="0.3">
      <c r="A2919" t="s">
        <v>259</v>
      </c>
      <c r="B2919" t="s">
        <v>56</v>
      </c>
      <c r="C2919" t="s">
        <v>318</v>
      </c>
      <c r="D2919">
        <v>3.07151E-3</v>
      </c>
      <c r="E2919">
        <v>3.5000999999999999E-3</v>
      </c>
      <c r="F2919">
        <v>3.75844E-3</v>
      </c>
      <c r="G2919">
        <v>3.5177099999999998E-3</v>
      </c>
      <c r="H2919">
        <v>3.64906E-3</v>
      </c>
      <c r="I2919">
        <v>3.7690000000000002E-3</v>
      </c>
      <c r="J2919">
        <v>3.8751499999999999E-3</v>
      </c>
      <c r="K2919">
        <v>3.9576000000000004E-3</v>
      </c>
      <c r="L2919">
        <v>4.0263499999999997E-3</v>
      </c>
      <c r="M2919">
        <v>4.0848400000000002E-3</v>
      </c>
      <c r="N2919">
        <v>4.1351199999999999E-3</v>
      </c>
      <c r="O2919">
        <v>0</v>
      </c>
      <c r="P2919">
        <v>0</v>
      </c>
      <c r="Q2919">
        <v>0</v>
      </c>
      <c r="R2919" t="s">
        <v>243</v>
      </c>
    </row>
    <row r="2920" spans="1:18" x14ac:dyDescent="0.3">
      <c r="A2920" t="s">
        <v>259</v>
      </c>
      <c r="B2920" t="s">
        <v>56</v>
      </c>
      <c r="C2920" t="s">
        <v>319</v>
      </c>
      <c r="D2920">
        <v>3.1992499999999998E-3</v>
      </c>
      <c r="E2920">
        <v>3.60824E-3</v>
      </c>
      <c r="F2920">
        <v>3.86806E-3</v>
      </c>
      <c r="G2920">
        <v>3.6210299999999999E-3</v>
      </c>
      <c r="H2920">
        <v>3.7520700000000001E-3</v>
      </c>
      <c r="I2920">
        <v>3.87952E-3</v>
      </c>
      <c r="J2920">
        <v>3.9865600000000001E-3</v>
      </c>
      <c r="K2920">
        <v>4.0686000000000003E-3</v>
      </c>
      <c r="L2920">
        <v>4.1391199999999996E-3</v>
      </c>
      <c r="M2920">
        <v>4.1985800000000004E-3</v>
      </c>
      <c r="N2920">
        <v>4.2490799999999997E-3</v>
      </c>
      <c r="O2920">
        <v>0</v>
      </c>
      <c r="P2920">
        <v>0</v>
      </c>
      <c r="Q2920">
        <v>0</v>
      </c>
      <c r="R2920" t="s">
        <v>243</v>
      </c>
    </row>
    <row r="2921" spans="1:18" x14ac:dyDescent="0.3">
      <c r="A2921" t="s">
        <v>259</v>
      </c>
      <c r="B2921" t="s">
        <v>56</v>
      </c>
      <c r="C2921" t="s">
        <v>320</v>
      </c>
      <c r="D2921">
        <v>3.3061000000000002E-3</v>
      </c>
      <c r="E2921">
        <v>3.7019599999999998E-3</v>
      </c>
      <c r="F2921">
        <v>3.9659700000000001E-3</v>
      </c>
      <c r="G2921">
        <v>3.7143800000000002E-3</v>
      </c>
      <c r="H2921">
        <v>3.8513699999999998E-3</v>
      </c>
      <c r="I2921">
        <v>3.9804699999999998E-3</v>
      </c>
      <c r="J2921">
        <v>4.0874700000000002E-3</v>
      </c>
      <c r="K2921">
        <v>4.1705600000000002E-3</v>
      </c>
      <c r="L2921">
        <v>4.2408999999999997E-3</v>
      </c>
      <c r="M2921">
        <v>4.3017699999999999E-3</v>
      </c>
      <c r="N2921">
        <v>4.3533000000000001E-3</v>
      </c>
      <c r="O2921">
        <v>0</v>
      </c>
      <c r="P2921">
        <v>0</v>
      </c>
      <c r="Q2921">
        <v>0</v>
      </c>
      <c r="R2921" t="s">
        <v>243</v>
      </c>
    </row>
    <row r="2922" spans="1:18" x14ac:dyDescent="0.3">
      <c r="A2922" t="s">
        <v>259</v>
      </c>
      <c r="B2922" t="s">
        <v>56</v>
      </c>
      <c r="C2922" t="s">
        <v>321</v>
      </c>
      <c r="D2922">
        <v>3.4063299999999999E-3</v>
      </c>
      <c r="E2922">
        <v>3.7927099999999999E-3</v>
      </c>
      <c r="F2922">
        <v>4.06296E-3</v>
      </c>
      <c r="G2922">
        <v>3.80373E-3</v>
      </c>
      <c r="H2922">
        <v>3.9515599999999998E-3</v>
      </c>
      <c r="I2922">
        <v>4.0814500000000004E-3</v>
      </c>
      <c r="J2922">
        <v>4.1891100000000002E-3</v>
      </c>
      <c r="K2922">
        <v>4.2724099999999999E-3</v>
      </c>
      <c r="L2922">
        <v>4.3436200000000003E-3</v>
      </c>
      <c r="M2922">
        <v>4.4043199999999998E-3</v>
      </c>
      <c r="N2922">
        <v>4.4547600000000003E-3</v>
      </c>
      <c r="O2922">
        <v>0</v>
      </c>
      <c r="P2922">
        <v>0</v>
      </c>
      <c r="Q2922">
        <v>0</v>
      </c>
      <c r="R2922" t="s">
        <v>243</v>
      </c>
    </row>
    <row r="2923" spans="1:18" x14ac:dyDescent="0.3">
      <c r="A2923" t="s">
        <v>259</v>
      </c>
      <c r="B2923" t="s">
        <v>56</v>
      </c>
      <c r="C2923" t="s">
        <v>322</v>
      </c>
      <c r="D2923">
        <v>3.5047699999999999E-3</v>
      </c>
      <c r="E2923">
        <v>3.8932400000000001E-3</v>
      </c>
      <c r="F2923">
        <v>4.1685999999999997E-3</v>
      </c>
      <c r="G2923">
        <v>3.9103200000000001E-3</v>
      </c>
      <c r="H2923">
        <v>4.0576900000000001E-3</v>
      </c>
      <c r="I2923">
        <v>4.1917200000000003E-3</v>
      </c>
      <c r="J2923">
        <v>4.3018700000000002E-3</v>
      </c>
      <c r="K2923">
        <v>4.3856099999999999E-3</v>
      </c>
      <c r="L2923">
        <v>4.45642E-3</v>
      </c>
      <c r="M2923">
        <v>4.51688E-3</v>
      </c>
      <c r="N2923">
        <v>4.5678200000000002E-3</v>
      </c>
      <c r="O2923">
        <v>0</v>
      </c>
      <c r="P2923">
        <v>0</v>
      </c>
      <c r="Q2923">
        <v>0</v>
      </c>
      <c r="R2923" t="s">
        <v>243</v>
      </c>
    </row>
    <row r="2924" spans="1:18" x14ac:dyDescent="0.3">
      <c r="A2924" t="s">
        <v>259</v>
      </c>
      <c r="B2924" t="s">
        <v>56</v>
      </c>
      <c r="C2924" t="s">
        <v>323</v>
      </c>
      <c r="D2924">
        <v>3.6322799999999999E-3</v>
      </c>
      <c r="E2924">
        <v>4.0257100000000001E-3</v>
      </c>
      <c r="F2924">
        <v>4.3083000000000002E-3</v>
      </c>
      <c r="G2924">
        <v>4.0325099999999996E-3</v>
      </c>
      <c r="H2924">
        <v>4.1937800000000003E-3</v>
      </c>
      <c r="I2924">
        <v>4.3311599999999997E-3</v>
      </c>
      <c r="J2924">
        <v>4.4428100000000002E-3</v>
      </c>
      <c r="K2924">
        <v>4.5286099999999998E-3</v>
      </c>
      <c r="L2924">
        <v>4.6022499999999996E-3</v>
      </c>
      <c r="M2924">
        <v>4.6654399999999999E-3</v>
      </c>
      <c r="N2924">
        <v>4.7178999999999997E-3</v>
      </c>
      <c r="O2924">
        <v>0</v>
      </c>
      <c r="P2924">
        <v>0</v>
      </c>
      <c r="Q2924">
        <v>0</v>
      </c>
      <c r="R2924" t="s">
        <v>243</v>
      </c>
    </row>
    <row r="2925" spans="1:18" x14ac:dyDescent="0.3">
      <c r="A2925" t="s">
        <v>259</v>
      </c>
      <c r="B2925" t="s">
        <v>10</v>
      </c>
      <c r="C2925" t="s">
        <v>253</v>
      </c>
      <c r="D2925">
        <v>4.4502400000000003E-3</v>
      </c>
      <c r="E2925">
        <v>5.1630399999999998E-3</v>
      </c>
      <c r="F2925">
        <v>6.0532099999999998E-3</v>
      </c>
      <c r="G2925">
        <v>6.1625400000000002E-3</v>
      </c>
      <c r="H2925">
        <v>6.1392E-3</v>
      </c>
      <c r="I2925">
        <v>6.2113400000000001E-3</v>
      </c>
      <c r="J2925">
        <v>6.08707E-3</v>
      </c>
      <c r="K2925">
        <v>5.9463199999999997E-3</v>
      </c>
      <c r="L2925">
        <v>5.7920599999999999E-3</v>
      </c>
      <c r="M2925">
        <v>5.6384900000000003E-3</v>
      </c>
      <c r="N2925">
        <v>5.4896399999999996E-3</v>
      </c>
      <c r="O2925">
        <v>0</v>
      </c>
      <c r="P2925">
        <v>0</v>
      </c>
      <c r="Q2925">
        <v>0</v>
      </c>
      <c r="R2925" t="s">
        <v>243</v>
      </c>
    </row>
    <row r="2926" spans="1:18" x14ac:dyDescent="0.3">
      <c r="A2926" t="s">
        <v>259</v>
      </c>
      <c r="B2926" t="s">
        <v>10</v>
      </c>
      <c r="C2926" t="s">
        <v>254</v>
      </c>
      <c r="D2926">
        <v>5.2908710999999997E-2</v>
      </c>
      <c r="E2926">
        <v>4.3757600000000001E-2</v>
      </c>
      <c r="F2926">
        <v>4.5162800000000003E-2</v>
      </c>
      <c r="G2926">
        <v>3.8838310000000001E-2</v>
      </c>
      <c r="H2926">
        <v>3.5206546999999998E-2</v>
      </c>
      <c r="I2926">
        <v>4.2173566989999897E-2</v>
      </c>
      <c r="J2926">
        <v>4.6741454100000003E-2</v>
      </c>
      <c r="K2926">
        <v>4.78196919999999E-2</v>
      </c>
      <c r="L2926">
        <v>4.7913722999999998E-2</v>
      </c>
      <c r="M2926">
        <v>4.7801573999999999E-2</v>
      </c>
      <c r="N2926">
        <v>4.7771829000000002E-2</v>
      </c>
      <c r="O2926">
        <v>0</v>
      </c>
      <c r="P2926">
        <v>0</v>
      </c>
      <c r="Q2926">
        <v>0</v>
      </c>
      <c r="R2926" t="s">
        <v>243</v>
      </c>
    </row>
    <row r="2927" spans="1:18" x14ac:dyDescent="0.3">
      <c r="A2927" t="s">
        <v>259</v>
      </c>
      <c r="B2927" t="s">
        <v>10</v>
      </c>
      <c r="C2927" t="s">
        <v>255</v>
      </c>
      <c r="D2927">
        <v>9.8178519999999894E-2</v>
      </c>
      <c r="E2927">
        <v>0.10067189999999999</v>
      </c>
      <c r="F2927">
        <v>0.104185</v>
      </c>
      <c r="G2927">
        <v>9.38586E-2</v>
      </c>
      <c r="H2927">
        <v>9.3945358299999907E-2</v>
      </c>
      <c r="I2927">
        <v>0.10386399339000001</v>
      </c>
      <c r="J2927">
        <v>0.10711009389999999</v>
      </c>
      <c r="K2927">
        <v>0.11213021550000001</v>
      </c>
      <c r="L2927">
        <v>0.11590515829999901</v>
      </c>
      <c r="M2927">
        <v>0.11987648669999899</v>
      </c>
      <c r="N2927">
        <v>0.123957406199999</v>
      </c>
      <c r="O2927">
        <v>0</v>
      </c>
      <c r="P2927">
        <v>0</v>
      </c>
      <c r="Q2927">
        <v>0</v>
      </c>
      <c r="R2927" t="s">
        <v>243</v>
      </c>
    </row>
    <row r="2928" spans="1:18" x14ac:dyDescent="0.3">
      <c r="A2928" t="s">
        <v>259</v>
      </c>
      <c r="B2928" t="s">
        <v>10</v>
      </c>
      <c r="C2928" t="s">
        <v>355</v>
      </c>
      <c r="D2928" s="8">
        <v>3.1315200000000003E-4</v>
      </c>
      <c r="E2928" s="8">
        <v>3.8771200000000002E-4</v>
      </c>
      <c r="F2928" s="8">
        <v>4.7542599999999998E-4</v>
      </c>
      <c r="G2928" s="8">
        <v>4.92707E-4</v>
      </c>
      <c r="H2928" s="8">
        <v>5.0401899999999997E-4</v>
      </c>
      <c r="I2928" s="8">
        <v>5.0713099999999997E-4</v>
      </c>
      <c r="J2928" s="8">
        <v>4.9630799999999999E-4</v>
      </c>
      <c r="K2928" s="8">
        <v>4.8686200000000002E-4</v>
      </c>
      <c r="L2928" s="8">
        <v>4.7608399999999999E-4</v>
      </c>
      <c r="M2928" s="8">
        <v>4.6548500000000002E-4</v>
      </c>
      <c r="N2928" s="8">
        <v>4.55196E-4</v>
      </c>
      <c r="O2928">
        <v>0</v>
      </c>
      <c r="P2928">
        <v>0</v>
      </c>
      <c r="Q2928">
        <v>0</v>
      </c>
      <c r="R2928" t="s">
        <v>243</v>
      </c>
    </row>
    <row r="2929" spans="1:18" x14ac:dyDescent="0.3">
      <c r="A2929" t="s">
        <v>259</v>
      </c>
      <c r="B2929" t="s">
        <v>10</v>
      </c>
      <c r="C2929" t="s">
        <v>356</v>
      </c>
      <c r="D2929" s="8">
        <v>5.5148700000000003E-4</v>
      </c>
      <c r="E2929" s="8">
        <v>5.9917399999999995E-4</v>
      </c>
      <c r="F2929" s="8">
        <v>6.9663699999999995E-4</v>
      </c>
      <c r="G2929" s="8">
        <v>7.2252099999999995E-4</v>
      </c>
      <c r="H2929" s="8">
        <v>7.1938199999999996E-4</v>
      </c>
      <c r="I2929" s="8">
        <v>7.09751E-4</v>
      </c>
      <c r="J2929" s="8">
        <v>6.8835200000000004E-4</v>
      </c>
      <c r="K2929" s="8">
        <v>6.6482800000000001E-4</v>
      </c>
      <c r="L2929" s="8">
        <v>6.4071400000000002E-4</v>
      </c>
      <c r="M2929" s="8">
        <v>6.1763200000000001E-4</v>
      </c>
      <c r="N2929" s="8">
        <v>5.9555199999999995E-4</v>
      </c>
      <c r="O2929">
        <v>0</v>
      </c>
      <c r="P2929">
        <v>0</v>
      </c>
      <c r="Q2929">
        <v>0</v>
      </c>
      <c r="R2929" t="s">
        <v>243</v>
      </c>
    </row>
    <row r="2930" spans="1:18" x14ac:dyDescent="0.3">
      <c r="A2930" t="s">
        <v>259</v>
      </c>
      <c r="B2930" t="s">
        <v>10</v>
      </c>
      <c r="C2930" t="s">
        <v>357</v>
      </c>
      <c r="D2930" s="8">
        <v>3.8521200000000001E-4</v>
      </c>
      <c r="E2930" s="8">
        <v>4.4582200000000002E-4</v>
      </c>
      <c r="F2930" s="8">
        <v>5.3281900000000002E-4</v>
      </c>
      <c r="G2930" s="8">
        <v>5.5227599999999998E-4</v>
      </c>
      <c r="H2930" s="8">
        <v>5.5611799999999998E-4</v>
      </c>
      <c r="I2930" s="8">
        <v>5.5446399999999996E-4</v>
      </c>
      <c r="J2930" s="8">
        <v>5.42692E-4</v>
      </c>
      <c r="K2930" s="8">
        <v>5.2993199999999999E-4</v>
      </c>
      <c r="L2930" s="8">
        <v>5.1710700000000005E-4</v>
      </c>
      <c r="M2930" s="8">
        <v>5.0405299999999997E-4</v>
      </c>
      <c r="N2930" s="8">
        <v>4.9060800000000002E-4</v>
      </c>
      <c r="O2930">
        <v>0</v>
      </c>
      <c r="P2930">
        <v>0</v>
      </c>
      <c r="Q2930">
        <v>0</v>
      </c>
      <c r="R2930" t="s">
        <v>243</v>
      </c>
    </row>
    <row r="2931" spans="1:18" x14ac:dyDescent="0.3">
      <c r="A2931" t="s">
        <v>259</v>
      </c>
      <c r="B2931" t="s">
        <v>10</v>
      </c>
      <c r="C2931" t="s">
        <v>358</v>
      </c>
      <c r="D2931" s="8">
        <v>4.1220699999999999E-4</v>
      </c>
      <c r="E2931" s="8">
        <v>4.7427999999999999E-4</v>
      </c>
      <c r="F2931" s="8">
        <v>5.6019800000000003E-4</v>
      </c>
      <c r="G2931" s="8">
        <v>5.7841299999999995E-4</v>
      </c>
      <c r="H2931" s="8">
        <v>5.8093800000000003E-4</v>
      </c>
      <c r="I2931" s="8">
        <v>5.7874300000000005E-4</v>
      </c>
      <c r="J2931" s="8">
        <v>5.6491699999999996E-4</v>
      </c>
      <c r="K2931" s="8">
        <v>5.4950799999999998E-4</v>
      </c>
      <c r="L2931" s="8">
        <v>5.3375099999999995E-4</v>
      </c>
      <c r="M2931" s="8">
        <v>5.1945699999999997E-4</v>
      </c>
      <c r="N2931" s="8">
        <v>5.0498399999999999E-4</v>
      </c>
      <c r="O2931">
        <v>0</v>
      </c>
      <c r="P2931">
        <v>0</v>
      </c>
      <c r="Q2931">
        <v>0</v>
      </c>
      <c r="R2931" t="s">
        <v>243</v>
      </c>
    </row>
    <row r="2932" spans="1:18" x14ac:dyDescent="0.3">
      <c r="A2932" t="s">
        <v>259</v>
      </c>
      <c r="B2932" t="s">
        <v>10</v>
      </c>
      <c r="C2932" t="s">
        <v>359</v>
      </c>
      <c r="D2932" s="8">
        <v>4.3006000000000001E-4</v>
      </c>
      <c r="E2932" s="8">
        <v>4.8968600000000003E-4</v>
      </c>
      <c r="F2932" s="8">
        <v>5.7746499999999999E-4</v>
      </c>
      <c r="G2932" s="8">
        <v>5.9675500000000003E-4</v>
      </c>
      <c r="H2932" s="8">
        <v>5.9736999999999995E-4</v>
      </c>
      <c r="I2932" s="8">
        <v>5.9464800000000003E-4</v>
      </c>
      <c r="J2932" s="8">
        <v>5.8003799999999995E-4</v>
      </c>
      <c r="K2932" s="8">
        <v>5.6367600000000004E-4</v>
      </c>
      <c r="L2932" s="8">
        <v>5.4690399999999997E-4</v>
      </c>
      <c r="M2932" s="8">
        <v>5.3075699999999997E-4</v>
      </c>
      <c r="N2932" s="8">
        <v>5.1543499999999996E-4</v>
      </c>
      <c r="O2932">
        <v>0</v>
      </c>
      <c r="P2932">
        <v>0</v>
      </c>
      <c r="Q2932">
        <v>0</v>
      </c>
      <c r="R2932" t="s">
        <v>243</v>
      </c>
    </row>
    <row r="2933" spans="1:18" x14ac:dyDescent="0.3">
      <c r="A2933" t="s">
        <v>259</v>
      </c>
      <c r="B2933" t="s">
        <v>10</v>
      </c>
      <c r="C2933" t="s">
        <v>360</v>
      </c>
      <c r="D2933" s="8">
        <v>4.4418399999999997E-4</v>
      </c>
      <c r="E2933" s="8">
        <v>5.0197900000000005E-4</v>
      </c>
      <c r="F2933" s="8">
        <v>5.91472E-4</v>
      </c>
      <c r="G2933" s="8">
        <v>6.1128099999999998E-4</v>
      </c>
      <c r="H2933" s="8">
        <v>6.1173100000000002E-4</v>
      </c>
      <c r="I2933" s="8">
        <v>6.0785799999999997E-4</v>
      </c>
      <c r="J2933" s="8">
        <v>5.9249200000000002E-4</v>
      </c>
      <c r="K2933" s="8">
        <v>5.7537699999999996E-4</v>
      </c>
      <c r="L2933" s="8">
        <v>5.5786599999999996E-4</v>
      </c>
      <c r="M2933" s="8">
        <v>5.4038700000000003E-4</v>
      </c>
      <c r="N2933" s="8">
        <v>5.2435800000000005E-4</v>
      </c>
      <c r="O2933">
        <v>0</v>
      </c>
      <c r="P2933">
        <v>0</v>
      </c>
      <c r="Q2933">
        <v>0</v>
      </c>
      <c r="R2933" t="s">
        <v>243</v>
      </c>
    </row>
    <row r="2934" spans="1:18" x14ac:dyDescent="0.3">
      <c r="A2934" t="s">
        <v>259</v>
      </c>
      <c r="B2934" t="s">
        <v>10</v>
      </c>
      <c r="C2934" t="s">
        <v>361</v>
      </c>
      <c r="D2934" s="8">
        <v>4.5707199999999999E-4</v>
      </c>
      <c r="E2934" s="8">
        <v>5.1278800000000002E-4</v>
      </c>
      <c r="F2934" s="8">
        <v>6.0476599999999996E-4</v>
      </c>
      <c r="G2934" s="8">
        <v>6.2517699999999998E-4</v>
      </c>
      <c r="H2934" s="8">
        <v>6.2543500000000003E-4</v>
      </c>
      <c r="I2934" s="8">
        <v>6.2035300000000003E-4</v>
      </c>
      <c r="J2934" s="8">
        <v>6.0433399999999999E-4</v>
      </c>
      <c r="K2934" s="8">
        <v>5.8646900000000005E-4</v>
      </c>
      <c r="L2934" s="8">
        <v>5.6772099999999998E-4</v>
      </c>
      <c r="M2934" s="8">
        <v>5.4960899999999995E-4</v>
      </c>
      <c r="N2934" s="8">
        <v>5.32914E-4</v>
      </c>
      <c r="O2934">
        <v>0</v>
      </c>
      <c r="P2934">
        <v>0</v>
      </c>
      <c r="Q2934">
        <v>0</v>
      </c>
      <c r="R2934" t="s">
        <v>243</v>
      </c>
    </row>
    <row r="2935" spans="1:18" x14ac:dyDescent="0.3">
      <c r="A2935" t="s">
        <v>259</v>
      </c>
      <c r="B2935" t="s">
        <v>10</v>
      </c>
      <c r="C2935" t="s">
        <v>362</v>
      </c>
      <c r="D2935" s="8">
        <v>4.7007100000000002E-4</v>
      </c>
      <c r="E2935" s="8">
        <v>5.2386299999999995E-4</v>
      </c>
      <c r="F2935" s="8">
        <v>6.1735399999999997E-4</v>
      </c>
      <c r="G2935" s="8">
        <v>6.3836899999999996E-4</v>
      </c>
      <c r="H2935" s="8">
        <v>6.3871299999999995E-4</v>
      </c>
      <c r="I2935" s="8">
        <v>6.33538E-4</v>
      </c>
      <c r="J2935" s="8">
        <v>6.1684000000000001E-4</v>
      </c>
      <c r="K2935" s="8">
        <v>5.9742200000000001E-4</v>
      </c>
      <c r="L2935" s="8">
        <v>5.7744399999999998E-4</v>
      </c>
      <c r="M2935" s="8">
        <v>5.5917300000000005E-4</v>
      </c>
      <c r="N2935" s="8">
        <v>5.41776E-4</v>
      </c>
      <c r="O2935">
        <v>0</v>
      </c>
      <c r="P2935">
        <v>0</v>
      </c>
      <c r="Q2935">
        <v>0</v>
      </c>
      <c r="R2935" t="s">
        <v>243</v>
      </c>
    </row>
    <row r="2936" spans="1:18" x14ac:dyDescent="0.3">
      <c r="A2936" t="s">
        <v>259</v>
      </c>
      <c r="B2936" t="s">
        <v>10</v>
      </c>
      <c r="C2936" t="s">
        <v>363</v>
      </c>
      <c r="D2936" s="8">
        <v>4.8459499999999999E-4</v>
      </c>
      <c r="E2936" s="8">
        <v>5.3702299999999997E-4</v>
      </c>
      <c r="F2936" s="8">
        <v>6.3160899999999999E-4</v>
      </c>
      <c r="G2936" s="8">
        <v>6.5394599999999998E-4</v>
      </c>
      <c r="H2936" s="8">
        <v>6.5469400000000004E-4</v>
      </c>
      <c r="I2936" s="8">
        <v>6.4739099999999998E-4</v>
      </c>
      <c r="J2936" s="8">
        <v>6.2889300000000005E-4</v>
      </c>
      <c r="K2936" s="8">
        <v>6.0916300000000002E-4</v>
      </c>
      <c r="L2936" s="8">
        <v>5.89103E-4</v>
      </c>
      <c r="M2936" s="8">
        <v>5.7000400000000004E-4</v>
      </c>
      <c r="N2936" s="8">
        <v>5.5178900000000001E-4</v>
      </c>
      <c r="O2936">
        <v>0</v>
      </c>
      <c r="P2936">
        <v>0</v>
      </c>
      <c r="Q2936">
        <v>0</v>
      </c>
      <c r="R2936" t="s">
        <v>243</v>
      </c>
    </row>
    <row r="2937" spans="1:18" x14ac:dyDescent="0.3">
      <c r="A2937" t="s">
        <v>259</v>
      </c>
      <c r="B2937" t="s">
        <v>10</v>
      </c>
      <c r="C2937" t="s">
        <v>364</v>
      </c>
      <c r="D2937" s="8">
        <v>5.0373200000000001E-4</v>
      </c>
      <c r="E2937" s="8">
        <v>5.53441E-4</v>
      </c>
      <c r="F2937" s="8">
        <v>6.5002899999999999E-4</v>
      </c>
      <c r="G2937" s="8">
        <v>6.7362900000000002E-4</v>
      </c>
      <c r="H2937" s="8">
        <v>6.7206700000000004E-4</v>
      </c>
      <c r="I2937" s="8">
        <v>6.6505999999999998E-4</v>
      </c>
      <c r="J2937" s="8">
        <v>6.4641299999999998E-4</v>
      </c>
      <c r="K2937" s="8">
        <v>6.2571399999999998E-4</v>
      </c>
      <c r="L2937" s="8">
        <v>6.0440400000000001E-4</v>
      </c>
      <c r="M2937" s="8">
        <v>5.8405100000000004E-4</v>
      </c>
      <c r="N2937" s="8">
        <v>5.6466600000000002E-4</v>
      </c>
      <c r="O2937">
        <v>0</v>
      </c>
      <c r="P2937">
        <v>0</v>
      </c>
      <c r="Q2937">
        <v>0</v>
      </c>
      <c r="R2937" t="s">
        <v>243</v>
      </c>
    </row>
    <row r="2938" spans="1:18" x14ac:dyDescent="0.3">
      <c r="A2938" t="s">
        <v>259</v>
      </c>
      <c r="B2938" t="s">
        <v>10</v>
      </c>
      <c r="C2938" t="s">
        <v>365</v>
      </c>
      <c r="D2938">
        <v>0</v>
      </c>
      <c r="E2938">
        <v>1.4803399999999999E-3</v>
      </c>
      <c r="F2938">
        <v>2.08354E-3</v>
      </c>
      <c r="G2938">
        <v>1.9602399999999998E-3</v>
      </c>
      <c r="H2938">
        <v>1.9049099999999999E-3</v>
      </c>
      <c r="I2938">
        <v>1.68177E-3</v>
      </c>
      <c r="J2938">
        <v>1.4270800000000001E-3</v>
      </c>
      <c r="K2938">
        <v>1.4456899999999999E-3</v>
      </c>
      <c r="L2938">
        <v>1.4637999999999999E-3</v>
      </c>
      <c r="M2938">
        <v>1.4834900000000001E-3</v>
      </c>
      <c r="N2938">
        <v>1.50548E-3</v>
      </c>
      <c r="O2938">
        <v>0</v>
      </c>
      <c r="P2938">
        <v>0</v>
      </c>
      <c r="Q2938">
        <v>0</v>
      </c>
      <c r="R2938" t="s">
        <v>243</v>
      </c>
    </row>
    <row r="2939" spans="1:18" x14ac:dyDescent="0.3">
      <c r="A2939" t="s">
        <v>259</v>
      </c>
      <c r="B2939" t="s">
        <v>10</v>
      </c>
      <c r="C2939" t="s">
        <v>366</v>
      </c>
      <c r="D2939">
        <v>0</v>
      </c>
      <c r="E2939" s="8">
        <v>5.4367399999999996E-4</v>
      </c>
      <c r="F2939" s="8">
        <v>8.2502499999999996E-4</v>
      </c>
      <c r="G2939" s="8">
        <v>7.7742399999999998E-4</v>
      </c>
      <c r="H2939" s="8">
        <v>8.0748099999999998E-4</v>
      </c>
      <c r="I2939" s="8">
        <v>8.3597700000000001E-4</v>
      </c>
      <c r="J2939" s="8">
        <v>8.5026399999999999E-4</v>
      </c>
      <c r="K2939" s="8">
        <v>8.6312900000000002E-4</v>
      </c>
      <c r="L2939" s="8">
        <v>8.7494099999999996E-4</v>
      </c>
      <c r="M2939" s="8">
        <v>8.8734399999999998E-4</v>
      </c>
      <c r="N2939" s="8">
        <v>9.0083899999999996E-4</v>
      </c>
      <c r="O2939">
        <v>0</v>
      </c>
      <c r="P2939">
        <v>0</v>
      </c>
      <c r="Q2939">
        <v>0</v>
      </c>
      <c r="R2939" t="s">
        <v>243</v>
      </c>
    </row>
    <row r="2940" spans="1:18" x14ac:dyDescent="0.3">
      <c r="A2940" t="s">
        <v>259</v>
      </c>
      <c r="B2940" t="s">
        <v>10</v>
      </c>
      <c r="C2940" t="s">
        <v>367</v>
      </c>
      <c r="D2940">
        <v>0</v>
      </c>
      <c r="E2940">
        <v>1.235E-3</v>
      </c>
      <c r="F2940">
        <v>1.75768E-3</v>
      </c>
      <c r="G2940">
        <v>1.64865E-3</v>
      </c>
      <c r="H2940">
        <v>1.6861599999999999E-3</v>
      </c>
      <c r="I2940">
        <v>1.5795099999999999E-3</v>
      </c>
      <c r="J2940">
        <v>1.454E-3</v>
      </c>
      <c r="K2940">
        <v>1.47411E-3</v>
      </c>
      <c r="L2940">
        <v>1.4942499999999999E-3</v>
      </c>
      <c r="M2940">
        <v>1.5153600000000001E-3</v>
      </c>
      <c r="N2940">
        <v>1.53787E-3</v>
      </c>
      <c r="O2940">
        <v>0</v>
      </c>
      <c r="P2940">
        <v>0</v>
      </c>
      <c r="Q2940">
        <v>0</v>
      </c>
      <c r="R2940" t="s">
        <v>243</v>
      </c>
    </row>
    <row r="2941" spans="1:18" x14ac:dyDescent="0.3">
      <c r="A2941" t="s">
        <v>259</v>
      </c>
      <c r="B2941" t="s">
        <v>10</v>
      </c>
      <c r="C2941" t="s">
        <v>368</v>
      </c>
      <c r="D2941">
        <v>0</v>
      </c>
      <c r="E2941">
        <v>1.0992E-3</v>
      </c>
      <c r="F2941">
        <v>1.5854300000000001E-3</v>
      </c>
      <c r="G2941">
        <v>1.4983799999999999E-3</v>
      </c>
      <c r="H2941">
        <v>1.5557100000000001E-3</v>
      </c>
      <c r="I2941">
        <v>1.5357599999999999E-3</v>
      </c>
      <c r="J2941">
        <v>1.47273E-3</v>
      </c>
      <c r="K2941">
        <v>1.49244E-3</v>
      </c>
      <c r="L2941">
        <v>1.51162E-3</v>
      </c>
      <c r="M2941">
        <v>1.5330999999999999E-3</v>
      </c>
      <c r="N2941">
        <v>1.5559700000000001E-3</v>
      </c>
      <c r="O2941">
        <v>0</v>
      </c>
      <c r="P2941">
        <v>0</v>
      </c>
      <c r="Q2941">
        <v>0</v>
      </c>
      <c r="R2941" t="s">
        <v>243</v>
      </c>
    </row>
    <row r="2942" spans="1:18" x14ac:dyDescent="0.3">
      <c r="A2942" t="s">
        <v>259</v>
      </c>
      <c r="B2942" t="s">
        <v>10</v>
      </c>
      <c r="C2942" t="s">
        <v>369</v>
      </c>
      <c r="D2942">
        <v>0</v>
      </c>
      <c r="E2942">
        <v>1.02154E-3</v>
      </c>
      <c r="F2942">
        <v>1.4739200000000001E-3</v>
      </c>
      <c r="G2942">
        <v>1.39109E-3</v>
      </c>
      <c r="H2942">
        <v>1.44272E-3</v>
      </c>
      <c r="I2942">
        <v>1.4992600000000001E-3</v>
      </c>
      <c r="J2942">
        <v>1.48762E-3</v>
      </c>
      <c r="K2942">
        <v>1.5076499999999999E-3</v>
      </c>
      <c r="L2942">
        <v>1.5269999999999999E-3</v>
      </c>
      <c r="M2942">
        <v>1.5476699999999999E-3</v>
      </c>
      <c r="N2942">
        <v>1.57069E-3</v>
      </c>
      <c r="O2942">
        <v>0</v>
      </c>
      <c r="P2942">
        <v>0</v>
      </c>
      <c r="Q2942">
        <v>0</v>
      </c>
      <c r="R2942" t="s">
        <v>243</v>
      </c>
    </row>
    <row r="2943" spans="1:18" x14ac:dyDescent="0.3">
      <c r="A2943" t="s">
        <v>259</v>
      </c>
      <c r="B2943" t="s">
        <v>10</v>
      </c>
      <c r="C2943" t="s">
        <v>370</v>
      </c>
      <c r="D2943">
        <v>0</v>
      </c>
      <c r="E2943" s="8">
        <v>9.5896200000000005E-4</v>
      </c>
      <c r="F2943">
        <v>1.3842699999999999E-3</v>
      </c>
      <c r="G2943">
        <v>1.3073200000000001E-3</v>
      </c>
      <c r="H2943">
        <v>1.3571099999999999E-3</v>
      </c>
      <c r="I2943">
        <v>1.4088E-3</v>
      </c>
      <c r="J2943">
        <v>1.43329E-3</v>
      </c>
      <c r="K2943">
        <v>1.4560899999999999E-3</v>
      </c>
      <c r="L2943">
        <v>1.4777499999999999E-3</v>
      </c>
      <c r="M2943">
        <v>1.4982400000000001E-3</v>
      </c>
      <c r="N2943">
        <v>1.52239E-3</v>
      </c>
      <c r="O2943">
        <v>0</v>
      </c>
      <c r="P2943">
        <v>0</v>
      </c>
      <c r="Q2943">
        <v>0</v>
      </c>
      <c r="R2943" t="s">
        <v>243</v>
      </c>
    </row>
    <row r="2944" spans="1:18" x14ac:dyDescent="0.3">
      <c r="A2944" t="s">
        <v>259</v>
      </c>
      <c r="B2944" t="s">
        <v>10</v>
      </c>
      <c r="C2944" t="s">
        <v>371</v>
      </c>
      <c r="D2944">
        <v>0</v>
      </c>
      <c r="E2944" s="8">
        <v>9.0459100000000005E-4</v>
      </c>
      <c r="F2944">
        <v>1.3014400000000001E-3</v>
      </c>
      <c r="G2944">
        <v>1.22955E-3</v>
      </c>
      <c r="H2944">
        <v>1.2771200000000001E-3</v>
      </c>
      <c r="I2944">
        <v>1.32413E-3</v>
      </c>
      <c r="J2944">
        <v>1.34716E-3</v>
      </c>
      <c r="K2944">
        <v>1.3684299999999999E-3</v>
      </c>
      <c r="L2944">
        <v>1.3873799999999999E-3</v>
      </c>
      <c r="M2944">
        <v>1.40665E-3</v>
      </c>
      <c r="N2944">
        <v>1.42917E-3</v>
      </c>
      <c r="O2944">
        <v>0</v>
      </c>
      <c r="P2944">
        <v>0</v>
      </c>
      <c r="Q2944">
        <v>0</v>
      </c>
      <c r="R2944" t="s">
        <v>243</v>
      </c>
    </row>
    <row r="2945" spans="1:18" x14ac:dyDescent="0.3">
      <c r="A2945" t="s">
        <v>259</v>
      </c>
      <c r="B2945" t="s">
        <v>10</v>
      </c>
      <c r="C2945" t="s">
        <v>372</v>
      </c>
      <c r="D2945">
        <v>0</v>
      </c>
      <c r="E2945" s="8">
        <v>8.5042199999999998E-4</v>
      </c>
      <c r="F2945">
        <v>1.22591E-3</v>
      </c>
      <c r="G2945">
        <v>1.1585600000000001E-3</v>
      </c>
      <c r="H2945">
        <v>1.2044499999999999E-3</v>
      </c>
      <c r="I2945">
        <v>1.2495200000000001E-3</v>
      </c>
      <c r="J2945">
        <v>1.27129E-3</v>
      </c>
      <c r="K2945">
        <v>1.28955E-3</v>
      </c>
      <c r="L2945">
        <v>1.30619E-3</v>
      </c>
      <c r="M2945">
        <v>1.3255299999999999E-3</v>
      </c>
      <c r="N2945">
        <v>1.34661E-3</v>
      </c>
      <c r="O2945">
        <v>0</v>
      </c>
      <c r="P2945">
        <v>0</v>
      </c>
      <c r="Q2945">
        <v>0</v>
      </c>
      <c r="R2945" t="s">
        <v>243</v>
      </c>
    </row>
    <row r="2946" spans="1:18" x14ac:dyDescent="0.3">
      <c r="A2946" t="s">
        <v>259</v>
      </c>
      <c r="B2946" t="s">
        <v>10</v>
      </c>
      <c r="C2946" t="s">
        <v>373</v>
      </c>
      <c r="D2946">
        <v>0</v>
      </c>
      <c r="E2946" s="8">
        <v>7.8883399999999998E-4</v>
      </c>
      <c r="F2946">
        <v>1.1442900000000001E-3</v>
      </c>
      <c r="G2946">
        <v>1.0786999999999999E-3</v>
      </c>
      <c r="H2946">
        <v>1.1229899999999999E-3</v>
      </c>
      <c r="I2946">
        <v>1.16212E-3</v>
      </c>
      <c r="J2946">
        <v>1.18044E-3</v>
      </c>
      <c r="K2946">
        <v>1.19831E-3</v>
      </c>
      <c r="L2946">
        <v>1.21525E-3</v>
      </c>
      <c r="M2946">
        <v>1.2331200000000001E-3</v>
      </c>
      <c r="N2946">
        <v>1.2525800000000001E-3</v>
      </c>
      <c r="O2946">
        <v>0</v>
      </c>
      <c r="P2946">
        <v>0</v>
      </c>
      <c r="Q2946">
        <v>0</v>
      </c>
      <c r="R2946" t="s">
        <v>243</v>
      </c>
    </row>
    <row r="2947" spans="1:18" x14ac:dyDescent="0.3">
      <c r="A2947" t="s">
        <v>259</v>
      </c>
      <c r="B2947" t="s">
        <v>10</v>
      </c>
      <c r="C2947" t="s">
        <v>374</v>
      </c>
      <c r="D2947">
        <v>0</v>
      </c>
      <c r="E2947" s="8">
        <v>7.1681100000000003E-4</v>
      </c>
      <c r="F2947">
        <v>1.0452300000000001E-3</v>
      </c>
      <c r="G2947" s="8">
        <v>9.8405699999999999E-4</v>
      </c>
      <c r="H2947">
        <v>1.0218899999999999E-3</v>
      </c>
      <c r="I2947">
        <v>1.05912E-3</v>
      </c>
      <c r="J2947">
        <v>1.07734E-3</v>
      </c>
      <c r="K2947">
        <v>1.09384E-3</v>
      </c>
      <c r="L2947">
        <v>1.1089800000000001E-3</v>
      </c>
      <c r="M2947">
        <v>1.12488E-3</v>
      </c>
      <c r="N2947">
        <v>1.14229E-3</v>
      </c>
      <c r="O2947">
        <v>0</v>
      </c>
      <c r="P2947">
        <v>0</v>
      </c>
      <c r="Q2947">
        <v>0</v>
      </c>
      <c r="R2947" t="s">
        <v>243</v>
      </c>
    </row>
    <row r="2948" spans="1:18" x14ac:dyDescent="0.3">
      <c r="A2948" t="s">
        <v>259</v>
      </c>
      <c r="B2948" t="s">
        <v>10</v>
      </c>
      <c r="C2948" t="s">
        <v>375</v>
      </c>
      <c r="D2948">
        <v>2.6856190999999998E-3</v>
      </c>
      <c r="E2948">
        <v>3.5276365E-3</v>
      </c>
      <c r="F2948">
        <v>3.8637603E-3</v>
      </c>
      <c r="G2948">
        <v>3.4062116999999999E-3</v>
      </c>
      <c r="H2948">
        <v>3.2550094999999999E-3</v>
      </c>
      <c r="I2948">
        <v>3.548624281E-3</v>
      </c>
      <c r="J2948">
        <v>3.7239256800000002E-3</v>
      </c>
      <c r="K2948">
        <v>3.84303605999999E-3</v>
      </c>
      <c r="L2948">
        <v>3.9150019999999999E-3</v>
      </c>
      <c r="M2948">
        <v>4.0433469999999897E-3</v>
      </c>
      <c r="N2948">
        <v>4.1766375999999997E-3</v>
      </c>
      <c r="O2948">
        <v>0</v>
      </c>
      <c r="P2948">
        <v>0</v>
      </c>
      <c r="Q2948">
        <v>0</v>
      </c>
      <c r="R2948" t="s">
        <v>243</v>
      </c>
    </row>
    <row r="2949" spans="1:18" x14ac:dyDescent="0.3">
      <c r="A2949" t="s">
        <v>259</v>
      </c>
      <c r="B2949" t="s">
        <v>10</v>
      </c>
      <c r="C2949" t="s">
        <v>376</v>
      </c>
      <c r="D2949">
        <v>1.6497733000000001E-2</v>
      </c>
      <c r="E2949">
        <v>1.7329622999999999E-2</v>
      </c>
      <c r="F2949">
        <v>1.79259799999999E-2</v>
      </c>
      <c r="G2949">
        <v>1.6349353E-2</v>
      </c>
      <c r="H2949">
        <v>1.5684867999999901E-2</v>
      </c>
      <c r="I2949">
        <v>1.6052017349999999E-2</v>
      </c>
      <c r="J2949">
        <v>1.6116721399999999E-2</v>
      </c>
      <c r="K2949">
        <v>1.60883842E-2</v>
      </c>
      <c r="L2949">
        <v>1.5947198400000001E-2</v>
      </c>
      <c r="M2949">
        <v>1.5871538599999999E-2</v>
      </c>
      <c r="N2949">
        <v>1.5790225099999999E-2</v>
      </c>
      <c r="O2949">
        <v>0</v>
      </c>
      <c r="P2949">
        <v>0</v>
      </c>
      <c r="Q2949">
        <v>0</v>
      </c>
      <c r="R2949" t="s">
        <v>243</v>
      </c>
    </row>
    <row r="2950" spans="1:18" x14ac:dyDescent="0.3">
      <c r="A2950" t="s">
        <v>259</v>
      </c>
      <c r="B2950" t="s">
        <v>10</v>
      </c>
      <c r="C2950" t="s">
        <v>377</v>
      </c>
      <c r="D2950">
        <v>4.4099839999999996E-3</v>
      </c>
      <c r="E2950">
        <v>5.314353E-3</v>
      </c>
      <c r="F2950">
        <v>5.686188E-3</v>
      </c>
      <c r="G2950">
        <v>5.0825499000000003E-3</v>
      </c>
      <c r="H2950">
        <v>4.7431933000000003E-3</v>
      </c>
      <c r="I2950">
        <v>5.157727438E-3</v>
      </c>
      <c r="J2950">
        <v>5.3989406499999996E-3</v>
      </c>
      <c r="K2950">
        <v>5.6101244999999999E-3</v>
      </c>
      <c r="L2950">
        <v>5.7897371000000001E-3</v>
      </c>
      <c r="M2950">
        <v>6.0088594999999998E-3</v>
      </c>
      <c r="N2950">
        <v>6.1729378000000001E-3</v>
      </c>
      <c r="O2950">
        <v>0</v>
      </c>
      <c r="P2950">
        <v>0</v>
      </c>
      <c r="Q2950">
        <v>0</v>
      </c>
      <c r="R2950" t="s">
        <v>243</v>
      </c>
    </row>
    <row r="2951" spans="1:18" x14ac:dyDescent="0.3">
      <c r="A2951" t="s">
        <v>259</v>
      </c>
      <c r="B2951" t="s">
        <v>10</v>
      </c>
      <c r="C2951" t="s">
        <v>378</v>
      </c>
      <c r="D2951">
        <v>5.4670289999999896E-3</v>
      </c>
      <c r="E2951">
        <v>6.7483730000000002E-3</v>
      </c>
      <c r="F2951">
        <v>7.0450859999999999E-3</v>
      </c>
      <c r="G2951">
        <v>6.2230050000000002E-3</v>
      </c>
      <c r="H2951">
        <v>5.9475789999999997E-3</v>
      </c>
      <c r="I2951">
        <v>6.3709578140000002E-3</v>
      </c>
      <c r="J2951">
        <v>6.5820532000000001E-3</v>
      </c>
      <c r="K2951">
        <v>6.7619899999999998E-3</v>
      </c>
      <c r="L2951">
        <v>6.86524419999999E-3</v>
      </c>
      <c r="M2951">
        <v>7.1009495999999998E-3</v>
      </c>
      <c r="N2951">
        <v>7.2784822999999998E-3</v>
      </c>
      <c r="O2951">
        <v>0</v>
      </c>
      <c r="P2951">
        <v>0</v>
      </c>
      <c r="Q2951">
        <v>0</v>
      </c>
      <c r="R2951" t="s">
        <v>243</v>
      </c>
    </row>
    <row r="2952" spans="1:18" x14ac:dyDescent="0.3">
      <c r="A2952" t="s">
        <v>259</v>
      </c>
      <c r="B2952" t="s">
        <v>10</v>
      </c>
      <c r="C2952" t="s">
        <v>379</v>
      </c>
      <c r="D2952">
        <v>6.3832969999999996E-3</v>
      </c>
      <c r="E2952">
        <v>7.7591789999999997E-3</v>
      </c>
      <c r="F2952">
        <v>8.1178550000000002E-3</v>
      </c>
      <c r="G2952">
        <v>7.2134590000000002E-3</v>
      </c>
      <c r="H2952">
        <v>6.8416585000000002E-3</v>
      </c>
      <c r="I2952">
        <v>7.322092681E-3</v>
      </c>
      <c r="J2952">
        <v>7.5389018E-3</v>
      </c>
      <c r="K2952">
        <v>7.7301352999999996E-3</v>
      </c>
      <c r="L2952">
        <v>7.8270895000000004E-3</v>
      </c>
      <c r="M2952">
        <v>8.0015562999999901E-3</v>
      </c>
      <c r="N2952">
        <v>8.1764981000000004E-3</v>
      </c>
      <c r="O2952">
        <v>0</v>
      </c>
      <c r="P2952">
        <v>0</v>
      </c>
      <c r="Q2952">
        <v>0</v>
      </c>
      <c r="R2952" t="s">
        <v>243</v>
      </c>
    </row>
    <row r="2953" spans="1:18" x14ac:dyDescent="0.3">
      <c r="A2953" t="s">
        <v>259</v>
      </c>
      <c r="B2953" t="s">
        <v>10</v>
      </c>
      <c r="C2953" t="s">
        <v>380</v>
      </c>
      <c r="D2953">
        <v>7.2615419999999898E-3</v>
      </c>
      <c r="E2953">
        <v>8.6909899999999991E-3</v>
      </c>
      <c r="F2953">
        <v>9.1081199999999904E-3</v>
      </c>
      <c r="G2953">
        <v>8.1058859999999996E-3</v>
      </c>
      <c r="H2953">
        <v>7.7235289000000002E-3</v>
      </c>
      <c r="I2953">
        <v>8.1958343409999999E-3</v>
      </c>
      <c r="J2953">
        <v>8.4103135000000006E-3</v>
      </c>
      <c r="K2953">
        <v>8.6071001000000008E-3</v>
      </c>
      <c r="L2953">
        <v>8.7011212000000001E-3</v>
      </c>
      <c r="M2953">
        <v>8.8278769E-3</v>
      </c>
      <c r="N2953">
        <v>8.9977152000000008E-3</v>
      </c>
      <c r="O2953">
        <v>0</v>
      </c>
      <c r="P2953">
        <v>0</v>
      </c>
      <c r="Q2953">
        <v>0</v>
      </c>
      <c r="R2953" t="s">
        <v>243</v>
      </c>
    </row>
    <row r="2954" spans="1:18" x14ac:dyDescent="0.3">
      <c r="A2954" t="s">
        <v>259</v>
      </c>
      <c r="B2954" t="s">
        <v>10</v>
      </c>
      <c r="C2954" t="s">
        <v>381</v>
      </c>
      <c r="D2954">
        <v>8.1885789999999996E-3</v>
      </c>
      <c r="E2954">
        <v>9.5922349999999993E-3</v>
      </c>
      <c r="F2954">
        <v>1.0134008E-2</v>
      </c>
      <c r="G2954">
        <v>9.0378879999999905E-3</v>
      </c>
      <c r="H2954">
        <v>8.6324239999999997E-3</v>
      </c>
      <c r="I2954">
        <v>9.0838818839999898E-3</v>
      </c>
      <c r="J2954">
        <v>9.2982588000000005E-3</v>
      </c>
      <c r="K2954">
        <v>9.4927141000000007E-3</v>
      </c>
      <c r="L2954">
        <v>9.5390382000000006E-3</v>
      </c>
      <c r="M2954">
        <v>9.6613737999999994E-3</v>
      </c>
      <c r="N2954">
        <v>9.8232101999999998E-3</v>
      </c>
      <c r="O2954">
        <v>0</v>
      </c>
      <c r="P2954">
        <v>0</v>
      </c>
      <c r="Q2954">
        <v>0</v>
      </c>
      <c r="R2954" t="s">
        <v>243</v>
      </c>
    </row>
    <row r="2955" spans="1:18" x14ac:dyDescent="0.3">
      <c r="A2955" t="s">
        <v>259</v>
      </c>
      <c r="B2955" t="s">
        <v>10</v>
      </c>
      <c r="C2955" t="s">
        <v>382</v>
      </c>
      <c r="D2955">
        <v>9.2353369999999997E-3</v>
      </c>
      <c r="E2955">
        <v>1.0578277000000001E-2</v>
      </c>
      <c r="F2955">
        <v>1.1167187E-2</v>
      </c>
      <c r="G2955">
        <v>9.9811080000000007E-3</v>
      </c>
      <c r="H2955">
        <v>9.5711859999999902E-3</v>
      </c>
      <c r="I2955">
        <v>1.0073112208999899E-2</v>
      </c>
      <c r="J2955">
        <v>1.0286846000000001E-2</v>
      </c>
      <c r="K2955">
        <v>1.04128967E-2</v>
      </c>
      <c r="L2955">
        <v>1.04059768999999E-2</v>
      </c>
      <c r="M2955">
        <v>1.05599525999999E-2</v>
      </c>
      <c r="N2955">
        <v>1.0707845299999999E-2</v>
      </c>
      <c r="O2955">
        <v>0</v>
      </c>
      <c r="P2955">
        <v>0</v>
      </c>
      <c r="Q2955">
        <v>0</v>
      </c>
      <c r="R2955" t="s">
        <v>243</v>
      </c>
    </row>
    <row r="2956" spans="1:18" x14ac:dyDescent="0.3">
      <c r="A2956" t="s">
        <v>259</v>
      </c>
      <c r="B2956" t="s">
        <v>10</v>
      </c>
      <c r="C2956" t="s">
        <v>383</v>
      </c>
      <c r="D2956">
        <v>1.0508942E-2</v>
      </c>
      <c r="E2956">
        <v>1.1804441000000001E-2</v>
      </c>
      <c r="F2956">
        <v>1.2388988E-2</v>
      </c>
      <c r="G2956">
        <v>1.11499699999999E-2</v>
      </c>
      <c r="H2956">
        <v>1.0758403E-2</v>
      </c>
      <c r="I2956">
        <v>1.1163170481E-2</v>
      </c>
      <c r="J2956">
        <v>1.12874526999999E-2</v>
      </c>
      <c r="K2956">
        <v>1.14368437999999E-2</v>
      </c>
      <c r="L2956">
        <v>1.14699131E-2</v>
      </c>
      <c r="M2956">
        <v>1.16027664999999E-2</v>
      </c>
      <c r="N2956">
        <v>1.1726624499999999E-2</v>
      </c>
      <c r="O2956">
        <v>0</v>
      </c>
      <c r="P2956">
        <v>0</v>
      </c>
      <c r="Q2956">
        <v>0</v>
      </c>
      <c r="R2956" t="s">
        <v>243</v>
      </c>
    </row>
    <row r="2957" spans="1:18" x14ac:dyDescent="0.3">
      <c r="A2957" t="s">
        <v>259</v>
      </c>
      <c r="B2957" t="s">
        <v>10</v>
      </c>
      <c r="C2957" t="s">
        <v>384</v>
      </c>
      <c r="D2957">
        <v>1.2281659E-2</v>
      </c>
      <c r="E2957">
        <v>1.3364914E-2</v>
      </c>
      <c r="F2957">
        <v>1.40094879999999E-2</v>
      </c>
      <c r="G2957">
        <v>1.2676471999999999E-2</v>
      </c>
      <c r="H2957">
        <v>1.2106245E-2</v>
      </c>
      <c r="I2957">
        <v>1.259272987E-2</v>
      </c>
      <c r="J2957">
        <v>1.27649876E-2</v>
      </c>
      <c r="K2957">
        <v>1.28926204999999E-2</v>
      </c>
      <c r="L2957">
        <v>1.28801079E-2</v>
      </c>
      <c r="M2957">
        <v>1.2959226399999999E-2</v>
      </c>
      <c r="N2957">
        <v>1.30320805999999E-2</v>
      </c>
      <c r="O2957">
        <v>0</v>
      </c>
      <c r="P2957">
        <v>0</v>
      </c>
      <c r="Q2957">
        <v>0</v>
      </c>
      <c r="R2957" t="s">
        <v>243</v>
      </c>
    </row>
    <row r="2958" spans="1:18" x14ac:dyDescent="0.3">
      <c r="A2958" t="s">
        <v>259</v>
      </c>
      <c r="B2958" t="s">
        <v>10</v>
      </c>
      <c r="C2958" t="s">
        <v>385</v>
      </c>
      <c r="D2958">
        <v>0</v>
      </c>
      <c r="E2958" s="8">
        <v>6.4122099999999998E-4</v>
      </c>
      <c r="F2958" s="8">
        <v>9.0259599999999998E-4</v>
      </c>
      <c r="G2958" s="8">
        <v>8.4939900000000003E-4</v>
      </c>
      <c r="H2958" s="8">
        <v>8.0310500000000003E-4</v>
      </c>
      <c r="I2958" s="8">
        <v>7.0067000000000003E-4</v>
      </c>
      <c r="J2958" s="8">
        <v>5.8273000000000005E-4</v>
      </c>
      <c r="K2958" s="8">
        <v>5.9057200000000004E-4</v>
      </c>
      <c r="L2958" s="8">
        <v>5.9818399999999998E-4</v>
      </c>
      <c r="M2958" s="8">
        <v>6.0639600000000004E-4</v>
      </c>
      <c r="N2958" s="8">
        <v>6.1554100000000005E-4</v>
      </c>
      <c r="O2958">
        <v>0</v>
      </c>
      <c r="P2958">
        <v>0</v>
      </c>
      <c r="Q2958">
        <v>0</v>
      </c>
      <c r="R2958" t="s">
        <v>243</v>
      </c>
    </row>
    <row r="2959" spans="1:18" x14ac:dyDescent="0.3">
      <c r="A2959" t="s">
        <v>259</v>
      </c>
      <c r="B2959" t="s">
        <v>10</v>
      </c>
      <c r="C2959" t="s">
        <v>386</v>
      </c>
      <c r="D2959">
        <v>0</v>
      </c>
      <c r="E2959" s="8">
        <v>2.23809E-4</v>
      </c>
      <c r="F2959" s="8">
        <v>3.4050200000000001E-4</v>
      </c>
      <c r="G2959" s="8">
        <v>3.2071299999999998E-4</v>
      </c>
      <c r="H2959" s="8">
        <v>3.3311300000000001E-4</v>
      </c>
      <c r="I2959" s="8">
        <v>3.4486800000000002E-4</v>
      </c>
      <c r="J2959" s="8">
        <v>3.5076200000000001E-4</v>
      </c>
      <c r="K2959" s="8">
        <v>3.5606899999999998E-4</v>
      </c>
      <c r="L2959" s="8">
        <v>3.60942E-4</v>
      </c>
      <c r="M2959" s="8">
        <v>3.6605900000000001E-4</v>
      </c>
      <c r="N2959" s="8">
        <v>3.7162600000000001E-4</v>
      </c>
      <c r="O2959">
        <v>0</v>
      </c>
      <c r="P2959">
        <v>0</v>
      </c>
      <c r="Q2959">
        <v>0</v>
      </c>
      <c r="R2959" t="s">
        <v>243</v>
      </c>
    </row>
    <row r="2960" spans="1:18" x14ac:dyDescent="0.3">
      <c r="A2960" t="s">
        <v>259</v>
      </c>
      <c r="B2960" t="s">
        <v>10</v>
      </c>
      <c r="C2960" t="s">
        <v>387</v>
      </c>
      <c r="D2960">
        <v>0</v>
      </c>
      <c r="E2960" s="8">
        <v>5.3159500000000005E-4</v>
      </c>
      <c r="F2960" s="8">
        <v>7.5659000000000002E-4</v>
      </c>
      <c r="G2960" s="8">
        <v>7.0964499999999996E-4</v>
      </c>
      <c r="H2960" s="8">
        <v>7.0861199999999996E-4</v>
      </c>
      <c r="I2960" s="8">
        <v>6.5994000000000003E-4</v>
      </c>
      <c r="J2960" s="8">
        <v>6.0147900000000003E-4</v>
      </c>
      <c r="K2960" s="8">
        <v>6.1024099999999997E-4</v>
      </c>
      <c r="L2960" s="8">
        <v>6.1911500000000005E-4</v>
      </c>
      <c r="M2960" s="8">
        <v>6.2821700000000003E-4</v>
      </c>
      <c r="N2960" s="8">
        <v>6.3768500000000003E-4</v>
      </c>
      <c r="O2960">
        <v>0</v>
      </c>
      <c r="P2960">
        <v>0</v>
      </c>
      <c r="Q2960">
        <v>0</v>
      </c>
      <c r="R2960" t="s">
        <v>243</v>
      </c>
    </row>
    <row r="2961" spans="1:18" x14ac:dyDescent="0.3">
      <c r="A2961" t="s">
        <v>259</v>
      </c>
      <c r="B2961" t="s">
        <v>10</v>
      </c>
      <c r="C2961" t="s">
        <v>388</v>
      </c>
      <c r="D2961">
        <v>0</v>
      </c>
      <c r="E2961" s="8">
        <v>4.7087799999999999E-4</v>
      </c>
      <c r="F2961" s="8">
        <v>6.7940600000000002E-4</v>
      </c>
      <c r="G2961" s="8">
        <v>6.4225000000000003E-4</v>
      </c>
      <c r="H2961" s="8">
        <v>6.6188399999999995E-4</v>
      </c>
      <c r="I2961" s="8">
        <v>6.4304100000000001E-4</v>
      </c>
      <c r="J2961" s="8">
        <v>6.1313000000000003E-4</v>
      </c>
      <c r="K2961" s="8">
        <v>6.2159599999999998E-4</v>
      </c>
      <c r="L2961" s="8">
        <v>6.2982499999999998E-4</v>
      </c>
      <c r="M2961" s="8">
        <v>6.3910400000000004E-4</v>
      </c>
      <c r="N2961" s="8">
        <v>6.4877900000000004E-4</v>
      </c>
      <c r="O2961">
        <v>0</v>
      </c>
      <c r="P2961">
        <v>0</v>
      </c>
      <c r="Q2961">
        <v>0</v>
      </c>
      <c r="R2961" t="s">
        <v>243</v>
      </c>
    </row>
    <row r="2962" spans="1:18" x14ac:dyDescent="0.3">
      <c r="A2962" t="s">
        <v>259</v>
      </c>
      <c r="B2962" t="s">
        <v>10</v>
      </c>
      <c r="C2962" t="s">
        <v>389</v>
      </c>
      <c r="D2962">
        <v>0</v>
      </c>
      <c r="E2962" s="8">
        <v>4.3617900000000003E-4</v>
      </c>
      <c r="F2962" s="8">
        <v>6.2946400000000004E-4</v>
      </c>
      <c r="G2962" s="8">
        <v>5.94164E-4</v>
      </c>
      <c r="H2962" s="8">
        <v>6.1621600000000005E-4</v>
      </c>
      <c r="I2962" s="8">
        <v>6.30639E-4</v>
      </c>
      <c r="J2962" s="8">
        <v>6.2194300000000002E-4</v>
      </c>
      <c r="K2962" s="8">
        <v>6.3057599999999999E-4</v>
      </c>
      <c r="L2962" s="8">
        <v>6.3888300000000003E-4</v>
      </c>
      <c r="M2962" s="8">
        <v>6.4767299999999998E-4</v>
      </c>
      <c r="N2962" s="8">
        <v>6.5742999999999997E-4</v>
      </c>
      <c r="O2962">
        <v>0</v>
      </c>
      <c r="P2962">
        <v>0</v>
      </c>
      <c r="Q2962">
        <v>0</v>
      </c>
      <c r="R2962" t="s">
        <v>243</v>
      </c>
    </row>
    <row r="2963" spans="1:18" x14ac:dyDescent="0.3">
      <c r="A2963" t="s">
        <v>259</v>
      </c>
      <c r="B2963" t="s">
        <v>10</v>
      </c>
      <c r="C2963" t="s">
        <v>390</v>
      </c>
      <c r="D2963">
        <v>0</v>
      </c>
      <c r="E2963" s="8">
        <v>4.08231E-4</v>
      </c>
      <c r="F2963" s="8">
        <v>5.89351E-4</v>
      </c>
      <c r="G2963" s="8">
        <v>5.5664600000000005E-4</v>
      </c>
      <c r="H2963" s="8">
        <v>5.7784399999999999E-4</v>
      </c>
      <c r="I2963" s="8">
        <v>5.9985400000000003E-4</v>
      </c>
      <c r="J2963" s="8">
        <v>6.1028000000000005E-4</v>
      </c>
      <c r="K2963" s="8">
        <v>6.1998999999999995E-4</v>
      </c>
      <c r="L2963" s="8">
        <v>6.2921199999999998E-4</v>
      </c>
      <c r="M2963" s="8">
        <v>6.3793599999999997E-4</v>
      </c>
      <c r="N2963" s="8">
        <v>6.4821900000000001E-4</v>
      </c>
      <c r="O2963">
        <v>0</v>
      </c>
      <c r="P2963">
        <v>0</v>
      </c>
      <c r="Q2963">
        <v>0</v>
      </c>
      <c r="R2963" t="s">
        <v>243</v>
      </c>
    </row>
    <row r="2964" spans="1:18" x14ac:dyDescent="0.3">
      <c r="A2964" t="s">
        <v>259</v>
      </c>
      <c r="B2964" t="s">
        <v>10</v>
      </c>
      <c r="C2964" t="s">
        <v>391</v>
      </c>
      <c r="D2964">
        <v>0</v>
      </c>
      <c r="E2964" s="8">
        <v>3.8396799999999999E-4</v>
      </c>
      <c r="F2964" s="8">
        <v>5.5232199999999995E-4</v>
      </c>
      <c r="G2964" s="8">
        <v>5.2184599999999996E-4</v>
      </c>
      <c r="H2964" s="8">
        <v>5.4203599999999997E-4</v>
      </c>
      <c r="I2964" s="8">
        <v>5.6198999999999995E-4</v>
      </c>
      <c r="J2964" s="8">
        <v>5.7176099999999995E-4</v>
      </c>
      <c r="K2964" s="8">
        <v>5.8078999999999997E-4</v>
      </c>
      <c r="L2964" s="8">
        <v>5.8883500000000001E-4</v>
      </c>
      <c r="M2964" s="8">
        <v>5.9701000000000003E-4</v>
      </c>
      <c r="N2964" s="8">
        <v>6.0657099999999998E-4</v>
      </c>
      <c r="O2964">
        <v>0</v>
      </c>
      <c r="P2964">
        <v>0</v>
      </c>
      <c r="Q2964">
        <v>0</v>
      </c>
      <c r="R2964" t="s">
        <v>243</v>
      </c>
    </row>
    <row r="2965" spans="1:18" x14ac:dyDescent="0.3">
      <c r="A2965" t="s">
        <v>259</v>
      </c>
      <c r="B2965" t="s">
        <v>10</v>
      </c>
      <c r="C2965" t="s">
        <v>392</v>
      </c>
      <c r="D2965">
        <v>0</v>
      </c>
      <c r="E2965" s="8">
        <v>3.59809E-4</v>
      </c>
      <c r="F2965" s="8">
        <v>5.1858500000000001E-4</v>
      </c>
      <c r="G2965" s="8">
        <v>4.9011599999999997E-4</v>
      </c>
      <c r="H2965" s="8">
        <v>5.0953200000000004E-4</v>
      </c>
      <c r="I2965" s="8">
        <v>5.2859800000000002E-4</v>
      </c>
      <c r="J2965" s="8">
        <v>5.3780899999999999E-4</v>
      </c>
      <c r="K2965" s="8">
        <v>5.4553100000000003E-4</v>
      </c>
      <c r="L2965" s="8">
        <v>5.5257199999999998E-4</v>
      </c>
      <c r="M2965" s="8">
        <v>5.6075299999999999E-4</v>
      </c>
      <c r="N2965" s="8">
        <v>5.6967200000000002E-4</v>
      </c>
      <c r="O2965">
        <v>0</v>
      </c>
      <c r="P2965">
        <v>0</v>
      </c>
      <c r="Q2965">
        <v>0</v>
      </c>
      <c r="R2965" t="s">
        <v>243</v>
      </c>
    </row>
    <row r="2966" spans="1:18" x14ac:dyDescent="0.3">
      <c r="A2966" t="s">
        <v>259</v>
      </c>
      <c r="B2966" t="s">
        <v>10</v>
      </c>
      <c r="C2966" t="s">
        <v>393</v>
      </c>
      <c r="D2966">
        <v>0</v>
      </c>
      <c r="E2966" s="8">
        <v>3.3238300000000001E-4</v>
      </c>
      <c r="F2966" s="8">
        <v>4.8218499999999999E-4</v>
      </c>
      <c r="G2966" s="8">
        <v>4.5447199999999998E-4</v>
      </c>
      <c r="H2966" s="8">
        <v>4.7313500000000002E-4</v>
      </c>
      <c r="I2966" s="8">
        <v>4.8962099999999998E-4</v>
      </c>
      <c r="J2966" s="8">
        <v>4.9733899999999996E-4</v>
      </c>
      <c r="K2966" s="8">
        <v>5.0486699999999999E-4</v>
      </c>
      <c r="L2966" s="8">
        <v>5.1200200000000001E-4</v>
      </c>
      <c r="M2966" s="8">
        <v>5.1953399999999999E-4</v>
      </c>
      <c r="N2966" s="8">
        <v>5.2773000000000002E-4</v>
      </c>
      <c r="O2966">
        <v>0</v>
      </c>
      <c r="P2966">
        <v>0</v>
      </c>
      <c r="Q2966">
        <v>0</v>
      </c>
      <c r="R2966" t="s">
        <v>243</v>
      </c>
    </row>
    <row r="2967" spans="1:18" x14ac:dyDescent="0.3">
      <c r="A2967" t="s">
        <v>259</v>
      </c>
      <c r="B2967" t="s">
        <v>10</v>
      </c>
      <c r="C2967" t="s">
        <v>394</v>
      </c>
      <c r="D2967">
        <v>0</v>
      </c>
      <c r="E2967" s="8">
        <v>3.0037400000000001E-4</v>
      </c>
      <c r="F2967" s="8">
        <v>4.3807399999999999E-4</v>
      </c>
      <c r="G2967" s="8">
        <v>4.1231200000000002E-4</v>
      </c>
      <c r="H2967" s="8">
        <v>4.28162E-4</v>
      </c>
      <c r="I2967" s="8">
        <v>4.43762E-4</v>
      </c>
      <c r="J2967" s="8">
        <v>4.5139799999999999E-4</v>
      </c>
      <c r="K2967" s="8">
        <v>4.5831099999999998E-4</v>
      </c>
      <c r="L2967" s="8">
        <v>4.64654E-4</v>
      </c>
      <c r="M2967" s="8">
        <v>4.7131700000000001E-4</v>
      </c>
      <c r="N2967" s="8">
        <v>4.7861099999999999E-4</v>
      </c>
      <c r="O2967">
        <v>0</v>
      </c>
      <c r="P2967">
        <v>0</v>
      </c>
      <c r="Q2967">
        <v>0</v>
      </c>
      <c r="R2967" t="s">
        <v>243</v>
      </c>
    </row>
    <row r="2968" spans="1:18" x14ac:dyDescent="0.3">
      <c r="A2968" t="s">
        <v>259</v>
      </c>
      <c r="B2968" t="s">
        <v>10</v>
      </c>
      <c r="C2968" t="s">
        <v>395</v>
      </c>
      <c r="D2968" s="8">
        <v>1.26957E-4</v>
      </c>
      <c r="E2968" s="8">
        <v>3.81758E-4</v>
      </c>
      <c r="F2968" s="8">
        <v>1.1749E-4</v>
      </c>
      <c r="G2968" s="8">
        <v>5.8736800000000003E-5</v>
      </c>
      <c r="H2968" s="8">
        <v>6.0916699999999999E-5</v>
      </c>
      <c r="I2968" s="8">
        <v>6.32598E-5</v>
      </c>
      <c r="J2968" s="8">
        <v>6.4364799999999997E-5</v>
      </c>
      <c r="K2968" s="8">
        <v>6.5399299999999996E-5</v>
      </c>
      <c r="L2968" s="8">
        <v>6.6395099999999997E-5</v>
      </c>
      <c r="M2968" s="8">
        <v>6.7438800000000002E-5</v>
      </c>
      <c r="N2968" s="8">
        <v>6.8579999999999997E-5</v>
      </c>
      <c r="O2968">
        <v>0</v>
      </c>
      <c r="P2968">
        <v>0</v>
      </c>
      <c r="Q2968">
        <v>0</v>
      </c>
      <c r="R2968" t="s">
        <v>243</v>
      </c>
    </row>
    <row r="2969" spans="1:18" x14ac:dyDescent="0.3">
      <c r="A2969" t="s">
        <v>259</v>
      </c>
      <c r="B2969" t="s">
        <v>10</v>
      </c>
      <c r="C2969" t="s">
        <v>396</v>
      </c>
      <c r="D2969" s="8">
        <v>6.3110100000000001E-6</v>
      </c>
      <c r="E2969" s="8">
        <v>2.16665E-5</v>
      </c>
      <c r="F2969" s="8">
        <v>8.2111800000000006E-6</v>
      </c>
      <c r="G2969" s="8">
        <v>4.0812699999999998E-6</v>
      </c>
      <c r="H2969" s="8">
        <v>4.2390600000000004E-6</v>
      </c>
      <c r="I2969" s="8">
        <v>4.3886599999999998E-6</v>
      </c>
      <c r="J2969" s="8">
        <v>4.4636599999999999E-6</v>
      </c>
      <c r="K2969" s="8">
        <v>4.5311999999999999E-6</v>
      </c>
      <c r="L2969" s="8">
        <v>4.5932100000000002E-6</v>
      </c>
      <c r="M2969" s="8">
        <v>4.6583199999999996E-6</v>
      </c>
      <c r="N2969" s="8">
        <v>4.7291600000000001E-6</v>
      </c>
      <c r="O2969">
        <v>0</v>
      </c>
      <c r="P2969">
        <v>0</v>
      </c>
      <c r="Q2969">
        <v>0</v>
      </c>
      <c r="R2969" t="s">
        <v>243</v>
      </c>
    </row>
    <row r="2970" spans="1:18" x14ac:dyDescent="0.3">
      <c r="A2970" t="s">
        <v>259</v>
      </c>
      <c r="B2970" t="s">
        <v>10</v>
      </c>
      <c r="C2970" t="s">
        <v>397</v>
      </c>
      <c r="D2970" s="8">
        <v>6.9564800000000002E-5</v>
      </c>
      <c r="E2970" s="8">
        <v>2.23501E-4</v>
      </c>
      <c r="F2970" s="8">
        <v>7.1021700000000005E-5</v>
      </c>
      <c r="G2970" s="8">
        <v>3.50912E-5</v>
      </c>
      <c r="H2970" s="8">
        <v>3.6393500000000003E-5</v>
      </c>
      <c r="I2970" s="8">
        <v>3.7732599999999999E-5</v>
      </c>
      <c r="J2970" s="8">
        <v>3.8457200000000002E-5</v>
      </c>
      <c r="K2970" s="8">
        <v>3.9148199999999999E-5</v>
      </c>
      <c r="L2970" s="8">
        <v>3.9864999999999999E-5</v>
      </c>
      <c r="M2970" s="8">
        <v>4.0558400000000001E-5</v>
      </c>
      <c r="N2970" s="8">
        <v>4.12283E-5</v>
      </c>
      <c r="O2970">
        <v>0</v>
      </c>
      <c r="P2970">
        <v>0</v>
      </c>
      <c r="Q2970">
        <v>0</v>
      </c>
      <c r="R2970" t="s">
        <v>243</v>
      </c>
    </row>
    <row r="2971" spans="1:18" x14ac:dyDescent="0.3">
      <c r="A2971" t="s">
        <v>259</v>
      </c>
      <c r="B2971" t="s">
        <v>10</v>
      </c>
      <c r="C2971" t="s">
        <v>398</v>
      </c>
      <c r="D2971" s="8">
        <v>5.24402E-5</v>
      </c>
      <c r="E2971" s="8">
        <v>1.59145E-4</v>
      </c>
      <c r="F2971" s="8">
        <v>5.2542700000000001E-5</v>
      </c>
      <c r="G2971" s="8">
        <v>2.6506400000000001E-5</v>
      </c>
      <c r="H2971" s="8">
        <v>2.7520599999999999E-5</v>
      </c>
      <c r="I2971" s="8">
        <v>2.8591299999999998E-5</v>
      </c>
      <c r="J2971" s="8">
        <v>2.90925E-5</v>
      </c>
      <c r="K2971" s="8">
        <v>2.9558100000000001E-5</v>
      </c>
      <c r="L2971" s="8">
        <v>3.0008399999999999E-5</v>
      </c>
      <c r="M2971" s="8">
        <v>3.0522999999999999E-5</v>
      </c>
      <c r="N2971" s="8">
        <v>3.1027E-5</v>
      </c>
      <c r="O2971">
        <v>0</v>
      </c>
      <c r="P2971">
        <v>0</v>
      </c>
      <c r="Q2971">
        <v>0</v>
      </c>
      <c r="R2971" t="s">
        <v>243</v>
      </c>
    </row>
    <row r="2972" spans="1:18" x14ac:dyDescent="0.3">
      <c r="A2972" t="s">
        <v>259</v>
      </c>
      <c r="B2972" t="s">
        <v>10</v>
      </c>
      <c r="C2972" t="s">
        <v>399</v>
      </c>
      <c r="D2972" s="8">
        <v>4.2286200000000002E-5</v>
      </c>
      <c r="E2972" s="8">
        <v>1.2875000000000001E-4</v>
      </c>
      <c r="F2972" s="8">
        <v>4.25264E-5</v>
      </c>
      <c r="G2972" s="8">
        <v>2.1348800000000001E-5</v>
      </c>
      <c r="H2972" s="8">
        <v>2.21411E-5</v>
      </c>
      <c r="I2972" s="8">
        <v>2.3008899999999999E-5</v>
      </c>
      <c r="J2972" s="8">
        <v>2.3411999999999999E-5</v>
      </c>
      <c r="K2972" s="8">
        <v>2.3785600000000001E-5</v>
      </c>
      <c r="L2972" s="8">
        <v>2.4141000000000001E-5</v>
      </c>
      <c r="M2972" s="8">
        <v>2.4505700000000002E-5</v>
      </c>
      <c r="N2972" s="8">
        <v>2.4904400000000002E-5</v>
      </c>
      <c r="O2972">
        <v>0</v>
      </c>
      <c r="P2972">
        <v>0</v>
      </c>
      <c r="Q2972">
        <v>0</v>
      </c>
      <c r="R2972" t="s">
        <v>243</v>
      </c>
    </row>
    <row r="2973" spans="1:18" x14ac:dyDescent="0.3">
      <c r="A2973" t="s">
        <v>259</v>
      </c>
      <c r="B2973" t="s">
        <v>10</v>
      </c>
      <c r="C2973" t="s">
        <v>400</v>
      </c>
      <c r="D2973" s="8">
        <v>3.5025699999999999E-5</v>
      </c>
      <c r="E2973" s="8">
        <v>1.07335E-4</v>
      </c>
      <c r="F2973" s="8">
        <v>3.5487500000000002E-5</v>
      </c>
      <c r="G2973" s="8">
        <v>1.7833999999999999E-5</v>
      </c>
      <c r="H2973" s="8">
        <v>1.8513200000000001E-5</v>
      </c>
      <c r="I2973" s="8">
        <v>1.9218299999999999E-5</v>
      </c>
      <c r="J2973" s="8">
        <v>1.9552299999999999E-5</v>
      </c>
      <c r="K2973" s="8">
        <v>1.98634E-5</v>
      </c>
      <c r="L2973" s="8">
        <v>2.0158900000000001E-5</v>
      </c>
      <c r="M2973" s="8">
        <v>2.0438400000000001E-5</v>
      </c>
      <c r="N2973" s="8">
        <v>2.0767900000000002E-5</v>
      </c>
      <c r="O2973">
        <v>0</v>
      </c>
      <c r="P2973">
        <v>0</v>
      </c>
      <c r="Q2973">
        <v>0</v>
      </c>
      <c r="R2973" t="s">
        <v>243</v>
      </c>
    </row>
    <row r="2974" spans="1:18" x14ac:dyDescent="0.3">
      <c r="A2974" t="s">
        <v>259</v>
      </c>
      <c r="B2974" t="s">
        <v>10</v>
      </c>
      <c r="C2974" t="s">
        <v>401</v>
      </c>
      <c r="D2974" s="8">
        <v>2.9111E-5</v>
      </c>
      <c r="E2974" s="8">
        <v>9.0809099999999998E-5</v>
      </c>
      <c r="F2974" s="8">
        <v>2.9727299999999999E-5</v>
      </c>
      <c r="G2974" s="8">
        <v>1.49449E-5</v>
      </c>
      <c r="H2974" s="8">
        <v>1.5523100000000001E-5</v>
      </c>
      <c r="I2974" s="8">
        <v>1.60946E-5</v>
      </c>
      <c r="J2974" s="8">
        <v>1.63744E-5</v>
      </c>
      <c r="K2974" s="8">
        <v>1.6633000000000002E-5</v>
      </c>
      <c r="L2974" s="8">
        <v>1.6863399999999998E-5</v>
      </c>
      <c r="M2974" s="8">
        <v>1.70975E-5</v>
      </c>
      <c r="N2974" s="8">
        <v>1.7371300000000001E-5</v>
      </c>
      <c r="O2974">
        <v>0</v>
      </c>
      <c r="P2974">
        <v>0</v>
      </c>
      <c r="Q2974">
        <v>0</v>
      </c>
      <c r="R2974" t="s">
        <v>243</v>
      </c>
    </row>
    <row r="2975" spans="1:18" x14ac:dyDescent="0.3">
      <c r="A2975" t="s">
        <v>259</v>
      </c>
      <c r="B2975" t="s">
        <v>10</v>
      </c>
      <c r="C2975" t="s">
        <v>402</v>
      </c>
      <c r="D2975" s="8">
        <v>2.3909000000000001E-5</v>
      </c>
      <c r="E2975" s="8">
        <v>7.6138399999999996E-5</v>
      </c>
      <c r="F2975" s="8">
        <v>2.5056299999999999E-5</v>
      </c>
      <c r="G2975" s="8">
        <v>1.26017E-5</v>
      </c>
      <c r="H2975" s="8">
        <v>1.31009E-5</v>
      </c>
      <c r="I2975" s="8">
        <v>1.35912E-5</v>
      </c>
      <c r="J2975" s="8">
        <v>1.3828E-5</v>
      </c>
      <c r="K2975" s="8">
        <v>1.40265E-5</v>
      </c>
      <c r="L2975" s="8">
        <v>1.4207599999999999E-5</v>
      </c>
      <c r="M2975" s="8">
        <v>1.44179E-5</v>
      </c>
      <c r="N2975" s="8">
        <v>1.4647199999999999E-5</v>
      </c>
      <c r="O2975">
        <v>0</v>
      </c>
      <c r="P2975">
        <v>0</v>
      </c>
      <c r="Q2975">
        <v>0</v>
      </c>
      <c r="R2975" t="s">
        <v>243</v>
      </c>
    </row>
    <row r="2976" spans="1:18" x14ac:dyDescent="0.3">
      <c r="A2976" t="s">
        <v>259</v>
      </c>
      <c r="B2976" t="s">
        <v>10</v>
      </c>
      <c r="C2976" t="s">
        <v>403</v>
      </c>
      <c r="D2976" s="8">
        <v>1.90288E-5</v>
      </c>
      <c r="E2976" s="8">
        <v>6.1501599999999994E-5</v>
      </c>
      <c r="F2976" s="8">
        <v>2.0595399999999999E-5</v>
      </c>
      <c r="G2976" s="8">
        <v>1.0276600000000001E-5</v>
      </c>
      <c r="H2976" s="8">
        <v>1.06986E-5</v>
      </c>
      <c r="I2976" s="8">
        <v>1.10713E-5</v>
      </c>
      <c r="J2976" s="8">
        <v>1.12459E-5</v>
      </c>
      <c r="K2976" s="8">
        <v>1.1416100000000001E-5</v>
      </c>
      <c r="L2976" s="8">
        <v>1.15774E-5</v>
      </c>
      <c r="M2976" s="8">
        <v>1.1747699999999999E-5</v>
      </c>
      <c r="N2976" s="8">
        <v>1.1933099999999999E-5</v>
      </c>
      <c r="O2976">
        <v>0</v>
      </c>
      <c r="P2976">
        <v>0</v>
      </c>
      <c r="Q2976">
        <v>0</v>
      </c>
      <c r="R2976" t="s">
        <v>243</v>
      </c>
    </row>
    <row r="2977" spans="1:18" x14ac:dyDescent="0.3">
      <c r="A2977" t="s">
        <v>259</v>
      </c>
      <c r="B2977" t="s">
        <v>10</v>
      </c>
      <c r="C2977" t="s">
        <v>404</v>
      </c>
      <c r="D2977" s="8">
        <v>1.39731E-5</v>
      </c>
      <c r="E2977" s="8">
        <v>4.6927500000000001E-5</v>
      </c>
      <c r="F2977" s="8">
        <v>1.5937400000000001E-5</v>
      </c>
      <c r="G2977" s="8">
        <v>7.9179200000000006E-6</v>
      </c>
      <c r="H2977" s="8">
        <v>8.2222900000000002E-6</v>
      </c>
      <c r="I2977" s="8">
        <v>8.5218800000000008E-6</v>
      </c>
      <c r="J2977" s="8">
        <v>8.6685100000000008E-6</v>
      </c>
      <c r="K2977" s="8">
        <v>8.8012699999999995E-6</v>
      </c>
      <c r="L2977" s="8">
        <v>8.9230900000000003E-6</v>
      </c>
      <c r="M2977" s="8">
        <v>9.0510399999999997E-6</v>
      </c>
      <c r="N2977" s="8">
        <v>9.1911000000000008E-6</v>
      </c>
      <c r="O2977">
        <v>0</v>
      </c>
      <c r="P2977">
        <v>0</v>
      </c>
      <c r="Q2977">
        <v>0</v>
      </c>
      <c r="R2977" t="s">
        <v>243</v>
      </c>
    </row>
    <row r="2978" spans="1:18" x14ac:dyDescent="0.3">
      <c r="A2978" t="s">
        <v>259</v>
      </c>
      <c r="B2978" t="s">
        <v>10</v>
      </c>
      <c r="C2978" t="s">
        <v>405</v>
      </c>
      <c r="D2978">
        <v>5.0027794999999899E-3</v>
      </c>
      <c r="E2978">
        <v>5.5211499000000002E-3</v>
      </c>
      <c r="F2978">
        <v>5.4766418000000002E-3</v>
      </c>
      <c r="G2978">
        <v>4.3873653999999896E-3</v>
      </c>
      <c r="H2978">
        <v>4.1347951999999898E-3</v>
      </c>
      <c r="I2978">
        <v>4.5306142219999996E-3</v>
      </c>
      <c r="J2978">
        <v>4.7285831799999999E-3</v>
      </c>
      <c r="K2978">
        <v>4.89159606999999E-3</v>
      </c>
      <c r="L2978">
        <v>5.0328997000000002E-3</v>
      </c>
      <c r="M2978">
        <v>5.2041494799999997E-3</v>
      </c>
      <c r="N2978">
        <v>5.4010754000000001E-3</v>
      </c>
      <c r="O2978">
        <v>0</v>
      </c>
      <c r="P2978">
        <v>0</v>
      </c>
      <c r="Q2978">
        <v>0</v>
      </c>
      <c r="R2978" t="s">
        <v>243</v>
      </c>
    </row>
    <row r="2979" spans="1:18" x14ac:dyDescent="0.3">
      <c r="A2979" t="s">
        <v>259</v>
      </c>
      <c r="B2979" t="s">
        <v>10</v>
      </c>
      <c r="C2979" t="s">
        <v>406</v>
      </c>
      <c r="D2979">
        <v>2.0953507E-2</v>
      </c>
      <c r="E2979">
        <v>1.9450330999999901E-2</v>
      </c>
      <c r="F2979">
        <v>1.92912139999999E-2</v>
      </c>
      <c r="G2979">
        <v>1.6131275E-2</v>
      </c>
      <c r="H2979">
        <v>1.46874704999999E-2</v>
      </c>
      <c r="I2979">
        <v>1.5082619487E-2</v>
      </c>
      <c r="J2979">
        <v>1.54932406999999E-2</v>
      </c>
      <c r="K2979">
        <v>1.5401643099999999E-2</v>
      </c>
      <c r="L2979">
        <v>1.53173565E-2</v>
      </c>
      <c r="M2979">
        <v>1.52822224E-2</v>
      </c>
      <c r="N2979">
        <v>1.53046669E-2</v>
      </c>
      <c r="O2979">
        <v>0</v>
      </c>
      <c r="P2979">
        <v>0</v>
      </c>
      <c r="Q2979">
        <v>0</v>
      </c>
      <c r="R2979" t="s">
        <v>243</v>
      </c>
    </row>
    <row r="2980" spans="1:18" x14ac:dyDescent="0.3">
      <c r="A2980" t="s">
        <v>259</v>
      </c>
      <c r="B2980" t="s">
        <v>10</v>
      </c>
      <c r="C2980" t="s">
        <v>407</v>
      </c>
      <c r="D2980">
        <v>7.8389685999999993E-3</v>
      </c>
      <c r="E2980">
        <v>7.9890724E-3</v>
      </c>
      <c r="F2980">
        <v>7.7983645000000001E-3</v>
      </c>
      <c r="G2980">
        <v>6.3408928999999998E-3</v>
      </c>
      <c r="H2980">
        <v>5.8305869000000003E-3</v>
      </c>
      <c r="I2980">
        <v>6.36148327499999E-3</v>
      </c>
      <c r="J2980">
        <v>6.6434415800000002E-3</v>
      </c>
      <c r="K2980">
        <v>6.9063425899999996E-3</v>
      </c>
      <c r="L2980">
        <v>7.1775160699999998E-3</v>
      </c>
      <c r="M2980">
        <v>7.4447745999999997E-3</v>
      </c>
      <c r="N2980">
        <v>7.6807174000000002E-3</v>
      </c>
      <c r="O2980">
        <v>0</v>
      </c>
      <c r="P2980">
        <v>0</v>
      </c>
      <c r="Q2980">
        <v>0</v>
      </c>
      <c r="R2980" t="s">
        <v>243</v>
      </c>
    </row>
    <row r="2981" spans="1:18" x14ac:dyDescent="0.3">
      <c r="A2981" t="s">
        <v>259</v>
      </c>
      <c r="B2981" t="s">
        <v>10</v>
      </c>
      <c r="C2981" t="s">
        <v>408</v>
      </c>
      <c r="D2981">
        <v>9.4459071999999904E-3</v>
      </c>
      <c r="E2981">
        <v>9.8202314000000006E-3</v>
      </c>
      <c r="F2981">
        <v>9.4258668999999996E-3</v>
      </c>
      <c r="G2981">
        <v>7.5962108000000002E-3</v>
      </c>
      <c r="H2981">
        <v>7.1061469999999897E-3</v>
      </c>
      <c r="I2981">
        <v>7.6438817159999997E-3</v>
      </c>
      <c r="J2981">
        <v>7.9063686199999997E-3</v>
      </c>
      <c r="K2981">
        <v>8.1262230900000006E-3</v>
      </c>
      <c r="L2981">
        <v>8.3162440000000004E-3</v>
      </c>
      <c r="M2981">
        <v>8.5909569000000002E-3</v>
      </c>
      <c r="N2981">
        <v>8.8379263999999996E-3</v>
      </c>
      <c r="O2981">
        <v>0</v>
      </c>
      <c r="P2981">
        <v>0</v>
      </c>
      <c r="Q2981">
        <v>0</v>
      </c>
      <c r="R2981" t="s">
        <v>243</v>
      </c>
    </row>
    <row r="2982" spans="1:18" x14ac:dyDescent="0.3">
      <c r="A2982" t="s">
        <v>259</v>
      </c>
      <c r="B2982" t="s">
        <v>10</v>
      </c>
      <c r="C2982" t="s">
        <v>409</v>
      </c>
      <c r="D2982">
        <v>1.07606403999999E-2</v>
      </c>
      <c r="E2982">
        <v>1.10321504999999E-2</v>
      </c>
      <c r="F2982">
        <v>1.0648445499999999E-2</v>
      </c>
      <c r="G2982">
        <v>8.6382189999999904E-3</v>
      </c>
      <c r="H2982">
        <v>8.0068058000000008E-3</v>
      </c>
      <c r="I2982">
        <v>8.5934820319999994E-3</v>
      </c>
      <c r="J2982">
        <v>8.8756296400000004E-3</v>
      </c>
      <c r="K2982">
        <v>9.0955398599999997E-3</v>
      </c>
      <c r="L2982">
        <v>9.2756534000000002E-3</v>
      </c>
      <c r="M2982">
        <v>9.4818879999999904E-3</v>
      </c>
      <c r="N2982">
        <v>9.7216091999999896E-3</v>
      </c>
      <c r="O2982">
        <v>0</v>
      </c>
      <c r="P2982">
        <v>0</v>
      </c>
      <c r="Q2982">
        <v>0</v>
      </c>
      <c r="R2982" t="s">
        <v>243</v>
      </c>
    </row>
    <row r="2983" spans="1:18" x14ac:dyDescent="0.3">
      <c r="A2983" t="s">
        <v>259</v>
      </c>
      <c r="B2983" t="s">
        <v>10</v>
      </c>
      <c r="C2983" t="s">
        <v>410</v>
      </c>
      <c r="D2983">
        <v>1.1954079899999999E-2</v>
      </c>
      <c r="E2983">
        <v>1.20920936999999E-2</v>
      </c>
      <c r="F2983">
        <v>1.1728224799999999E-2</v>
      </c>
      <c r="G2983">
        <v>9.5386754000000001E-3</v>
      </c>
      <c r="H2983">
        <v>8.8524138999999998E-3</v>
      </c>
      <c r="I2983">
        <v>9.4223744619999997E-3</v>
      </c>
      <c r="J2983">
        <v>9.7176163299999996E-3</v>
      </c>
      <c r="K2983">
        <v>9.9298662599999893E-3</v>
      </c>
      <c r="L2983">
        <v>1.0101002499999999E-2</v>
      </c>
      <c r="M2983">
        <v>1.02562131E-2</v>
      </c>
      <c r="N2983">
        <v>1.04853789E-2</v>
      </c>
      <c r="O2983">
        <v>0</v>
      </c>
      <c r="P2983">
        <v>0</v>
      </c>
      <c r="Q2983">
        <v>0</v>
      </c>
      <c r="R2983" t="s">
        <v>243</v>
      </c>
    </row>
    <row r="2984" spans="1:18" x14ac:dyDescent="0.3">
      <c r="A2984" t="s">
        <v>259</v>
      </c>
      <c r="B2984" t="s">
        <v>10</v>
      </c>
      <c r="C2984" t="s">
        <v>411</v>
      </c>
      <c r="D2984">
        <v>1.3144316E-2</v>
      </c>
      <c r="E2984">
        <v>1.3065307E-2</v>
      </c>
      <c r="F2984">
        <v>1.27973917999999E-2</v>
      </c>
      <c r="G2984">
        <v>1.04401111E-2</v>
      </c>
      <c r="H2984">
        <v>9.6812333999999993E-3</v>
      </c>
      <c r="I2984">
        <v>1.0222379574999999E-2</v>
      </c>
      <c r="J2984">
        <v>1.0535206869999999E-2</v>
      </c>
      <c r="K2984">
        <v>1.07297777E-2</v>
      </c>
      <c r="L2984">
        <v>1.08513282E-2</v>
      </c>
      <c r="M2984">
        <v>1.09952544E-2</v>
      </c>
      <c r="N2984">
        <v>1.1210191499999999E-2</v>
      </c>
      <c r="O2984">
        <v>0</v>
      </c>
      <c r="P2984">
        <v>0</v>
      </c>
      <c r="Q2984">
        <v>0</v>
      </c>
      <c r="R2984" t="s">
        <v>243</v>
      </c>
    </row>
    <row r="2985" spans="1:18" x14ac:dyDescent="0.3">
      <c r="A2985" t="s">
        <v>259</v>
      </c>
      <c r="B2985" t="s">
        <v>10</v>
      </c>
      <c r="C2985" t="s">
        <v>412</v>
      </c>
      <c r="D2985">
        <v>1.4404175E-2</v>
      </c>
      <c r="E2985">
        <v>1.4071930999999999E-2</v>
      </c>
      <c r="F2985">
        <v>1.3823143E-2</v>
      </c>
      <c r="G2985">
        <v>1.13117154E-2</v>
      </c>
      <c r="H2985">
        <v>1.04918874E-2</v>
      </c>
      <c r="I2985">
        <v>1.1063004899000001E-2</v>
      </c>
      <c r="J2985">
        <v>1.1397149119999899E-2</v>
      </c>
      <c r="K2985">
        <v>1.1516188700000001E-2</v>
      </c>
      <c r="L2985">
        <v>1.15855092E-2</v>
      </c>
      <c r="M2985">
        <v>1.1744976400000001E-2</v>
      </c>
      <c r="N2985">
        <v>1.1939643E-2</v>
      </c>
      <c r="O2985">
        <v>0</v>
      </c>
      <c r="P2985">
        <v>0</v>
      </c>
      <c r="Q2985">
        <v>0</v>
      </c>
      <c r="R2985" t="s">
        <v>243</v>
      </c>
    </row>
    <row r="2986" spans="1:18" x14ac:dyDescent="0.3">
      <c r="A2986" t="s">
        <v>259</v>
      </c>
      <c r="B2986" t="s">
        <v>10</v>
      </c>
      <c r="C2986" t="s">
        <v>413</v>
      </c>
      <c r="D2986">
        <v>1.5819548999999999E-2</v>
      </c>
      <c r="E2986">
        <v>1.5239753E-2</v>
      </c>
      <c r="F2986">
        <v>1.49699609999999E-2</v>
      </c>
      <c r="G2986">
        <v>1.2334750199999999E-2</v>
      </c>
      <c r="H2986">
        <v>1.14509499E-2</v>
      </c>
      <c r="I2986">
        <v>1.1929466912E-2</v>
      </c>
      <c r="J2986">
        <v>1.2220149919999999E-2</v>
      </c>
      <c r="K2986">
        <v>1.2338053700000001E-2</v>
      </c>
      <c r="L2986">
        <v>1.2425725800000001E-2</v>
      </c>
      <c r="M2986">
        <v>1.25546485E-2</v>
      </c>
      <c r="N2986">
        <v>1.27200675E-2</v>
      </c>
      <c r="O2986">
        <v>0</v>
      </c>
      <c r="P2986">
        <v>0</v>
      </c>
      <c r="Q2986">
        <v>0</v>
      </c>
      <c r="R2986" t="s">
        <v>243</v>
      </c>
    </row>
    <row r="2987" spans="1:18" x14ac:dyDescent="0.3">
      <c r="A2987" t="s">
        <v>259</v>
      </c>
      <c r="B2987" t="s">
        <v>10</v>
      </c>
      <c r="C2987" t="s">
        <v>414</v>
      </c>
      <c r="D2987">
        <v>1.7583384000000001E-2</v>
      </c>
      <c r="E2987">
        <v>1.65940929999999E-2</v>
      </c>
      <c r="F2987">
        <v>1.6380410000000001E-2</v>
      </c>
      <c r="G2987">
        <v>1.3575499899999999E-2</v>
      </c>
      <c r="H2987">
        <v>1.24535515E-2</v>
      </c>
      <c r="I2987">
        <v>1.2971229212E-2</v>
      </c>
      <c r="J2987">
        <v>1.333926035E-2</v>
      </c>
      <c r="K2987">
        <v>1.34077486E-2</v>
      </c>
      <c r="L2987">
        <v>1.34408137E-2</v>
      </c>
      <c r="M2987">
        <v>1.35142253E-2</v>
      </c>
      <c r="N2987">
        <v>1.36314938E-2</v>
      </c>
      <c r="O2987">
        <v>0</v>
      </c>
      <c r="P2987">
        <v>0</v>
      </c>
      <c r="Q2987">
        <v>0</v>
      </c>
      <c r="R2987" t="s">
        <v>243</v>
      </c>
    </row>
    <row r="2988" spans="1:18" x14ac:dyDescent="0.3">
      <c r="A2988" t="s">
        <v>259</v>
      </c>
      <c r="B2988" t="s">
        <v>430</v>
      </c>
      <c r="C2988" t="s">
        <v>261</v>
      </c>
      <c r="D2988">
        <v>3.9276699989999999E-3</v>
      </c>
      <c r="E2988">
        <v>2.1378600000000001E-2</v>
      </c>
      <c r="F2988">
        <v>3.0598899999999998E-2</v>
      </c>
      <c r="G2988">
        <v>4.0196199000000002E-2</v>
      </c>
      <c r="H2988">
        <v>4.5388342999999998E-2</v>
      </c>
      <c r="I2988">
        <v>5.8565116E-2</v>
      </c>
      <c r="J2988">
        <v>6.6368636999999994E-2</v>
      </c>
      <c r="K2988">
        <v>7.2810705999999906E-2</v>
      </c>
      <c r="L2988">
        <v>7.6463501000000003E-2</v>
      </c>
      <c r="M2988">
        <v>7.8464129999999896E-2</v>
      </c>
      <c r="N2988">
        <v>7.9082761400000007E-2</v>
      </c>
      <c r="O2988">
        <v>0</v>
      </c>
      <c r="P2988">
        <v>0</v>
      </c>
      <c r="Q2988">
        <v>0</v>
      </c>
      <c r="R2988" t="s">
        <v>243</v>
      </c>
    </row>
    <row r="2989" spans="1:18" x14ac:dyDescent="0.3">
      <c r="A2989" t="s">
        <v>259</v>
      </c>
      <c r="B2989" t="s">
        <v>430</v>
      </c>
      <c r="C2989" t="s">
        <v>262</v>
      </c>
      <c r="D2989">
        <v>6.2963072000000002E-3</v>
      </c>
      <c r="E2989">
        <v>4.2386259999999898E-2</v>
      </c>
      <c r="F2989">
        <v>0.113145</v>
      </c>
      <c r="G2989">
        <v>0.13275909</v>
      </c>
      <c r="H2989">
        <v>0.13271515152999999</v>
      </c>
      <c r="I2989">
        <v>0.158866461489999</v>
      </c>
      <c r="J2989">
        <v>0.17319416474999999</v>
      </c>
      <c r="K2989">
        <v>0.17403217680999999</v>
      </c>
      <c r="L2989">
        <v>0.177371840349999</v>
      </c>
      <c r="M2989">
        <v>0.18099187529999899</v>
      </c>
      <c r="N2989">
        <v>0.18302003888000001</v>
      </c>
      <c r="O2989">
        <v>0</v>
      </c>
      <c r="P2989">
        <v>0</v>
      </c>
      <c r="Q2989">
        <v>0</v>
      </c>
      <c r="R2989" t="s">
        <v>243</v>
      </c>
    </row>
    <row r="2990" spans="1:18" x14ac:dyDescent="0.3">
      <c r="A2990" t="s">
        <v>259</v>
      </c>
      <c r="B2990" t="s">
        <v>430</v>
      </c>
      <c r="C2990" t="s">
        <v>263</v>
      </c>
      <c r="D2990">
        <v>2.0020152199999999E-2</v>
      </c>
      <c r="E2990">
        <v>0.1311619</v>
      </c>
      <c r="F2990">
        <v>0.2415475</v>
      </c>
      <c r="G2990">
        <v>0.31850489999999998</v>
      </c>
      <c r="H2990">
        <v>0.3585332</v>
      </c>
      <c r="I2990">
        <v>0.45801720959999997</v>
      </c>
      <c r="J2990">
        <v>0.53074764799999996</v>
      </c>
      <c r="K2990">
        <v>0.59454187000000003</v>
      </c>
      <c r="L2990">
        <v>0.64371766999999902</v>
      </c>
      <c r="M2990">
        <v>0.68607282000000003</v>
      </c>
      <c r="N2990">
        <v>0.71942256999999998</v>
      </c>
      <c r="O2990">
        <v>0</v>
      </c>
      <c r="P2990">
        <v>0</v>
      </c>
      <c r="Q2990">
        <v>0</v>
      </c>
      <c r="R2990" t="s">
        <v>243</v>
      </c>
    </row>
    <row r="2991" spans="1:18" x14ac:dyDescent="0.3">
      <c r="A2991" t="s">
        <v>259</v>
      </c>
      <c r="B2991" t="s">
        <v>430</v>
      </c>
      <c r="C2991" t="s">
        <v>324</v>
      </c>
      <c r="D2991">
        <v>1.50493E-2</v>
      </c>
      <c r="E2991">
        <v>1.25682E-2</v>
      </c>
      <c r="F2991">
        <v>1.8354100000000002E-2</v>
      </c>
      <c r="G2991">
        <v>9.9260500000000005E-3</v>
      </c>
      <c r="H2991">
        <v>1.07535399999999E-2</v>
      </c>
      <c r="I2991">
        <v>1.1991170000000001E-2</v>
      </c>
      <c r="J2991">
        <v>1.2826229999999999E-2</v>
      </c>
      <c r="K2991">
        <v>1.355747E-2</v>
      </c>
      <c r="L2991">
        <v>1.410376E-2</v>
      </c>
      <c r="M2991">
        <v>1.451911E-2</v>
      </c>
      <c r="N2991">
        <v>1.481061E-2</v>
      </c>
      <c r="O2991">
        <v>0</v>
      </c>
      <c r="P2991">
        <v>0</v>
      </c>
      <c r="Q2991">
        <v>0</v>
      </c>
      <c r="R2991" t="s">
        <v>243</v>
      </c>
    </row>
    <row r="2992" spans="1:18" x14ac:dyDescent="0.3">
      <c r="A2992" t="s">
        <v>259</v>
      </c>
      <c r="B2992" t="s">
        <v>430</v>
      </c>
      <c r="C2992" t="s">
        <v>325</v>
      </c>
      <c r="D2992" s="8">
        <v>2.8338400000000002E-4</v>
      </c>
      <c r="E2992" s="8">
        <v>1.7305399999999999E-4</v>
      </c>
      <c r="F2992" s="8">
        <v>3.8292000000000003E-4</v>
      </c>
      <c r="G2992" s="8">
        <v>1.72187E-4</v>
      </c>
      <c r="H2992" s="8">
        <v>1.8565150000000001E-4</v>
      </c>
      <c r="I2992" s="8">
        <v>2.0053129999999999E-4</v>
      </c>
      <c r="J2992" s="8">
        <v>2.1059489999999999E-4</v>
      </c>
      <c r="K2992" s="8">
        <v>2.1940039999999999E-4</v>
      </c>
      <c r="L2992" s="8">
        <v>2.2626649999999901E-4</v>
      </c>
      <c r="M2992" s="8">
        <v>2.3135239999999999E-4</v>
      </c>
      <c r="N2992" s="8">
        <v>2.3476660000000001E-4</v>
      </c>
      <c r="O2992">
        <v>0</v>
      </c>
      <c r="P2992">
        <v>0</v>
      </c>
      <c r="Q2992">
        <v>0</v>
      </c>
      <c r="R2992" t="s">
        <v>243</v>
      </c>
    </row>
    <row r="2993" spans="1:18" x14ac:dyDescent="0.3">
      <c r="A2993" t="s">
        <v>259</v>
      </c>
      <c r="B2993" t="s">
        <v>430</v>
      </c>
      <c r="C2993" t="s">
        <v>326</v>
      </c>
      <c r="D2993">
        <v>7.5609300000000004E-3</v>
      </c>
      <c r="E2993">
        <v>5.5653200000000003E-3</v>
      </c>
      <c r="F2993">
        <v>8.22495E-3</v>
      </c>
      <c r="G2993">
        <v>4.99812E-3</v>
      </c>
      <c r="H2993">
        <v>5.4717100000000003E-3</v>
      </c>
      <c r="I2993">
        <v>6.0587000000000002E-3</v>
      </c>
      <c r="J2993">
        <v>6.4516970000000002E-3</v>
      </c>
      <c r="K2993">
        <v>6.7975850000000001E-3</v>
      </c>
      <c r="L2993">
        <v>7.0599499999999997E-3</v>
      </c>
      <c r="M2993">
        <v>7.2591000000000001E-3</v>
      </c>
      <c r="N2993">
        <v>7.3986E-3</v>
      </c>
      <c r="O2993">
        <v>0</v>
      </c>
      <c r="P2993">
        <v>0</v>
      </c>
      <c r="Q2993">
        <v>0</v>
      </c>
      <c r="R2993" t="s">
        <v>243</v>
      </c>
    </row>
    <row r="2994" spans="1:18" x14ac:dyDescent="0.3">
      <c r="A2994" t="s">
        <v>259</v>
      </c>
      <c r="B2994" t="s">
        <v>430</v>
      </c>
      <c r="C2994" t="s">
        <v>327</v>
      </c>
      <c r="D2994">
        <v>5.2917900000000002E-3</v>
      </c>
      <c r="E2994">
        <v>3.6376400000000001E-3</v>
      </c>
      <c r="F2994">
        <v>5.5185599999999996E-3</v>
      </c>
      <c r="G2994">
        <v>3.4268800000000002E-3</v>
      </c>
      <c r="H2994">
        <v>3.7421500000000001E-3</v>
      </c>
      <c r="I2994">
        <v>4.1317899999999998E-3</v>
      </c>
      <c r="J2994">
        <v>4.39652599999999E-3</v>
      </c>
      <c r="K2994">
        <v>4.6276219999999996E-3</v>
      </c>
      <c r="L2994">
        <v>4.8027429999999999E-3</v>
      </c>
      <c r="M2994">
        <v>4.93576E-3</v>
      </c>
      <c r="N2994">
        <v>5.0288190000000003E-3</v>
      </c>
      <c r="O2994">
        <v>0</v>
      </c>
      <c r="P2994">
        <v>0</v>
      </c>
      <c r="Q2994">
        <v>0</v>
      </c>
      <c r="R2994" t="s">
        <v>243</v>
      </c>
    </row>
    <row r="2995" spans="1:18" x14ac:dyDescent="0.3">
      <c r="A2995" t="s">
        <v>259</v>
      </c>
      <c r="B2995" t="s">
        <v>430</v>
      </c>
      <c r="C2995" t="s">
        <v>328</v>
      </c>
      <c r="D2995">
        <v>3.9459100000000004E-3</v>
      </c>
      <c r="E2995">
        <v>2.5896500000000002E-3</v>
      </c>
      <c r="F2995">
        <v>4.0514799999999997E-3</v>
      </c>
      <c r="G2995">
        <v>2.5361099999999998E-3</v>
      </c>
      <c r="H2995">
        <v>2.7648899999999999E-3</v>
      </c>
      <c r="I2995">
        <v>3.0454689999999999E-3</v>
      </c>
      <c r="J2995">
        <v>3.2335150000000002E-3</v>
      </c>
      <c r="K2995">
        <v>3.3992149999999902E-3</v>
      </c>
      <c r="L2995">
        <v>3.52662299999999E-3</v>
      </c>
      <c r="M2995">
        <v>3.622723E-3</v>
      </c>
      <c r="N2995">
        <v>3.689178E-3</v>
      </c>
      <c r="O2995">
        <v>0</v>
      </c>
      <c r="P2995">
        <v>0</v>
      </c>
      <c r="Q2995">
        <v>0</v>
      </c>
      <c r="R2995" t="s">
        <v>243</v>
      </c>
    </row>
    <row r="2996" spans="1:18" x14ac:dyDescent="0.3">
      <c r="A2996" t="s">
        <v>259</v>
      </c>
      <c r="B2996" t="s">
        <v>430</v>
      </c>
      <c r="C2996" t="s">
        <v>329</v>
      </c>
      <c r="D2996">
        <v>3.04601E-3</v>
      </c>
      <c r="E2996">
        <v>1.90489E-3</v>
      </c>
      <c r="F2996">
        <v>3.1040400000000002E-3</v>
      </c>
      <c r="G2996">
        <v>1.92578E-3</v>
      </c>
      <c r="H2996">
        <v>2.094453E-3</v>
      </c>
      <c r="I2996">
        <v>2.3008579999999998E-3</v>
      </c>
      <c r="J2996">
        <v>2.440495E-3</v>
      </c>
      <c r="K2996">
        <v>2.5623999999999998E-3</v>
      </c>
      <c r="L2996">
        <v>2.6566279999999999E-3</v>
      </c>
      <c r="M2996">
        <v>2.7278519999999998E-3</v>
      </c>
      <c r="N2996">
        <v>2.777252E-3</v>
      </c>
      <c r="O2996">
        <v>0</v>
      </c>
      <c r="P2996">
        <v>0</v>
      </c>
      <c r="Q2996">
        <v>0</v>
      </c>
      <c r="R2996" t="s">
        <v>243</v>
      </c>
    </row>
    <row r="2997" spans="1:18" x14ac:dyDescent="0.3">
      <c r="A2997" t="s">
        <v>259</v>
      </c>
      <c r="B2997" t="s">
        <v>430</v>
      </c>
      <c r="C2997" t="s">
        <v>330</v>
      </c>
      <c r="D2997">
        <v>2.3574799999999999E-3</v>
      </c>
      <c r="E2997">
        <v>1.41471E-3</v>
      </c>
      <c r="F2997">
        <v>2.4193399999999999E-3</v>
      </c>
      <c r="G2997">
        <v>1.4699100000000001E-3</v>
      </c>
      <c r="H2997">
        <v>1.5949390000000001E-3</v>
      </c>
      <c r="I2997">
        <v>1.7484379999999999E-3</v>
      </c>
      <c r="J2997">
        <v>1.8520989999999901E-3</v>
      </c>
      <c r="K2997">
        <v>1.9427349999999999E-3</v>
      </c>
      <c r="L2997">
        <v>2.0123789999999999E-3</v>
      </c>
      <c r="M2997">
        <v>2.0649319999999998E-3</v>
      </c>
      <c r="N2997">
        <v>2.1017779999999999E-3</v>
      </c>
      <c r="O2997">
        <v>0</v>
      </c>
      <c r="P2997">
        <v>0</v>
      </c>
      <c r="Q2997">
        <v>0</v>
      </c>
      <c r="R2997" t="s">
        <v>243</v>
      </c>
    </row>
    <row r="2998" spans="1:18" x14ac:dyDescent="0.3">
      <c r="A2998" t="s">
        <v>259</v>
      </c>
      <c r="B2998" t="s">
        <v>430</v>
      </c>
      <c r="C2998" t="s">
        <v>331</v>
      </c>
      <c r="D2998">
        <v>1.7428000000000001E-3</v>
      </c>
      <c r="E2998">
        <v>1.0590599999999999E-3</v>
      </c>
      <c r="F2998">
        <v>1.87098E-3</v>
      </c>
      <c r="G2998">
        <v>1.11041E-3</v>
      </c>
      <c r="H2998">
        <v>1.203733E-3</v>
      </c>
      <c r="I2998">
        <v>1.316769E-3</v>
      </c>
      <c r="J2998">
        <v>1.3922330000000001E-3</v>
      </c>
      <c r="K2998">
        <v>1.4587109999999999E-3</v>
      </c>
      <c r="L2998">
        <v>1.5102189999999999E-3</v>
      </c>
      <c r="M2998">
        <v>1.549115E-3</v>
      </c>
      <c r="N2998">
        <v>1.5759770000000001E-3</v>
      </c>
      <c r="O2998">
        <v>0</v>
      </c>
      <c r="P2998">
        <v>0</v>
      </c>
      <c r="Q2998">
        <v>0</v>
      </c>
      <c r="R2998" t="s">
        <v>243</v>
      </c>
    </row>
    <row r="2999" spans="1:18" x14ac:dyDescent="0.3">
      <c r="A2999" t="s">
        <v>259</v>
      </c>
      <c r="B2999" t="s">
        <v>430</v>
      </c>
      <c r="C2999" t="s">
        <v>332</v>
      </c>
      <c r="D2999">
        <v>1.27107E-3</v>
      </c>
      <c r="E2999" s="8">
        <v>7.6029099999999996E-4</v>
      </c>
      <c r="F2999">
        <v>1.36108E-3</v>
      </c>
      <c r="G2999" s="8">
        <v>7.8712599999999997E-4</v>
      </c>
      <c r="H2999" s="8">
        <v>8.4991199999999998E-4</v>
      </c>
      <c r="I2999" s="8">
        <v>9.2673500000000004E-4</v>
      </c>
      <c r="J2999" s="8">
        <v>9.7891999999999901E-4</v>
      </c>
      <c r="K2999">
        <v>1.024748E-3</v>
      </c>
      <c r="L2999">
        <v>1.0601740000000001E-3</v>
      </c>
      <c r="M2999">
        <v>1.086655E-3</v>
      </c>
      <c r="N2999">
        <v>1.1048729999999999E-3</v>
      </c>
      <c r="O2999">
        <v>0</v>
      </c>
      <c r="P2999">
        <v>0</v>
      </c>
      <c r="Q2999">
        <v>0</v>
      </c>
      <c r="R2999" t="s">
        <v>243</v>
      </c>
    </row>
    <row r="3000" spans="1:18" x14ac:dyDescent="0.3">
      <c r="A3000" t="s">
        <v>259</v>
      </c>
      <c r="B3000" t="s">
        <v>430</v>
      </c>
      <c r="C3000" t="s">
        <v>333</v>
      </c>
      <c r="D3000" s="8">
        <v>8.0477800000000003E-4</v>
      </c>
      <c r="E3000" s="8">
        <v>5.0819000000000005E-4</v>
      </c>
      <c r="F3000" s="8">
        <v>9.3564799999999997E-4</v>
      </c>
      <c r="G3000" s="8">
        <v>5.1736999999999996E-4</v>
      </c>
      <c r="H3000" s="8">
        <v>5.5875100000000002E-4</v>
      </c>
      <c r="I3000" s="8">
        <v>6.0750699999999997E-4</v>
      </c>
      <c r="J3000" s="8">
        <v>6.4022869999999998E-4</v>
      </c>
      <c r="K3000" s="8">
        <v>6.6892319999999896E-4</v>
      </c>
      <c r="L3000" s="8">
        <v>6.9121700000000005E-4</v>
      </c>
      <c r="M3000" s="8">
        <v>7.0796900000000002E-4</v>
      </c>
      <c r="N3000" s="8">
        <v>7.1947000000000005E-4</v>
      </c>
      <c r="O3000">
        <v>0</v>
      </c>
      <c r="P3000">
        <v>0</v>
      </c>
      <c r="Q3000">
        <v>0</v>
      </c>
      <c r="R3000" t="s">
        <v>243</v>
      </c>
    </row>
    <row r="3001" spans="1:18" x14ac:dyDescent="0.3">
      <c r="A3001" t="s">
        <v>259</v>
      </c>
      <c r="B3001" t="s">
        <v>430</v>
      </c>
      <c r="C3001" t="s">
        <v>264</v>
      </c>
      <c r="D3001">
        <v>2.4726047199999999E-3</v>
      </c>
      <c r="E3001">
        <v>2.6989700000000002E-3</v>
      </c>
      <c r="F3001">
        <v>2.4413999999999998E-3</v>
      </c>
      <c r="G3001">
        <v>2.5170523999999998E-3</v>
      </c>
      <c r="H3001">
        <v>3.0452041000000002E-3</v>
      </c>
      <c r="I3001">
        <v>4.2050471000000004E-3</v>
      </c>
      <c r="J3001">
        <v>5.1826424999999897E-3</v>
      </c>
      <c r="K3001">
        <v>5.8559119E-3</v>
      </c>
      <c r="L3001">
        <v>6.3257827000000001E-3</v>
      </c>
      <c r="M3001">
        <v>6.7620268999999998E-3</v>
      </c>
      <c r="N3001">
        <v>7.1399065999999999E-3</v>
      </c>
      <c r="O3001">
        <v>0</v>
      </c>
      <c r="P3001">
        <v>0</v>
      </c>
      <c r="Q3001">
        <v>0</v>
      </c>
      <c r="R3001" t="s">
        <v>243</v>
      </c>
    </row>
    <row r="3002" spans="1:18" x14ac:dyDescent="0.3">
      <c r="A3002" t="s">
        <v>259</v>
      </c>
      <c r="B3002" t="s">
        <v>430</v>
      </c>
      <c r="C3002" t="s">
        <v>265</v>
      </c>
      <c r="D3002">
        <v>3.7761130400000002E-2</v>
      </c>
      <c r="E3002">
        <v>3.7273559999999997E-2</v>
      </c>
      <c r="F3002">
        <v>3.0903899999999901E-2</v>
      </c>
      <c r="G3002">
        <v>3.0074564000000002E-2</v>
      </c>
      <c r="H3002">
        <v>3.2062957999999898E-2</v>
      </c>
      <c r="I3002">
        <v>3.4150441999999899E-2</v>
      </c>
      <c r="J3002">
        <v>3.4670444000000002E-2</v>
      </c>
      <c r="K3002">
        <v>3.5558279999999998E-2</v>
      </c>
      <c r="L3002">
        <v>3.6093753999999999E-2</v>
      </c>
      <c r="M3002">
        <v>3.6287927999999997E-2</v>
      </c>
      <c r="N3002">
        <v>3.6342223999999999E-2</v>
      </c>
      <c r="O3002">
        <v>0</v>
      </c>
      <c r="P3002">
        <v>0</v>
      </c>
      <c r="Q3002">
        <v>0</v>
      </c>
      <c r="R3002" t="s">
        <v>243</v>
      </c>
    </row>
    <row r="3003" spans="1:18" x14ac:dyDescent="0.3">
      <c r="A3003" t="s">
        <v>259</v>
      </c>
      <c r="B3003" t="s">
        <v>430</v>
      </c>
      <c r="C3003" t="s">
        <v>266</v>
      </c>
      <c r="D3003">
        <v>4.5600370999999999E-3</v>
      </c>
      <c r="E3003">
        <v>5.4094390000000003E-3</v>
      </c>
      <c r="F3003">
        <v>4.9920290000000003E-3</v>
      </c>
      <c r="G3003">
        <v>4.8177309999999996E-3</v>
      </c>
      <c r="H3003">
        <v>5.8245327999999997E-3</v>
      </c>
      <c r="I3003">
        <v>7.7235886999999998E-3</v>
      </c>
      <c r="J3003">
        <v>9.2085920999999994E-3</v>
      </c>
      <c r="K3003">
        <v>1.03558239E-2</v>
      </c>
      <c r="L3003">
        <v>1.1166972799999999E-2</v>
      </c>
      <c r="M3003">
        <v>1.19052374999999E-2</v>
      </c>
      <c r="N3003">
        <v>1.2534415300000001E-2</v>
      </c>
      <c r="O3003">
        <v>0</v>
      </c>
      <c r="P3003">
        <v>0</v>
      </c>
      <c r="Q3003">
        <v>0</v>
      </c>
      <c r="R3003" t="s">
        <v>243</v>
      </c>
    </row>
    <row r="3004" spans="1:18" x14ac:dyDescent="0.3">
      <c r="A3004" t="s">
        <v>259</v>
      </c>
      <c r="B3004" t="s">
        <v>430</v>
      </c>
      <c r="C3004" t="s">
        <v>267</v>
      </c>
      <c r="D3004">
        <v>6.1703280999999997E-3</v>
      </c>
      <c r="E3004">
        <v>7.5941250000000002E-3</v>
      </c>
      <c r="F3004">
        <v>6.931413E-3</v>
      </c>
      <c r="G3004">
        <v>6.6580340000000002E-3</v>
      </c>
      <c r="H3004">
        <v>7.8818050000000004E-3</v>
      </c>
      <c r="I3004">
        <v>1.0247334E-2</v>
      </c>
      <c r="J3004">
        <v>1.20547968E-2</v>
      </c>
      <c r="K3004">
        <v>1.34911459999999E-2</v>
      </c>
      <c r="L3004">
        <v>1.44913220999999E-2</v>
      </c>
      <c r="M3004">
        <v>1.53807298E-2</v>
      </c>
      <c r="N3004">
        <v>1.6121914099999999E-2</v>
      </c>
      <c r="O3004">
        <v>0</v>
      </c>
      <c r="P3004">
        <v>0</v>
      </c>
      <c r="Q3004">
        <v>0</v>
      </c>
      <c r="R3004" t="s">
        <v>243</v>
      </c>
    </row>
    <row r="3005" spans="1:18" x14ac:dyDescent="0.3">
      <c r="A3005" t="s">
        <v>259</v>
      </c>
      <c r="B3005" t="s">
        <v>430</v>
      </c>
      <c r="C3005" t="s">
        <v>268</v>
      </c>
      <c r="D3005">
        <v>7.84034539999999E-3</v>
      </c>
      <c r="E3005">
        <v>9.8143399999999995E-3</v>
      </c>
      <c r="F3005">
        <v>8.8082899999999999E-3</v>
      </c>
      <c r="G3005">
        <v>8.462242E-3</v>
      </c>
      <c r="H3005">
        <v>9.8782669999999996E-3</v>
      </c>
      <c r="I3005">
        <v>1.26206049E-2</v>
      </c>
      <c r="J3005">
        <v>1.45950297E-2</v>
      </c>
      <c r="K3005">
        <v>1.62090293E-2</v>
      </c>
      <c r="L3005">
        <v>1.7339146600000001E-2</v>
      </c>
      <c r="M3005">
        <v>1.83056409E-2</v>
      </c>
      <c r="N3005">
        <v>1.9080312799999999E-2</v>
      </c>
      <c r="O3005">
        <v>0</v>
      </c>
      <c r="P3005">
        <v>0</v>
      </c>
      <c r="Q3005">
        <v>0</v>
      </c>
      <c r="R3005" t="s">
        <v>243</v>
      </c>
    </row>
    <row r="3006" spans="1:18" x14ac:dyDescent="0.3">
      <c r="A3006" t="s">
        <v>259</v>
      </c>
      <c r="B3006" t="s">
        <v>430</v>
      </c>
      <c r="C3006" t="s">
        <v>269</v>
      </c>
      <c r="D3006">
        <v>9.6095561999999992E-3</v>
      </c>
      <c r="E3006">
        <v>1.22151799999999E-2</v>
      </c>
      <c r="F3006">
        <v>1.0707380000000001E-2</v>
      </c>
      <c r="G3006">
        <v>1.0379174999999999E-2</v>
      </c>
      <c r="H3006">
        <v>1.19346649999999E-2</v>
      </c>
      <c r="I3006">
        <v>1.4963270900000001E-2</v>
      </c>
      <c r="J3006">
        <v>1.70747498E-2</v>
      </c>
      <c r="K3006">
        <v>1.8795817999999999E-2</v>
      </c>
      <c r="L3006">
        <v>1.9985212999999901E-2</v>
      </c>
      <c r="M3006">
        <v>2.09721859999999E-2</v>
      </c>
      <c r="N3006">
        <v>2.1742727999999999E-2</v>
      </c>
      <c r="O3006">
        <v>0</v>
      </c>
      <c r="P3006">
        <v>0</v>
      </c>
      <c r="Q3006">
        <v>0</v>
      </c>
      <c r="R3006" t="s">
        <v>243</v>
      </c>
    </row>
    <row r="3007" spans="1:18" x14ac:dyDescent="0.3">
      <c r="A3007" t="s">
        <v>259</v>
      </c>
      <c r="B3007" t="s">
        <v>430</v>
      </c>
      <c r="C3007" t="s">
        <v>270</v>
      </c>
      <c r="D3007">
        <v>1.1660052400000001E-2</v>
      </c>
      <c r="E3007">
        <v>1.4900490000000001E-2</v>
      </c>
      <c r="F3007">
        <v>1.2720449999999999E-2</v>
      </c>
      <c r="G3007">
        <v>1.249346E-2</v>
      </c>
      <c r="H3007">
        <v>1.4165064E-2</v>
      </c>
      <c r="I3007">
        <v>1.74396172E-2</v>
      </c>
      <c r="J3007">
        <v>1.9599894999999999E-2</v>
      </c>
      <c r="K3007">
        <v>2.1377068999999999E-2</v>
      </c>
      <c r="L3007">
        <v>2.2561715E-2</v>
      </c>
      <c r="M3007">
        <v>2.3501993999999998E-2</v>
      </c>
      <c r="N3007">
        <v>2.4220798999999901E-2</v>
      </c>
      <c r="O3007">
        <v>0</v>
      </c>
      <c r="P3007">
        <v>0</v>
      </c>
      <c r="Q3007">
        <v>0</v>
      </c>
      <c r="R3007" t="s">
        <v>243</v>
      </c>
    </row>
    <row r="3008" spans="1:18" x14ac:dyDescent="0.3">
      <c r="A3008" t="s">
        <v>259</v>
      </c>
      <c r="B3008" t="s">
        <v>430</v>
      </c>
      <c r="C3008" t="s">
        <v>271</v>
      </c>
      <c r="D3008">
        <v>1.44802822E-2</v>
      </c>
      <c r="E3008">
        <v>1.7827949999999999E-2</v>
      </c>
      <c r="F3008">
        <v>1.502147E-2</v>
      </c>
      <c r="G3008">
        <v>1.4895281E-2</v>
      </c>
      <c r="H3008">
        <v>1.6729539000000002E-2</v>
      </c>
      <c r="I3008">
        <v>2.0180113999999999E-2</v>
      </c>
      <c r="J3008">
        <v>2.2270537999999999E-2</v>
      </c>
      <c r="K3008">
        <v>2.4020982999999999E-2</v>
      </c>
      <c r="L3008">
        <v>2.5167138999999901E-2</v>
      </c>
      <c r="M3008">
        <v>2.6024659999999901E-2</v>
      </c>
      <c r="N3008">
        <v>2.6630980999999901E-2</v>
      </c>
      <c r="O3008">
        <v>0</v>
      </c>
      <c r="P3008">
        <v>0</v>
      </c>
      <c r="Q3008">
        <v>0</v>
      </c>
      <c r="R3008" t="s">
        <v>243</v>
      </c>
    </row>
    <row r="3009" spans="1:18" x14ac:dyDescent="0.3">
      <c r="A3009" t="s">
        <v>259</v>
      </c>
      <c r="B3009" t="s">
        <v>430</v>
      </c>
      <c r="C3009" t="s">
        <v>272</v>
      </c>
      <c r="D3009">
        <v>1.7892290599999999E-2</v>
      </c>
      <c r="E3009">
        <v>2.148274E-2</v>
      </c>
      <c r="F3009">
        <v>1.81351599999999E-2</v>
      </c>
      <c r="G3009">
        <v>1.80317339999999E-2</v>
      </c>
      <c r="H3009">
        <v>1.9863629000000001E-2</v>
      </c>
      <c r="I3009">
        <v>2.3310372999999999E-2</v>
      </c>
      <c r="J3009">
        <v>2.5248284999999999E-2</v>
      </c>
      <c r="K3009">
        <v>2.6893908000000001E-2</v>
      </c>
      <c r="L3009">
        <v>2.7922575000000002E-2</v>
      </c>
      <c r="M3009">
        <v>2.8609864999999901E-2</v>
      </c>
      <c r="N3009">
        <v>2.9052601000000001E-2</v>
      </c>
      <c r="O3009">
        <v>0</v>
      </c>
      <c r="P3009">
        <v>0</v>
      </c>
      <c r="Q3009">
        <v>0</v>
      </c>
      <c r="R3009" t="s">
        <v>243</v>
      </c>
    </row>
    <row r="3010" spans="1:18" x14ac:dyDescent="0.3">
      <c r="A3010" t="s">
        <v>259</v>
      </c>
      <c r="B3010" t="s">
        <v>430</v>
      </c>
      <c r="C3010" t="s">
        <v>273</v>
      </c>
      <c r="D3010">
        <v>2.35794683E-2</v>
      </c>
      <c r="E3010">
        <v>2.615634E-2</v>
      </c>
      <c r="F3010">
        <v>2.20390899999999E-2</v>
      </c>
      <c r="G3010">
        <v>2.1902192000000001E-2</v>
      </c>
      <c r="H3010">
        <v>2.3921025999999901E-2</v>
      </c>
      <c r="I3010">
        <v>2.7163032E-2</v>
      </c>
      <c r="J3010">
        <v>2.8668019999999999E-2</v>
      </c>
      <c r="K3010">
        <v>3.0024275999999999E-2</v>
      </c>
      <c r="L3010">
        <v>3.0836037999999899E-2</v>
      </c>
      <c r="M3010">
        <v>3.1299545999999998E-2</v>
      </c>
      <c r="N3010">
        <v>3.1551048999999998E-2</v>
      </c>
      <c r="O3010">
        <v>0</v>
      </c>
      <c r="P3010">
        <v>0</v>
      </c>
      <c r="Q3010">
        <v>0</v>
      </c>
      <c r="R3010" t="s">
        <v>243</v>
      </c>
    </row>
    <row r="3011" spans="1:18" x14ac:dyDescent="0.3">
      <c r="A3011" t="s">
        <v>259</v>
      </c>
      <c r="B3011" t="s">
        <v>430</v>
      </c>
      <c r="C3011" t="s">
        <v>274</v>
      </c>
      <c r="D3011" s="8">
        <v>1.8273579E-5</v>
      </c>
      <c r="E3011" s="8">
        <v>6.4016039999999994E-5</v>
      </c>
      <c r="F3011" s="8">
        <v>9.3733419999999994E-5</v>
      </c>
      <c r="G3011" s="8">
        <v>1.133597E-4</v>
      </c>
      <c r="H3011" s="8">
        <v>1.7715297E-4</v>
      </c>
      <c r="I3011" s="8">
        <v>2.4282224999999999E-4</v>
      </c>
      <c r="J3011" s="8">
        <v>2.9097458000000001E-4</v>
      </c>
      <c r="K3011" s="8">
        <v>3.2638075000000001E-4</v>
      </c>
      <c r="L3011" s="8">
        <v>3.5161637E-4</v>
      </c>
      <c r="M3011" s="8">
        <v>3.7113344999999999E-4</v>
      </c>
      <c r="N3011" s="8">
        <v>3.8520855999999999E-4</v>
      </c>
      <c r="O3011">
        <v>0</v>
      </c>
      <c r="P3011">
        <v>0</v>
      </c>
      <c r="Q3011">
        <v>0</v>
      </c>
      <c r="R3011" t="s">
        <v>243</v>
      </c>
    </row>
    <row r="3012" spans="1:18" x14ac:dyDescent="0.3">
      <c r="A3012" t="s">
        <v>259</v>
      </c>
      <c r="B3012" t="s">
        <v>430</v>
      </c>
      <c r="C3012" t="s">
        <v>275</v>
      </c>
      <c r="D3012" s="8">
        <v>3.2931698E-4</v>
      </c>
      <c r="E3012">
        <v>1.0546448E-3</v>
      </c>
      <c r="F3012">
        <v>1.2652249E-3</v>
      </c>
      <c r="G3012">
        <v>1.5110410000000001E-3</v>
      </c>
      <c r="H3012">
        <v>1.805215E-3</v>
      </c>
      <c r="I3012">
        <v>1.8977012E-3</v>
      </c>
      <c r="J3012">
        <v>1.8503714000000001E-3</v>
      </c>
      <c r="K3012">
        <v>1.8337103E-3</v>
      </c>
      <c r="L3012">
        <v>1.8022919E-3</v>
      </c>
      <c r="M3012">
        <v>1.74794979999999E-3</v>
      </c>
      <c r="N3012">
        <v>1.6873335E-3</v>
      </c>
      <c r="O3012">
        <v>0</v>
      </c>
      <c r="P3012">
        <v>0</v>
      </c>
      <c r="Q3012">
        <v>0</v>
      </c>
      <c r="R3012" t="s">
        <v>243</v>
      </c>
    </row>
    <row r="3013" spans="1:18" x14ac:dyDescent="0.3">
      <c r="A3013" t="s">
        <v>259</v>
      </c>
      <c r="B3013" t="s">
        <v>430</v>
      </c>
      <c r="C3013" t="s">
        <v>276</v>
      </c>
      <c r="D3013" s="8">
        <v>3.4009040999999998E-5</v>
      </c>
      <c r="E3013" s="8">
        <v>1.2980079999999901E-4</v>
      </c>
      <c r="F3013" s="8">
        <v>1.9265989999999901E-4</v>
      </c>
      <c r="G3013" s="8">
        <v>2.1871109999999999E-4</v>
      </c>
      <c r="H3013" s="8">
        <v>3.2916059999999999E-4</v>
      </c>
      <c r="I3013" s="8">
        <v>4.3612460999999998E-4</v>
      </c>
      <c r="J3013" s="8">
        <v>5.0754613000000002E-4</v>
      </c>
      <c r="K3013" s="8">
        <v>5.6448581E-4</v>
      </c>
      <c r="L3013" s="8">
        <v>6.0443518999999995E-4</v>
      </c>
      <c r="M3013" s="8">
        <v>6.3382642000000004E-4</v>
      </c>
      <c r="N3013" s="8">
        <v>6.5363418999999897E-4</v>
      </c>
      <c r="O3013">
        <v>0</v>
      </c>
      <c r="P3013">
        <v>0</v>
      </c>
      <c r="Q3013">
        <v>0</v>
      </c>
      <c r="R3013" t="s">
        <v>243</v>
      </c>
    </row>
    <row r="3014" spans="1:18" x14ac:dyDescent="0.3">
      <c r="A3014" t="s">
        <v>259</v>
      </c>
      <c r="B3014" t="s">
        <v>430</v>
      </c>
      <c r="C3014" t="s">
        <v>277</v>
      </c>
      <c r="D3014" s="8">
        <v>4.6327232E-5</v>
      </c>
      <c r="E3014" s="8">
        <v>1.83872999999999E-4</v>
      </c>
      <c r="F3014" s="8">
        <v>2.685249E-4</v>
      </c>
      <c r="G3014" s="8">
        <v>3.0411719999999998E-4</v>
      </c>
      <c r="H3014" s="8">
        <v>4.407139E-4</v>
      </c>
      <c r="I3014" s="8">
        <v>5.7359730000000001E-4</v>
      </c>
      <c r="J3014" s="8">
        <v>6.5919171999999999E-4</v>
      </c>
      <c r="K3014" s="8">
        <v>7.2835531000000004E-4</v>
      </c>
      <c r="L3014" s="8">
        <v>7.7500623999999998E-4</v>
      </c>
      <c r="M3014" s="8">
        <v>8.0753974999999995E-4</v>
      </c>
      <c r="N3014" s="8">
        <v>8.2772463000000004E-4</v>
      </c>
      <c r="O3014">
        <v>0</v>
      </c>
      <c r="P3014">
        <v>0</v>
      </c>
      <c r="Q3014">
        <v>0</v>
      </c>
      <c r="R3014" t="s">
        <v>243</v>
      </c>
    </row>
    <row r="3015" spans="1:18" x14ac:dyDescent="0.3">
      <c r="A3015" t="s">
        <v>259</v>
      </c>
      <c r="B3015" t="s">
        <v>430</v>
      </c>
      <c r="C3015" t="s">
        <v>278</v>
      </c>
      <c r="D3015" s="8">
        <v>5.9268085999999998E-5</v>
      </c>
      <c r="E3015" s="8">
        <v>2.3981060000000001E-4</v>
      </c>
      <c r="F3015" s="8">
        <v>3.424837E-4</v>
      </c>
      <c r="G3015" s="8">
        <v>3.8885230000000002E-4</v>
      </c>
      <c r="H3015" s="8">
        <v>5.4893870000000003E-4</v>
      </c>
      <c r="I3015" s="8">
        <v>7.0281719999999996E-4</v>
      </c>
      <c r="J3015" s="8">
        <v>7.9434609999999995E-4</v>
      </c>
      <c r="K3015" s="8">
        <v>8.6979346999999899E-4</v>
      </c>
      <c r="L3015" s="8">
        <v>9.1982350000000001E-4</v>
      </c>
      <c r="M3015" s="8">
        <v>9.5195264999999995E-4</v>
      </c>
      <c r="N3015" s="8">
        <v>9.6908108000000001E-4</v>
      </c>
      <c r="O3015">
        <v>0</v>
      </c>
      <c r="P3015">
        <v>0</v>
      </c>
      <c r="Q3015">
        <v>0</v>
      </c>
      <c r="R3015" t="s">
        <v>243</v>
      </c>
    </row>
    <row r="3016" spans="1:18" x14ac:dyDescent="0.3">
      <c r="A3016" t="s">
        <v>259</v>
      </c>
      <c r="B3016" t="s">
        <v>430</v>
      </c>
      <c r="C3016" t="s">
        <v>279</v>
      </c>
      <c r="D3016" s="8">
        <v>7.3163856999999995E-5</v>
      </c>
      <c r="E3016" s="8">
        <v>3.0147350000000003E-4</v>
      </c>
      <c r="F3016" s="8">
        <v>4.1787410000000002E-4</v>
      </c>
      <c r="G3016" s="8">
        <v>4.8002009999999998E-4</v>
      </c>
      <c r="H3016" s="8">
        <v>6.6073019999999996E-4</v>
      </c>
      <c r="I3016" s="8">
        <v>8.3071399999999998E-4</v>
      </c>
      <c r="J3016" s="8">
        <v>9.2646969999999999E-4</v>
      </c>
      <c r="K3016">
        <v>1.0042789999999901E-3</v>
      </c>
      <c r="L3016">
        <v>1.0536584E-3</v>
      </c>
      <c r="M3016">
        <v>1.08241157E-3</v>
      </c>
      <c r="N3016">
        <v>1.0947416699999899E-3</v>
      </c>
      <c r="O3016">
        <v>0</v>
      </c>
      <c r="P3016">
        <v>0</v>
      </c>
      <c r="Q3016">
        <v>0</v>
      </c>
      <c r="R3016" t="s">
        <v>243</v>
      </c>
    </row>
    <row r="3017" spans="1:18" x14ac:dyDescent="0.3">
      <c r="A3017" t="s">
        <v>259</v>
      </c>
      <c r="B3017" t="s">
        <v>430</v>
      </c>
      <c r="C3017" t="s">
        <v>280</v>
      </c>
      <c r="D3017" s="8">
        <v>8.9515960999999995E-5</v>
      </c>
      <c r="E3017" s="8">
        <v>3.7198439999999998E-4</v>
      </c>
      <c r="F3017" s="8">
        <v>4.9843049999999996E-4</v>
      </c>
      <c r="G3017" s="8">
        <v>5.8202199999999996E-4</v>
      </c>
      <c r="H3017" s="8">
        <v>7.8264879999999999E-4</v>
      </c>
      <c r="I3017" s="8">
        <v>9.6659079999999997E-4</v>
      </c>
      <c r="J3017">
        <v>1.0615056999999999E-3</v>
      </c>
      <c r="K3017">
        <v>1.1385455000000001E-3</v>
      </c>
      <c r="L3017">
        <v>1.1833536E-3</v>
      </c>
      <c r="M3017">
        <v>1.2050402E-3</v>
      </c>
      <c r="N3017">
        <v>1.2101077899999901E-3</v>
      </c>
      <c r="O3017">
        <v>0</v>
      </c>
      <c r="P3017">
        <v>0</v>
      </c>
      <c r="Q3017">
        <v>0</v>
      </c>
      <c r="R3017" t="s">
        <v>243</v>
      </c>
    </row>
    <row r="3018" spans="1:18" x14ac:dyDescent="0.3">
      <c r="A3018" t="s">
        <v>259</v>
      </c>
      <c r="B3018" t="s">
        <v>430</v>
      </c>
      <c r="C3018" t="s">
        <v>281</v>
      </c>
      <c r="D3018" s="8">
        <v>1.12458659999999E-4</v>
      </c>
      <c r="E3018" s="8">
        <v>4.5087719999999999E-4</v>
      </c>
      <c r="F3018" s="8">
        <v>5.9136249999999996E-4</v>
      </c>
      <c r="G3018" s="8">
        <v>6.9988739999999998E-4</v>
      </c>
      <c r="H3018" s="8">
        <v>9.2400320000000002E-4</v>
      </c>
      <c r="I3018">
        <v>1.1180387E-3</v>
      </c>
      <c r="J3018">
        <v>1.2049637000000001E-3</v>
      </c>
      <c r="K3018">
        <v>1.2759586E-3</v>
      </c>
      <c r="L3018">
        <v>1.3134644E-3</v>
      </c>
      <c r="M3018">
        <v>1.3255995E-3</v>
      </c>
      <c r="N3018">
        <v>1.3199615999999899E-3</v>
      </c>
      <c r="O3018">
        <v>0</v>
      </c>
      <c r="P3018">
        <v>0</v>
      </c>
      <c r="Q3018">
        <v>0</v>
      </c>
      <c r="R3018" t="s">
        <v>243</v>
      </c>
    </row>
    <row r="3019" spans="1:18" x14ac:dyDescent="0.3">
      <c r="A3019" t="s">
        <v>259</v>
      </c>
      <c r="B3019" t="s">
        <v>430</v>
      </c>
      <c r="C3019" t="s">
        <v>282</v>
      </c>
      <c r="D3019" s="8">
        <v>1.4096568899999999E-4</v>
      </c>
      <c r="E3019" s="8">
        <v>5.5269870000000003E-4</v>
      </c>
      <c r="F3019" s="8">
        <v>7.1868979999999995E-4</v>
      </c>
      <c r="G3019" s="8">
        <v>8.5736700000000005E-4</v>
      </c>
      <c r="H3019">
        <v>1.09895509999999E-3</v>
      </c>
      <c r="I3019">
        <v>1.2928212000000001E-3</v>
      </c>
      <c r="J3019">
        <v>1.3656383999999899E-3</v>
      </c>
      <c r="K3019">
        <v>1.4248425999999999E-3</v>
      </c>
      <c r="L3019">
        <v>1.4492964E-3</v>
      </c>
      <c r="M3019">
        <v>1.4462029E-3</v>
      </c>
      <c r="N3019">
        <v>1.4265173999999999E-3</v>
      </c>
      <c r="O3019">
        <v>0</v>
      </c>
      <c r="P3019">
        <v>0</v>
      </c>
      <c r="Q3019">
        <v>0</v>
      </c>
      <c r="R3019" t="s">
        <v>243</v>
      </c>
    </row>
    <row r="3020" spans="1:18" x14ac:dyDescent="0.3">
      <c r="A3020" t="s">
        <v>259</v>
      </c>
      <c r="B3020" t="s">
        <v>430</v>
      </c>
      <c r="C3020" t="s">
        <v>283</v>
      </c>
      <c r="D3020" s="8">
        <v>1.9053287399999999E-4</v>
      </c>
      <c r="E3020" s="8">
        <v>6.8924679999999997E-4</v>
      </c>
      <c r="F3020" s="8">
        <v>8.8120630000000004E-4</v>
      </c>
      <c r="G3020">
        <v>1.0581919999999999E-3</v>
      </c>
      <c r="H3020">
        <v>1.3298334E-3</v>
      </c>
      <c r="I3020">
        <v>1.5104514999999901E-3</v>
      </c>
      <c r="J3020">
        <v>1.5501075E-3</v>
      </c>
      <c r="K3020">
        <v>1.5841319E-3</v>
      </c>
      <c r="L3020">
        <v>1.5875854E-3</v>
      </c>
      <c r="M3020">
        <v>1.5645832999999999E-3</v>
      </c>
      <c r="N3020">
        <v>1.5280786E-3</v>
      </c>
      <c r="O3020">
        <v>0</v>
      </c>
      <c r="P3020">
        <v>0</v>
      </c>
      <c r="Q3020">
        <v>0</v>
      </c>
      <c r="R3020" t="s">
        <v>243</v>
      </c>
    </row>
    <row r="3021" spans="1:18" x14ac:dyDescent="0.3">
      <c r="A3021" t="s">
        <v>259</v>
      </c>
      <c r="B3021" t="s">
        <v>430</v>
      </c>
      <c r="C3021" t="s">
        <v>334</v>
      </c>
      <c r="D3021">
        <v>1.0027E-3</v>
      </c>
      <c r="E3021" s="8">
        <v>8.3728000000000003E-4</v>
      </c>
      <c r="F3021">
        <v>1.2225999999999999E-3</v>
      </c>
      <c r="G3021" s="8">
        <v>6.6122399999999997E-4</v>
      </c>
      <c r="H3021" s="8">
        <v>7.1614399999999896E-4</v>
      </c>
      <c r="I3021" s="8">
        <v>7.9921500000000004E-4</v>
      </c>
      <c r="J3021" s="8">
        <v>8.54541E-4</v>
      </c>
      <c r="K3021" s="8">
        <v>9.0306499999999999E-4</v>
      </c>
      <c r="L3021" s="8">
        <v>9.3985300000000004E-4</v>
      </c>
      <c r="M3021" s="8">
        <v>9.6733699999999997E-4</v>
      </c>
      <c r="N3021" s="8">
        <v>9.8669699999999992E-4</v>
      </c>
      <c r="O3021">
        <v>0</v>
      </c>
      <c r="P3021">
        <v>0</v>
      </c>
      <c r="Q3021">
        <v>0</v>
      </c>
      <c r="R3021" t="s">
        <v>243</v>
      </c>
    </row>
    <row r="3022" spans="1:18" x14ac:dyDescent="0.3">
      <c r="A3022" t="s">
        <v>259</v>
      </c>
      <c r="B3022" t="s">
        <v>430</v>
      </c>
      <c r="C3022" t="s">
        <v>335</v>
      </c>
      <c r="D3022" s="8">
        <v>1.92667E-5</v>
      </c>
      <c r="E3022" s="8">
        <v>1.1780099999999999E-5</v>
      </c>
      <c r="F3022" s="8">
        <v>2.60162E-5</v>
      </c>
      <c r="G3022" s="8">
        <v>1.1714499999999999E-5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243</v>
      </c>
    </row>
    <row r="3023" spans="1:18" x14ac:dyDescent="0.3">
      <c r="A3023" t="s">
        <v>259</v>
      </c>
      <c r="B3023" t="s">
        <v>430</v>
      </c>
      <c r="C3023" t="s">
        <v>336</v>
      </c>
      <c r="D3023" s="8">
        <v>5.0558600000000003E-4</v>
      </c>
      <c r="E3023" s="8">
        <v>3.7232699999999999E-4</v>
      </c>
      <c r="F3023" s="8">
        <v>5.5021699999999998E-4</v>
      </c>
      <c r="G3023" s="8">
        <v>3.34211E-4</v>
      </c>
      <c r="H3023" s="8">
        <v>3.65776E-4</v>
      </c>
      <c r="I3023" s="8">
        <v>4.0534099999999998E-4</v>
      </c>
      <c r="J3023" s="8">
        <v>4.3147310000000001E-4</v>
      </c>
      <c r="K3023" s="8">
        <v>4.5450010000000002E-4</v>
      </c>
      <c r="L3023" s="8">
        <v>4.7224499999999999E-4</v>
      </c>
      <c r="M3023" s="8">
        <v>4.8547109999999999E-4</v>
      </c>
      <c r="N3023" s="8">
        <v>4.9476769999999895E-4</v>
      </c>
      <c r="O3023">
        <v>0</v>
      </c>
      <c r="P3023">
        <v>0</v>
      </c>
      <c r="Q3023">
        <v>0</v>
      </c>
      <c r="R3023" t="s">
        <v>243</v>
      </c>
    </row>
    <row r="3024" spans="1:18" x14ac:dyDescent="0.3">
      <c r="A3024" t="s">
        <v>259</v>
      </c>
      <c r="B3024" t="s">
        <v>430</v>
      </c>
      <c r="C3024" t="s">
        <v>337</v>
      </c>
      <c r="D3024" s="8">
        <v>3.5450999999999999E-4</v>
      </c>
      <c r="E3024" s="8">
        <v>2.4389400000000001E-4</v>
      </c>
      <c r="F3024" s="8">
        <v>3.6993900000000001E-4</v>
      </c>
      <c r="G3024" s="8">
        <v>2.2961100000000001E-4</v>
      </c>
      <c r="H3024" s="8">
        <v>2.5066500000000001E-4</v>
      </c>
      <c r="I3024" s="8">
        <v>2.769874E-4</v>
      </c>
      <c r="J3024" s="8">
        <v>2.9462530000000001E-4</v>
      </c>
      <c r="K3024" s="8">
        <v>3.1003919999999998E-4</v>
      </c>
      <c r="L3024" s="8">
        <v>3.2191130000000002E-4</v>
      </c>
      <c r="M3024" s="8">
        <v>3.3076170000000002E-4</v>
      </c>
      <c r="N3024" s="8">
        <v>3.369747E-4</v>
      </c>
      <c r="O3024">
        <v>0</v>
      </c>
      <c r="P3024">
        <v>0</v>
      </c>
      <c r="Q3024">
        <v>0</v>
      </c>
      <c r="R3024" t="s">
        <v>243</v>
      </c>
    </row>
    <row r="3025" spans="1:18" x14ac:dyDescent="0.3">
      <c r="A3025" t="s">
        <v>259</v>
      </c>
      <c r="B3025" t="s">
        <v>430</v>
      </c>
      <c r="C3025" t="s">
        <v>338</v>
      </c>
      <c r="D3025" s="8">
        <v>2.6474700000000002E-4</v>
      </c>
      <c r="E3025" s="8">
        <v>1.73931E-4</v>
      </c>
      <c r="F3025" s="8">
        <v>2.7202699999999999E-4</v>
      </c>
      <c r="G3025" s="8">
        <v>1.70199E-4</v>
      </c>
      <c r="H3025" s="8">
        <v>1.855002E-4</v>
      </c>
      <c r="I3025" s="8">
        <v>2.0449109999999901E-4</v>
      </c>
      <c r="J3025" s="8">
        <v>2.17035E-4</v>
      </c>
      <c r="K3025" s="8">
        <v>2.2810389999999999E-4</v>
      </c>
      <c r="L3025" s="8">
        <v>2.367568E-4</v>
      </c>
      <c r="M3025" s="8">
        <v>2.431589E-4</v>
      </c>
      <c r="N3025">
        <v>0</v>
      </c>
      <c r="O3025">
        <v>0</v>
      </c>
      <c r="P3025">
        <v>0</v>
      </c>
      <c r="Q3025">
        <v>0</v>
      </c>
      <c r="R3025" t="s">
        <v>243</v>
      </c>
    </row>
    <row r="3026" spans="1:18" x14ac:dyDescent="0.3">
      <c r="A3026" t="s">
        <v>259</v>
      </c>
      <c r="B3026" t="s">
        <v>430</v>
      </c>
      <c r="C3026" t="s">
        <v>339</v>
      </c>
      <c r="D3026" s="8">
        <v>2.0463999999999999E-4</v>
      </c>
      <c r="E3026" s="8">
        <v>1.28138E-4</v>
      </c>
      <c r="F3026" s="8">
        <v>2.0869899999999999E-4</v>
      </c>
      <c r="G3026" s="8">
        <v>1.29426E-4</v>
      </c>
      <c r="H3026" s="8">
        <v>1.4072229999999999E-4</v>
      </c>
      <c r="I3026" s="8">
        <v>1.5471650000000001E-4</v>
      </c>
      <c r="J3026" s="8">
        <v>1.640442E-4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">
        <v>243</v>
      </c>
    </row>
    <row r="3027" spans="1:18" x14ac:dyDescent="0.3">
      <c r="A3027" t="s">
        <v>259</v>
      </c>
      <c r="B3027" t="s">
        <v>430</v>
      </c>
      <c r="C3027" t="s">
        <v>340</v>
      </c>
      <c r="D3027" s="8">
        <v>1.58591E-4</v>
      </c>
      <c r="E3027" s="8">
        <v>9.5307200000000001E-5</v>
      </c>
      <c r="F3027" s="8">
        <v>1.6287100000000001E-4</v>
      </c>
      <c r="G3027" s="8">
        <v>9.8927500000000004E-5</v>
      </c>
      <c r="H3027" s="8">
        <v>1.073115E-4</v>
      </c>
      <c r="I3027" s="8">
        <v>1.177358E-4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243</v>
      </c>
    </row>
    <row r="3028" spans="1:18" x14ac:dyDescent="0.3">
      <c r="A3028" t="s">
        <v>259</v>
      </c>
      <c r="B3028" t="s">
        <v>430</v>
      </c>
      <c r="C3028" t="s">
        <v>341</v>
      </c>
      <c r="D3028" s="8">
        <v>1.1742E-4</v>
      </c>
      <c r="E3028" s="8">
        <v>7.1451000000000004E-5</v>
      </c>
      <c r="F3028" s="8">
        <v>1.2611799999999999E-4</v>
      </c>
      <c r="G3028" s="8">
        <v>7.4840500000000003E-5</v>
      </c>
      <c r="H3028" s="8">
        <v>8.1107399999999995E-5</v>
      </c>
      <c r="I3028" s="8">
        <v>8.8796799999999997E-5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243</v>
      </c>
    </row>
    <row r="3029" spans="1:18" x14ac:dyDescent="0.3">
      <c r="A3029" t="s">
        <v>259</v>
      </c>
      <c r="B3029" t="s">
        <v>430</v>
      </c>
      <c r="C3029" t="s">
        <v>342</v>
      </c>
      <c r="D3029" s="8">
        <v>8.5773599999999995E-5</v>
      </c>
      <c r="E3029" s="8">
        <v>5.1378300000000002E-5</v>
      </c>
      <c r="F3029" s="8">
        <v>9.1893700000000004E-5</v>
      </c>
      <c r="G3029" s="8">
        <v>5.3145200000000001E-5</v>
      </c>
      <c r="H3029" s="8">
        <v>5.7368099999999997E-5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">
        <v>243</v>
      </c>
    </row>
    <row r="3030" spans="1:18" x14ac:dyDescent="0.3">
      <c r="A3030" t="s">
        <v>259</v>
      </c>
      <c r="B3030" t="s">
        <v>430</v>
      </c>
      <c r="C3030" t="s">
        <v>343</v>
      </c>
      <c r="D3030" s="8">
        <v>5.4432799999999998E-5</v>
      </c>
      <c r="E3030" s="8">
        <v>3.4411400000000001E-5</v>
      </c>
      <c r="F3030" s="8">
        <v>6.3289799999999998E-5</v>
      </c>
      <c r="G3030" s="8">
        <v>3.5006199999999997E-5</v>
      </c>
      <c r="H3030" s="8">
        <v>3.7795400000000001E-5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243</v>
      </c>
    </row>
    <row r="3031" spans="1:18" x14ac:dyDescent="0.3">
      <c r="A3031" t="s">
        <v>259</v>
      </c>
      <c r="B3031" t="s">
        <v>430</v>
      </c>
      <c r="C3031" t="s">
        <v>284</v>
      </c>
      <c r="D3031" s="8">
        <v>7.1376580000000005E-4</v>
      </c>
      <c r="E3031">
        <v>1.9819899999999999E-3</v>
      </c>
      <c r="F3031">
        <v>2.1125829999999999E-3</v>
      </c>
      <c r="G3031">
        <v>3.1980240999999999E-3</v>
      </c>
      <c r="H3031">
        <v>3.3171159499999999E-3</v>
      </c>
      <c r="I3031">
        <v>4.3684938129999896E-3</v>
      </c>
      <c r="J3031">
        <v>5.2318091539999998E-3</v>
      </c>
      <c r="K3031">
        <v>5.891953018E-3</v>
      </c>
      <c r="L3031">
        <v>6.4346295489999998E-3</v>
      </c>
      <c r="M3031">
        <v>6.98359337E-3</v>
      </c>
      <c r="N3031">
        <v>7.4546658899999896E-3</v>
      </c>
      <c r="O3031">
        <v>0</v>
      </c>
      <c r="P3031">
        <v>0</v>
      </c>
      <c r="Q3031">
        <v>0</v>
      </c>
      <c r="R3031" t="s">
        <v>243</v>
      </c>
    </row>
    <row r="3032" spans="1:18" x14ac:dyDescent="0.3">
      <c r="A3032" t="s">
        <v>259</v>
      </c>
      <c r="B3032" t="s">
        <v>430</v>
      </c>
      <c r="C3032" t="s">
        <v>285</v>
      </c>
      <c r="D3032">
        <v>1.7357959999999999E-2</v>
      </c>
      <c r="E3032">
        <v>4.778205E-2</v>
      </c>
      <c r="F3032">
        <v>4.337295E-2</v>
      </c>
      <c r="G3032">
        <v>7.0376006000000005E-2</v>
      </c>
      <c r="H3032">
        <v>7.1963456799999895E-2</v>
      </c>
      <c r="I3032">
        <v>7.9790026089999994E-2</v>
      </c>
      <c r="J3032">
        <v>8.2970323210000002E-2</v>
      </c>
      <c r="K3032">
        <v>8.1926661699999903E-2</v>
      </c>
      <c r="L3032">
        <v>8.2081676289999905E-2</v>
      </c>
      <c r="M3032">
        <v>8.1459541399999905E-2</v>
      </c>
      <c r="N3032">
        <v>7.9955796800000006E-2</v>
      </c>
      <c r="O3032">
        <v>0</v>
      </c>
      <c r="P3032">
        <v>0</v>
      </c>
      <c r="Q3032">
        <v>0</v>
      </c>
      <c r="R3032" t="s">
        <v>243</v>
      </c>
    </row>
    <row r="3033" spans="1:18" x14ac:dyDescent="0.3">
      <c r="A3033" t="s">
        <v>259</v>
      </c>
      <c r="B3033" t="s">
        <v>430</v>
      </c>
      <c r="C3033" t="s">
        <v>286</v>
      </c>
      <c r="D3033">
        <v>1.3479531000000001E-3</v>
      </c>
      <c r="E3033">
        <v>4.1043290000000003E-3</v>
      </c>
      <c r="F3033">
        <v>4.4724930000000001E-3</v>
      </c>
      <c r="G3033">
        <v>6.3539442000000003E-3</v>
      </c>
      <c r="H3033">
        <v>6.8777294399999999E-3</v>
      </c>
      <c r="I3033">
        <v>8.9282490889999993E-3</v>
      </c>
      <c r="J3033">
        <v>1.05439868079999E-2</v>
      </c>
      <c r="K3033">
        <v>1.1799767434E-2</v>
      </c>
      <c r="L3033">
        <v>1.283976868E-2</v>
      </c>
      <c r="M3033">
        <v>1.38821833099999E-2</v>
      </c>
      <c r="N3033">
        <v>1.476391977E-2</v>
      </c>
      <c r="O3033">
        <v>0</v>
      </c>
      <c r="P3033">
        <v>0</v>
      </c>
      <c r="Q3033">
        <v>0</v>
      </c>
      <c r="R3033" t="s">
        <v>243</v>
      </c>
    </row>
    <row r="3034" spans="1:18" x14ac:dyDescent="0.3">
      <c r="A3034" t="s">
        <v>259</v>
      </c>
      <c r="B3034" t="s">
        <v>430</v>
      </c>
      <c r="C3034" t="s">
        <v>287</v>
      </c>
      <c r="D3034">
        <v>1.8561968999999999E-3</v>
      </c>
      <c r="E3034">
        <v>5.9113000000000004E-3</v>
      </c>
      <c r="F3034">
        <v>6.3712320000000001E-3</v>
      </c>
      <c r="G3034">
        <v>9.0401042999999903E-3</v>
      </c>
      <c r="H3034">
        <v>9.7264299799999995E-3</v>
      </c>
      <c r="I3034">
        <v>1.25392190199999E-2</v>
      </c>
      <c r="J3034">
        <v>1.4769701795E-2</v>
      </c>
      <c r="K3034">
        <v>1.6471781931999899E-2</v>
      </c>
      <c r="L3034">
        <v>1.7875078608E-2</v>
      </c>
      <c r="M3034">
        <v>1.92660179699999E-2</v>
      </c>
      <c r="N3034">
        <v>2.0422907529999899E-2</v>
      </c>
      <c r="O3034">
        <v>0</v>
      </c>
      <c r="P3034">
        <v>0</v>
      </c>
      <c r="Q3034">
        <v>0</v>
      </c>
      <c r="R3034" t="s">
        <v>243</v>
      </c>
    </row>
    <row r="3035" spans="1:18" x14ac:dyDescent="0.3">
      <c r="A3035" t="s">
        <v>259</v>
      </c>
      <c r="B3035" t="s">
        <v>430</v>
      </c>
      <c r="C3035" t="s">
        <v>288</v>
      </c>
      <c r="D3035">
        <v>2.4012001000000001E-3</v>
      </c>
      <c r="E3035">
        <v>7.8416830000000003E-3</v>
      </c>
      <c r="F3035">
        <v>8.3003950000000003E-3</v>
      </c>
      <c r="G3035">
        <v>1.1824343500000001E-2</v>
      </c>
      <c r="H3035">
        <v>1.2673242089999899E-2</v>
      </c>
      <c r="I3035">
        <v>1.6221136099999998E-2</v>
      </c>
      <c r="J3035">
        <v>1.8923507629999999E-2</v>
      </c>
      <c r="K3035">
        <v>2.0970280187E-2</v>
      </c>
      <c r="L3035">
        <v>2.2704377602E-2</v>
      </c>
      <c r="M3035">
        <v>2.43790793699999E-2</v>
      </c>
      <c r="N3035">
        <v>2.5727631399999899E-2</v>
      </c>
      <c r="O3035">
        <v>0</v>
      </c>
      <c r="P3035">
        <v>0</v>
      </c>
      <c r="Q3035">
        <v>0</v>
      </c>
      <c r="R3035" t="s">
        <v>243</v>
      </c>
    </row>
    <row r="3036" spans="1:18" x14ac:dyDescent="0.3">
      <c r="A3036" t="s">
        <v>259</v>
      </c>
      <c r="B3036" t="s">
        <v>430</v>
      </c>
      <c r="C3036" t="s">
        <v>289</v>
      </c>
      <c r="D3036">
        <v>2.9992409000000001E-3</v>
      </c>
      <c r="E3036">
        <v>1.0045266999999899E-2</v>
      </c>
      <c r="F3036">
        <v>1.03515999999999E-2</v>
      </c>
      <c r="G3036">
        <v>1.4962513E-2</v>
      </c>
      <c r="H3036">
        <v>1.5915439699999999E-2</v>
      </c>
      <c r="I3036">
        <v>2.016935563E-2</v>
      </c>
      <c r="J3036">
        <v>2.3395550590000001E-2</v>
      </c>
      <c r="K3036">
        <v>2.5732392511999901E-2</v>
      </c>
      <c r="L3036">
        <v>2.7737263825999999E-2</v>
      </c>
      <c r="M3036">
        <v>2.9652237849999999E-2</v>
      </c>
      <c r="N3036">
        <v>3.11669805E-2</v>
      </c>
      <c r="O3036">
        <v>0</v>
      </c>
      <c r="P3036">
        <v>0</v>
      </c>
      <c r="Q3036">
        <v>0</v>
      </c>
      <c r="R3036" t="s">
        <v>243</v>
      </c>
    </row>
    <row r="3037" spans="1:18" x14ac:dyDescent="0.3">
      <c r="A3037" t="s">
        <v>259</v>
      </c>
      <c r="B3037" t="s">
        <v>430</v>
      </c>
      <c r="C3037" t="s">
        <v>290</v>
      </c>
      <c r="D3037">
        <v>3.7204498000000001E-3</v>
      </c>
      <c r="E3037">
        <v>1.266926E-2</v>
      </c>
      <c r="F3037">
        <v>1.26456739999999E-2</v>
      </c>
      <c r="G3037">
        <v>1.8665840999999999E-2</v>
      </c>
      <c r="H3037">
        <v>1.9700282400000001E-2</v>
      </c>
      <c r="I3037">
        <v>2.47427844599999E-2</v>
      </c>
      <c r="J3037">
        <v>2.8469963590000001E-2</v>
      </c>
      <c r="K3037">
        <v>3.1079078150000002E-2</v>
      </c>
      <c r="L3037">
        <v>3.3295244330999903E-2</v>
      </c>
      <c r="M3037">
        <v>3.53695347899999E-2</v>
      </c>
      <c r="N3037">
        <v>3.6994681299999999E-2</v>
      </c>
      <c r="O3037">
        <v>0</v>
      </c>
      <c r="P3037">
        <v>0</v>
      </c>
      <c r="Q3037">
        <v>0</v>
      </c>
      <c r="R3037" t="s">
        <v>243</v>
      </c>
    </row>
    <row r="3038" spans="1:18" x14ac:dyDescent="0.3">
      <c r="A3038" t="s">
        <v>259</v>
      </c>
      <c r="B3038" t="s">
        <v>430</v>
      </c>
      <c r="C3038" t="s">
        <v>291</v>
      </c>
      <c r="D3038">
        <v>4.7655199999999997E-3</v>
      </c>
      <c r="E3038">
        <v>1.574944E-2</v>
      </c>
      <c r="F3038">
        <v>1.5437121999999999E-2</v>
      </c>
      <c r="G3038">
        <v>2.3230354999999901E-2</v>
      </c>
      <c r="H3038">
        <v>2.44549539E-2</v>
      </c>
      <c r="I3038">
        <v>3.0389058859999998E-2</v>
      </c>
      <c r="J3038">
        <v>3.45604799899999E-2</v>
      </c>
      <c r="K3038">
        <v>3.736005362E-2</v>
      </c>
      <c r="L3038">
        <v>3.9790940686999898E-2</v>
      </c>
      <c r="M3038">
        <v>4.2005938460000003E-2</v>
      </c>
      <c r="N3038">
        <v>4.3625209499999998E-2</v>
      </c>
      <c r="O3038">
        <v>0</v>
      </c>
      <c r="P3038">
        <v>0</v>
      </c>
      <c r="Q3038">
        <v>0</v>
      </c>
      <c r="R3038" t="s">
        <v>243</v>
      </c>
    </row>
    <row r="3039" spans="1:18" x14ac:dyDescent="0.3">
      <c r="A3039" t="s">
        <v>259</v>
      </c>
      <c r="B3039" t="s">
        <v>430</v>
      </c>
      <c r="C3039" t="s">
        <v>292</v>
      </c>
      <c r="D3039">
        <v>6.1216539999999998E-3</v>
      </c>
      <c r="E3039">
        <v>1.998014E-2</v>
      </c>
      <c r="F3039">
        <v>1.9550101E-2</v>
      </c>
      <c r="G3039">
        <v>2.9894415000000001E-2</v>
      </c>
      <c r="H3039">
        <v>3.0994703500000002E-2</v>
      </c>
      <c r="I3039">
        <v>3.782830039E-2</v>
      </c>
      <c r="J3039">
        <v>4.2565646379999898E-2</v>
      </c>
      <c r="K3039">
        <v>4.5465133299999898E-2</v>
      </c>
      <c r="L3039">
        <v>4.8011017391999901E-2</v>
      </c>
      <c r="M3039">
        <v>5.0177598299999897E-2</v>
      </c>
      <c r="N3039">
        <v>5.1619700799999897E-2</v>
      </c>
      <c r="O3039">
        <v>0</v>
      </c>
      <c r="P3039">
        <v>0</v>
      </c>
      <c r="Q3039">
        <v>0</v>
      </c>
      <c r="R3039" t="s">
        <v>243</v>
      </c>
    </row>
    <row r="3040" spans="1:18" x14ac:dyDescent="0.3">
      <c r="A3040" t="s">
        <v>259</v>
      </c>
      <c r="B3040" t="s">
        <v>430</v>
      </c>
      <c r="C3040" t="s">
        <v>293</v>
      </c>
      <c r="D3040">
        <v>8.6505729999999999E-3</v>
      </c>
      <c r="E3040">
        <v>2.6196479999999901E-2</v>
      </c>
      <c r="F3040">
        <v>2.539075E-2</v>
      </c>
      <c r="G3040">
        <v>3.9600186000000002E-2</v>
      </c>
      <c r="H3040">
        <v>4.1084316699999901E-2</v>
      </c>
      <c r="I3040">
        <v>4.9058025450000001E-2</v>
      </c>
      <c r="J3040">
        <v>5.4054972489999999E-2</v>
      </c>
      <c r="K3040">
        <v>5.6534977999999902E-2</v>
      </c>
      <c r="L3040">
        <v>5.8845123860000001E-2</v>
      </c>
      <c r="M3040">
        <v>6.0643521099999903E-2</v>
      </c>
      <c r="N3040">
        <v>6.1573879399999899E-2</v>
      </c>
      <c r="O3040">
        <v>0</v>
      </c>
      <c r="P3040">
        <v>0</v>
      </c>
      <c r="Q3040">
        <v>0</v>
      </c>
      <c r="R3040" t="s">
        <v>243</v>
      </c>
    </row>
    <row r="3041" spans="1:18" x14ac:dyDescent="0.3">
      <c r="A3041" t="s">
        <v>259</v>
      </c>
      <c r="B3041" t="s">
        <v>430</v>
      </c>
      <c r="C3041" t="s">
        <v>344</v>
      </c>
      <c r="D3041">
        <v>1.2378800000000001E-2</v>
      </c>
      <c r="E3041">
        <v>1.02574E-2</v>
      </c>
      <c r="F3041">
        <v>1.4899300000000001E-2</v>
      </c>
      <c r="G3041">
        <v>8.0956099999999996E-3</v>
      </c>
      <c r="H3041">
        <v>8.76942E-3</v>
      </c>
      <c r="I3041">
        <v>9.7820100000000007E-3</v>
      </c>
      <c r="J3041">
        <v>1.046177E-2</v>
      </c>
      <c r="K3041">
        <v>1.1057249999999999E-2</v>
      </c>
      <c r="L3041">
        <v>1.150499E-2</v>
      </c>
      <c r="M3041">
        <v>1.18426E-2</v>
      </c>
      <c r="N3041">
        <v>1.208014E-2</v>
      </c>
      <c r="O3041">
        <v>0</v>
      </c>
      <c r="P3041">
        <v>0</v>
      </c>
      <c r="Q3041">
        <v>0</v>
      </c>
      <c r="R3041" t="s">
        <v>243</v>
      </c>
    </row>
    <row r="3042" spans="1:18" x14ac:dyDescent="0.3">
      <c r="A3042" t="s">
        <v>259</v>
      </c>
      <c r="B3042" t="s">
        <v>430</v>
      </c>
      <c r="C3042" t="s">
        <v>345</v>
      </c>
      <c r="D3042" s="8">
        <v>5.2431699999999995E-4</v>
      </c>
      <c r="E3042" s="8">
        <v>3.35464E-4</v>
      </c>
      <c r="F3042" s="8">
        <v>6.8727399999999998E-4</v>
      </c>
      <c r="G3042" s="8">
        <v>3.2685800000000002E-4</v>
      </c>
      <c r="H3042" s="8">
        <v>3.5237400000000002E-4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">
        <v>243</v>
      </c>
    </row>
    <row r="3043" spans="1:18" x14ac:dyDescent="0.3">
      <c r="A3043" t="s">
        <v>259</v>
      </c>
      <c r="B3043" t="s">
        <v>430</v>
      </c>
      <c r="C3043" t="s">
        <v>346</v>
      </c>
      <c r="D3043">
        <v>7.1888100000000003E-3</v>
      </c>
      <c r="E3043">
        <v>5.3813699999999999E-3</v>
      </c>
      <c r="F3043">
        <v>7.9208899999999999E-3</v>
      </c>
      <c r="G3043">
        <v>4.74414E-3</v>
      </c>
      <c r="H3043">
        <v>5.1930399999999899E-3</v>
      </c>
      <c r="I3043">
        <v>5.7520499999999999E-3</v>
      </c>
      <c r="J3043">
        <v>6.1243579999999999E-3</v>
      </c>
      <c r="K3043">
        <v>6.4520799999999998E-3</v>
      </c>
      <c r="L3043">
        <v>6.7023999999999999E-3</v>
      </c>
      <c r="M3043">
        <v>6.89078E-3</v>
      </c>
      <c r="N3043">
        <v>7.0230600000000002E-3</v>
      </c>
      <c r="O3043">
        <v>0</v>
      </c>
      <c r="P3043">
        <v>0</v>
      </c>
      <c r="Q3043">
        <v>0</v>
      </c>
      <c r="R3043" t="s">
        <v>243</v>
      </c>
    </row>
    <row r="3044" spans="1:18" x14ac:dyDescent="0.3">
      <c r="A3044" t="s">
        <v>259</v>
      </c>
      <c r="B3044" t="s">
        <v>430</v>
      </c>
      <c r="C3044" t="s">
        <v>347</v>
      </c>
      <c r="D3044">
        <v>5.4199699999999996E-3</v>
      </c>
      <c r="E3044">
        <v>3.83929E-3</v>
      </c>
      <c r="F3044">
        <v>5.7778400000000002E-3</v>
      </c>
      <c r="G3044">
        <v>3.5288799999999999E-3</v>
      </c>
      <c r="H3044">
        <v>3.85308E-3</v>
      </c>
      <c r="I3044">
        <v>4.25567999999999E-3</v>
      </c>
      <c r="J3044">
        <v>4.5277709999999999E-3</v>
      </c>
      <c r="K3044">
        <v>4.7652939999999998E-3</v>
      </c>
      <c r="L3044">
        <v>4.9465899999999998E-3</v>
      </c>
      <c r="M3044">
        <v>5.0830850000000002E-3</v>
      </c>
      <c r="N3044">
        <v>5.1788069999999997E-3</v>
      </c>
      <c r="O3044">
        <v>0</v>
      </c>
      <c r="P3044">
        <v>0</v>
      </c>
      <c r="Q3044">
        <v>0</v>
      </c>
      <c r="R3044" t="s">
        <v>243</v>
      </c>
    </row>
    <row r="3045" spans="1:18" x14ac:dyDescent="0.3">
      <c r="A3045" t="s">
        <v>259</v>
      </c>
      <c r="B3045" t="s">
        <v>430</v>
      </c>
      <c r="C3045" t="s">
        <v>348</v>
      </c>
      <c r="D3045">
        <v>4.29489E-3</v>
      </c>
      <c r="E3045">
        <v>2.9298900000000001E-3</v>
      </c>
      <c r="F3045">
        <v>4.5228000000000004E-3</v>
      </c>
      <c r="G3045">
        <v>2.7845499999999998E-3</v>
      </c>
      <c r="H3045">
        <v>3.0353699999999999E-3</v>
      </c>
      <c r="I3045">
        <v>3.3445289999999902E-3</v>
      </c>
      <c r="J3045">
        <v>3.5505630000000001E-3</v>
      </c>
      <c r="K3045">
        <v>3.732155E-3</v>
      </c>
      <c r="L3045">
        <v>3.8728E-3</v>
      </c>
      <c r="M3045">
        <v>3.9779220000000001E-3</v>
      </c>
      <c r="N3045">
        <v>4.05080799999999E-3</v>
      </c>
      <c r="O3045">
        <v>0</v>
      </c>
      <c r="P3045">
        <v>0</v>
      </c>
      <c r="Q3045">
        <v>0</v>
      </c>
      <c r="R3045" t="s">
        <v>243</v>
      </c>
    </row>
    <row r="3046" spans="1:18" x14ac:dyDescent="0.3">
      <c r="A3046" t="s">
        <v>259</v>
      </c>
      <c r="B3046" t="s">
        <v>430</v>
      </c>
      <c r="C3046" t="s">
        <v>349</v>
      </c>
      <c r="D3046">
        <v>3.4970600000000002E-3</v>
      </c>
      <c r="E3046">
        <v>2.2939800000000002E-3</v>
      </c>
      <c r="F3046">
        <v>3.6606500000000001E-3</v>
      </c>
      <c r="G3046">
        <v>2.2407600000000001E-3</v>
      </c>
      <c r="H3046">
        <v>2.4367299999999998E-3</v>
      </c>
      <c r="I3046">
        <v>2.6777629999999901E-3</v>
      </c>
      <c r="J3046">
        <v>2.839903E-3</v>
      </c>
      <c r="K3046">
        <v>2.9814519999999999E-3</v>
      </c>
      <c r="L3046">
        <v>3.0917129999999998E-3</v>
      </c>
      <c r="M3046">
        <v>3.174273E-3</v>
      </c>
      <c r="N3046">
        <v>3.2316789999999999E-3</v>
      </c>
      <c r="O3046">
        <v>0</v>
      </c>
      <c r="P3046">
        <v>0</v>
      </c>
      <c r="Q3046">
        <v>0</v>
      </c>
      <c r="R3046" t="s">
        <v>243</v>
      </c>
    </row>
    <row r="3047" spans="1:18" x14ac:dyDescent="0.3">
      <c r="A3047" t="s">
        <v>259</v>
      </c>
      <c r="B3047" t="s">
        <v>430</v>
      </c>
      <c r="C3047" t="s">
        <v>350</v>
      </c>
      <c r="D3047">
        <v>2.85258E-3</v>
      </c>
      <c r="E3047">
        <v>1.8092799999999999E-3</v>
      </c>
      <c r="F3047">
        <v>3.0025400000000002E-3</v>
      </c>
      <c r="G3047">
        <v>1.8096E-3</v>
      </c>
      <c r="H3047">
        <v>1.9632759999999999E-3</v>
      </c>
      <c r="I3047">
        <v>2.1529520000000001E-3</v>
      </c>
      <c r="J3047">
        <v>2.2802859999999999E-3</v>
      </c>
      <c r="K3047">
        <v>2.3916429999999902E-3</v>
      </c>
      <c r="L3047">
        <v>2.4778700000000001E-3</v>
      </c>
      <c r="M3047">
        <v>2.5423099999999999E-3</v>
      </c>
      <c r="N3047">
        <v>2.587626E-3</v>
      </c>
      <c r="O3047">
        <v>0</v>
      </c>
      <c r="P3047">
        <v>0</v>
      </c>
      <c r="Q3047">
        <v>0</v>
      </c>
      <c r="R3047" t="s">
        <v>243</v>
      </c>
    </row>
    <row r="3048" spans="1:18" x14ac:dyDescent="0.3">
      <c r="A3048" t="s">
        <v>259</v>
      </c>
      <c r="B3048" t="s">
        <v>430</v>
      </c>
      <c r="C3048" t="s">
        <v>351</v>
      </c>
      <c r="D3048">
        <v>2.2428000000000001E-3</v>
      </c>
      <c r="E3048">
        <v>1.43563E-3</v>
      </c>
      <c r="F3048">
        <v>2.4467E-3</v>
      </c>
      <c r="G3048">
        <v>1.44874E-3</v>
      </c>
      <c r="H3048">
        <v>1.5703029999999899E-3</v>
      </c>
      <c r="I3048">
        <v>1.7183490000000001E-3</v>
      </c>
      <c r="J3048">
        <v>1.8165799999999999E-3</v>
      </c>
      <c r="K3048">
        <v>1.9031289999999999E-3</v>
      </c>
      <c r="L3048">
        <v>1.9707290000000001E-3</v>
      </c>
      <c r="M3048">
        <v>2.0212759999999998E-3</v>
      </c>
      <c r="N3048">
        <v>2.0562779999999999E-3</v>
      </c>
      <c r="O3048">
        <v>0</v>
      </c>
      <c r="P3048">
        <v>0</v>
      </c>
      <c r="Q3048">
        <v>0</v>
      </c>
      <c r="R3048" t="s">
        <v>243</v>
      </c>
    </row>
    <row r="3049" spans="1:18" x14ac:dyDescent="0.3">
      <c r="A3049" t="s">
        <v>259</v>
      </c>
      <c r="B3049" t="s">
        <v>430</v>
      </c>
      <c r="C3049" t="s">
        <v>352</v>
      </c>
      <c r="D3049">
        <v>1.7438E-3</v>
      </c>
      <c r="E3049">
        <v>1.1012299999999999E-3</v>
      </c>
      <c r="F3049">
        <v>1.8981899999999999E-3</v>
      </c>
      <c r="G3049">
        <v>1.10205E-3</v>
      </c>
      <c r="H3049">
        <v>1.1898080000000001E-3</v>
      </c>
      <c r="I3049">
        <v>1.297802E-3</v>
      </c>
      <c r="J3049">
        <v>1.3706909999999901E-3</v>
      </c>
      <c r="K3049">
        <v>1.4347139999999999E-3</v>
      </c>
      <c r="L3049">
        <v>1.4846169999999999E-3</v>
      </c>
      <c r="M3049">
        <v>1.5215369999999899E-3</v>
      </c>
      <c r="N3049">
        <v>1.547012E-3</v>
      </c>
      <c r="O3049">
        <v>0</v>
      </c>
      <c r="P3049">
        <v>0</v>
      </c>
      <c r="Q3049">
        <v>0</v>
      </c>
      <c r="R3049" t="s">
        <v>243</v>
      </c>
    </row>
    <row r="3050" spans="1:18" x14ac:dyDescent="0.3">
      <c r="A3050" t="s">
        <v>259</v>
      </c>
      <c r="B3050" t="s">
        <v>430</v>
      </c>
      <c r="C3050" t="s">
        <v>353</v>
      </c>
      <c r="D3050">
        <v>1.21042E-3</v>
      </c>
      <c r="E3050" s="8">
        <v>7.9741299999999996E-4</v>
      </c>
      <c r="F3050">
        <v>1.40683E-3</v>
      </c>
      <c r="G3050" s="8">
        <v>7.8876200000000004E-4</v>
      </c>
      <c r="H3050" s="8">
        <v>8.5174399999999998E-4</v>
      </c>
      <c r="I3050" s="8">
        <v>9.2638799999999999E-4</v>
      </c>
      <c r="J3050" s="8">
        <v>9.7614900000000005E-4</v>
      </c>
      <c r="K3050">
        <v>1.0197940000000001E-3</v>
      </c>
      <c r="L3050">
        <v>1.0539989999999999E-3</v>
      </c>
      <c r="M3050" s="8">
        <v>2.5239030000000001E-4</v>
      </c>
      <c r="N3050">
        <v>0</v>
      </c>
      <c r="O3050">
        <v>0</v>
      </c>
      <c r="P3050">
        <v>0</v>
      </c>
      <c r="Q3050">
        <v>0</v>
      </c>
      <c r="R3050" t="s">
        <v>243</v>
      </c>
    </row>
    <row r="3051" spans="1:18" x14ac:dyDescent="0.3">
      <c r="A3051" t="s">
        <v>259</v>
      </c>
      <c r="B3051" t="s">
        <v>430</v>
      </c>
      <c r="C3051" t="s">
        <v>294</v>
      </c>
      <c r="D3051">
        <v>2.6649930299999999E-3</v>
      </c>
      <c r="E3051">
        <v>3.5498650000000001E-3</v>
      </c>
      <c r="F3051">
        <v>3.6190319999999999E-3</v>
      </c>
      <c r="G3051">
        <v>4.3368075000000004E-3</v>
      </c>
      <c r="H3051">
        <v>4.4948276999999997E-3</v>
      </c>
      <c r="I3051">
        <v>5.8556796999999997E-3</v>
      </c>
      <c r="J3051">
        <v>6.8354626999999899E-3</v>
      </c>
      <c r="K3051">
        <v>7.4967236999999897E-3</v>
      </c>
      <c r="L3051">
        <v>8.0277081999999902E-3</v>
      </c>
      <c r="M3051">
        <v>8.4978610000000007E-3</v>
      </c>
      <c r="N3051">
        <v>8.9365231999999992E-3</v>
      </c>
      <c r="O3051">
        <v>0</v>
      </c>
      <c r="P3051">
        <v>0</v>
      </c>
      <c r="Q3051">
        <v>0</v>
      </c>
      <c r="R3051" t="s">
        <v>243</v>
      </c>
    </row>
    <row r="3052" spans="1:18" x14ac:dyDescent="0.3">
      <c r="A3052" t="s">
        <v>259</v>
      </c>
      <c r="B3052" t="s">
        <v>430</v>
      </c>
      <c r="C3052" t="s">
        <v>295</v>
      </c>
      <c r="D3052">
        <v>3.8850312900000003E-2</v>
      </c>
      <c r="E3052">
        <v>4.529507E-2</v>
      </c>
      <c r="F3052">
        <v>3.9902029999999998E-2</v>
      </c>
      <c r="G3052">
        <v>4.3380631999999898E-2</v>
      </c>
      <c r="H3052">
        <v>4.2773447999999999E-2</v>
      </c>
      <c r="I3052">
        <v>4.3369189000000002E-2</v>
      </c>
      <c r="J3052">
        <v>4.1016056000000002E-2</v>
      </c>
      <c r="K3052">
        <v>4.0028527999999897E-2</v>
      </c>
      <c r="L3052">
        <v>4.0167466999999998E-2</v>
      </c>
      <c r="M3052">
        <v>3.9903868199999998E-2</v>
      </c>
      <c r="N3052">
        <v>3.9915996199999998E-2</v>
      </c>
      <c r="O3052">
        <v>0</v>
      </c>
      <c r="P3052">
        <v>0</v>
      </c>
      <c r="Q3052">
        <v>0</v>
      </c>
      <c r="R3052" t="s">
        <v>243</v>
      </c>
    </row>
    <row r="3053" spans="1:18" x14ac:dyDescent="0.3">
      <c r="A3053" t="s">
        <v>259</v>
      </c>
      <c r="B3053" t="s">
        <v>430</v>
      </c>
      <c r="C3053" t="s">
        <v>296</v>
      </c>
      <c r="D3053">
        <v>4.90147049999999E-3</v>
      </c>
      <c r="E3053">
        <v>7.0743910000000002E-3</v>
      </c>
      <c r="F3053">
        <v>7.3117379999999999E-3</v>
      </c>
      <c r="G3053">
        <v>8.1796009999999999E-3</v>
      </c>
      <c r="H3053">
        <v>8.4842551999999901E-3</v>
      </c>
      <c r="I3053">
        <v>1.06015143E-2</v>
      </c>
      <c r="J3053">
        <v>1.19173371E-2</v>
      </c>
      <c r="K3053">
        <v>1.2962308999999899E-2</v>
      </c>
      <c r="L3053">
        <v>1.38336540999999E-2</v>
      </c>
      <c r="M3053">
        <v>1.4579244599999999E-2</v>
      </c>
      <c r="N3053">
        <v>1.52649605999999E-2</v>
      </c>
      <c r="O3053">
        <v>0</v>
      </c>
      <c r="P3053">
        <v>0</v>
      </c>
      <c r="Q3053">
        <v>0</v>
      </c>
      <c r="R3053" t="s">
        <v>243</v>
      </c>
    </row>
    <row r="3054" spans="1:18" x14ac:dyDescent="0.3">
      <c r="A3054" t="s">
        <v>259</v>
      </c>
      <c r="B3054" t="s">
        <v>430</v>
      </c>
      <c r="C3054" t="s">
        <v>297</v>
      </c>
      <c r="D3054">
        <v>6.6191506000000001E-3</v>
      </c>
      <c r="E3054">
        <v>9.8878400000000002E-3</v>
      </c>
      <c r="F3054">
        <v>1.0064399999999999E-2</v>
      </c>
      <c r="G3054">
        <v>1.1177935999999999E-2</v>
      </c>
      <c r="H3054">
        <v>1.1415555500000001E-2</v>
      </c>
      <c r="I3054">
        <v>1.3962543399999999E-2</v>
      </c>
      <c r="J3054">
        <v>1.54277064E-2</v>
      </c>
      <c r="K3054">
        <v>1.6651359599999999E-2</v>
      </c>
      <c r="L3054">
        <v>1.7673561000000001E-2</v>
      </c>
      <c r="M3054">
        <v>1.85170445999999E-2</v>
      </c>
      <c r="N3054">
        <v>1.9286365899999901E-2</v>
      </c>
      <c r="O3054">
        <v>0</v>
      </c>
      <c r="P3054">
        <v>0</v>
      </c>
      <c r="Q3054">
        <v>0</v>
      </c>
      <c r="R3054" t="s">
        <v>243</v>
      </c>
    </row>
    <row r="3055" spans="1:18" x14ac:dyDescent="0.3">
      <c r="A3055" t="s">
        <v>259</v>
      </c>
      <c r="B3055" t="s">
        <v>430</v>
      </c>
      <c r="C3055" t="s">
        <v>298</v>
      </c>
      <c r="D3055">
        <v>8.3936939000000006E-3</v>
      </c>
      <c r="E3055">
        <v>1.272204E-2</v>
      </c>
      <c r="F3055">
        <v>1.268377E-2</v>
      </c>
      <c r="G3055">
        <v>1.40533799999999E-2</v>
      </c>
      <c r="H3055">
        <v>1.4224039000000001E-2</v>
      </c>
      <c r="I3055">
        <v>1.7078958599999899E-2</v>
      </c>
      <c r="J3055">
        <v>1.8501779199999902E-2</v>
      </c>
      <c r="K3055">
        <v>1.97648881999999E-2</v>
      </c>
      <c r="L3055">
        <v>2.0862410099999899E-2</v>
      </c>
      <c r="M3055">
        <v>2.1718218800000001E-2</v>
      </c>
      <c r="N3055">
        <v>2.2482406699999999E-2</v>
      </c>
      <c r="O3055">
        <v>0</v>
      </c>
      <c r="P3055">
        <v>0</v>
      </c>
      <c r="Q3055">
        <v>0</v>
      </c>
      <c r="R3055" t="s">
        <v>243</v>
      </c>
    </row>
    <row r="3056" spans="1:18" x14ac:dyDescent="0.3">
      <c r="A3056" t="s">
        <v>259</v>
      </c>
      <c r="B3056" t="s">
        <v>430</v>
      </c>
      <c r="C3056" t="s">
        <v>299</v>
      </c>
      <c r="D3056">
        <v>1.0266052499999999E-2</v>
      </c>
      <c r="E3056">
        <v>1.5758049999999999E-2</v>
      </c>
      <c r="F3056">
        <v>1.5289209999999999E-2</v>
      </c>
      <c r="G3056">
        <v>1.7038749999999998E-2</v>
      </c>
      <c r="H3056">
        <v>1.7086129999999901E-2</v>
      </c>
      <c r="I3056">
        <v>2.01199276E-2</v>
      </c>
      <c r="J3056">
        <v>2.1447222899999899E-2</v>
      </c>
      <c r="K3056">
        <v>2.2652693499999901E-2</v>
      </c>
      <c r="L3056">
        <v>2.37387058999999E-2</v>
      </c>
      <c r="M3056">
        <v>2.4540556700000001E-2</v>
      </c>
      <c r="N3056">
        <v>2.5261756E-2</v>
      </c>
      <c r="O3056">
        <v>0</v>
      </c>
      <c r="P3056">
        <v>0</v>
      </c>
      <c r="Q3056">
        <v>0</v>
      </c>
      <c r="R3056" t="s">
        <v>243</v>
      </c>
    </row>
    <row r="3057" spans="1:18" x14ac:dyDescent="0.3">
      <c r="A3057" t="s">
        <v>259</v>
      </c>
      <c r="B3057" t="s">
        <v>430</v>
      </c>
      <c r="C3057" t="s">
        <v>300</v>
      </c>
      <c r="D3057">
        <v>1.24262549999999E-2</v>
      </c>
      <c r="E3057">
        <v>1.9117169999999999E-2</v>
      </c>
      <c r="F3057">
        <v>1.8001E-2</v>
      </c>
      <c r="G3057">
        <v>2.0246912999999998E-2</v>
      </c>
      <c r="H3057">
        <v>2.0147109999999999E-2</v>
      </c>
      <c r="I3057">
        <v>2.3284946199999899E-2</v>
      </c>
      <c r="J3057">
        <v>2.4386779800000001E-2</v>
      </c>
      <c r="K3057">
        <v>2.5457213900000001E-2</v>
      </c>
      <c r="L3057">
        <v>2.6455055099999999E-2</v>
      </c>
      <c r="M3057">
        <v>2.7131302400000001E-2</v>
      </c>
      <c r="N3057">
        <v>2.7763764999999899E-2</v>
      </c>
      <c r="O3057">
        <v>0</v>
      </c>
      <c r="P3057">
        <v>0</v>
      </c>
      <c r="Q3057">
        <v>0</v>
      </c>
      <c r="R3057" t="s">
        <v>243</v>
      </c>
    </row>
    <row r="3058" spans="1:18" x14ac:dyDescent="0.3">
      <c r="A3058" t="s">
        <v>259</v>
      </c>
      <c r="B3058" t="s">
        <v>430</v>
      </c>
      <c r="C3058" t="s">
        <v>301</v>
      </c>
      <c r="D3058">
        <v>1.5379834E-2</v>
      </c>
      <c r="E3058">
        <v>2.273321E-2</v>
      </c>
      <c r="F3058">
        <v>2.1036059999999999E-2</v>
      </c>
      <c r="G3058">
        <v>2.3781079E-2</v>
      </c>
      <c r="H3058">
        <v>2.3595259E-2</v>
      </c>
      <c r="I3058">
        <v>2.6717792000000001E-2</v>
      </c>
      <c r="J3058">
        <v>2.74255926E-2</v>
      </c>
      <c r="K3058">
        <v>2.8245493099999901E-2</v>
      </c>
      <c r="L3058">
        <v>2.9117103799999999E-2</v>
      </c>
      <c r="M3058">
        <v>2.9633712899999901E-2</v>
      </c>
      <c r="N3058">
        <v>3.0124072099999899E-2</v>
      </c>
      <c r="O3058">
        <v>0</v>
      </c>
      <c r="P3058">
        <v>0</v>
      </c>
      <c r="Q3058">
        <v>0</v>
      </c>
      <c r="R3058" t="s">
        <v>243</v>
      </c>
    </row>
    <row r="3059" spans="1:18" x14ac:dyDescent="0.3">
      <c r="A3059" t="s">
        <v>259</v>
      </c>
      <c r="B3059" t="s">
        <v>430</v>
      </c>
      <c r="C3059" t="s">
        <v>302</v>
      </c>
      <c r="D3059">
        <v>1.8925047300000001E-2</v>
      </c>
      <c r="E3059">
        <v>2.7175999999999999E-2</v>
      </c>
      <c r="F3059">
        <v>2.5029280000000001E-2</v>
      </c>
      <c r="G3059">
        <v>2.8213419E-2</v>
      </c>
      <c r="H3059">
        <v>2.7739848000000001E-2</v>
      </c>
      <c r="I3059">
        <v>3.0580112999999999E-2</v>
      </c>
      <c r="J3059">
        <v>3.0735813199999899E-2</v>
      </c>
      <c r="K3059">
        <v>3.1183279399999899E-2</v>
      </c>
      <c r="L3059">
        <v>3.1849754000000001E-2</v>
      </c>
      <c r="M3059">
        <v>3.2126507200000001E-2</v>
      </c>
      <c r="N3059">
        <v>3.2445471899999898E-2</v>
      </c>
      <c r="O3059">
        <v>0</v>
      </c>
      <c r="P3059">
        <v>0</v>
      </c>
      <c r="Q3059">
        <v>0</v>
      </c>
      <c r="R3059" t="s">
        <v>243</v>
      </c>
    </row>
    <row r="3060" spans="1:18" x14ac:dyDescent="0.3">
      <c r="A3060" t="s">
        <v>259</v>
      </c>
      <c r="B3060" t="s">
        <v>430</v>
      </c>
      <c r="C3060" t="s">
        <v>303</v>
      </c>
      <c r="D3060">
        <v>2.4761464099999901E-2</v>
      </c>
      <c r="E3060">
        <v>3.2730809999999999E-2</v>
      </c>
      <c r="F3060">
        <v>2.984115E-2</v>
      </c>
      <c r="G3060">
        <v>3.3386488999999998E-2</v>
      </c>
      <c r="H3060">
        <v>3.2897239000000002E-2</v>
      </c>
      <c r="I3060">
        <v>3.5170366000000002E-2</v>
      </c>
      <c r="J3060">
        <v>3.44317915999999E-2</v>
      </c>
      <c r="K3060">
        <v>3.4296767899999997E-2</v>
      </c>
      <c r="L3060">
        <v>3.4690032000000003E-2</v>
      </c>
      <c r="M3060">
        <v>3.47079203E-2</v>
      </c>
      <c r="N3060">
        <v>3.4860825299999898E-2</v>
      </c>
      <c r="O3060">
        <v>0</v>
      </c>
      <c r="P3060">
        <v>0</v>
      </c>
      <c r="Q3060">
        <v>0</v>
      </c>
      <c r="R3060" t="s">
        <v>243</v>
      </c>
    </row>
    <row r="3061" spans="1:18" x14ac:dyDescent="0.3">
      <c r="A3061" t="s">
        <v>259</v>
      </c>
      <c r="B3061" t="s">
        <v>430</v>
      </c>
      <c r="C3061" t="s">
        <v>304</v>
      </c>
      <c r="D3061" s="8">
        <v>7.1152800000000001E-5</v>
      </c>
      <c r="E3061" s="8">
        <v>2.0671099999999999E-4</v>
      </c>
      <c r="F3061" s="8">
        <v>3.1182300000000003E-4</v>
      </c>
      <c r="G3061" s="8">
        <v>3.24915E-4</v>
      </c>
      <c r="H3061" s="8">
        <v>3.2309800000000002E-4</v>
      </c>
      <c r="I3061" s="8">
        <v>4.2733940000000002E-4</v>
      </c>
      <c r="J3061" s="8">
        <v>5.132178E-4</v>
      </c>
      <c r="K3061" s="8">
        <v>6.5028660000000002E-4</v>
      </c>
      <c r="L3061" s="8">
        <v>7.6240899999999905E-4</v>
      </c>
      <c r="M3061" s="8">
        <v>8.7334999999999995E-4</v>
      </c>
      <c r="N3061" s="8">
        <v>9.7248199999999999E-4</v>
      </c>
      <c r="O3061">
        <v>0</v>
      </c>
      <c r="P3061">
        <v>0</v>
      </c>
      <c r="Q3061">
        <v>0</v>
      </c>
      <c r="R3061" t="s">
        <v>243</v>
      </c>
    </row>
    <row r="3062" spans="1:18" x14ac:dyDescent="0.3">
      <c r="A3062" t="s">
        <v>259</v>
      </c>
      <c r="B3062" t="s">
        <v>430</v>
      </c>
      <c r="C3062" t="s">
        <v>305</v>
      </c>
      <c r="D3062">
        <v>2.0733599999999998E-3</v>
      </c>
      <c r="E3062">
        <v>6.6939599999999997E-3</v>
      </c>
      <c r="F3062">
        <v>8.0905899999999999E-3</v>
      </c>
      <c r="G3062">
        <v>1.02817E-2</v>
      </c>
      <c r="H3062">
        <v>1.188283E-2</v>
      </c>
      <c r="I3062">
        <v>1.5650839999999999E-2</v>
      </c>
      <c r="J3062">
        <v>1.8711659999999901E-2</v>
      </c>
      <c r="K3062">
        <v>2.12689E-2</v>
      </c>
      <c r="L3062">
        <v>2.3267429999999999E-2</v>
      </c>
      <c r="M3062">
        <v>2.497773E-2</v>
      </c>
      <c r="N3062">
        <v>2.631621E-2</v>
      </c>
      <c r="O3062">
        <v>0</v>
      </c>
      <c r="P3062">
        <v>0</v>
      </c>
      <c r="Q3062">
        <v>0</v>
      </c>
      <c r="R3062" t="s">
        <v>243</v>
      </c>
    </row>
    <row r="3063" spans="1:18" x14ac:dyDescent="0.3">
      <c r="A3063" t="s">
        <v>259</v>
      </c>
      <c r="B3063" t="s">
        <v>430</v>
      </c>
      <c r="C3063" t="s">
        <v>306</v>
      </c>
      <c r="D3063" s="8">
        <v>1.3544699999999999E-4</v>
      </c>
      <c r="E3063" s="8">
        <v>4.3400600000000002E-4</v>
      </c>
      <c r="F3063" s="8">
        <v>6.6951700000000001E-4</v>
      </c>
      <c r="G3063" s="8">
        <v>6.5634999999999999E-4</v>
      </c>
      <c r="H3063" s="8">
        <v>7.3496999999999896E-4</v>
      </c>
      <c r="I3063">
        <v>1.0110269999999901E-3</v>
      </c>
      <c r="J3063">
        <v>1.251788E-3</v>
      </c>
      <c r="K3063">
        <v>1.5499049999999901E-3</v>
      </c>
      <c r="L3063">
        <v>1.798565E-3</v>
      </c>
      <c r="M3063">
        <v>2.0441159999999999E-3</v>
      </c>
      <c r="N3063">
        <v>2.2648490000000002E-3</v>
      </c>
      <c r="O3063">
        <v>0</v>
      </c>
      <c r="P3063">
        <v>0</v>
      </c>
      <c r="Q3063">
        <v>0</v>
      </c>
      <c r="R3063" t="s">
        <v>243</v>
      </c>
    </row>
    <row r="3064" spans="1:18" x14ac:dyDescent="0.3">
      <c r="A3064" t="s">
        <v>259</v>
      </c>
      <c r="B3064" t="s">
        <v>430</v>
      </c>
      <c r="C3064" t="s">
        <v>307</v>
      </c>
      <c r="D3064" s="8">
        <v>1.87627E-4</v>
      </c>
      <c r="E3064" s="8">
        <v>6.3198099999999999E-4</v>
      </c>
      <c r="F3064" s="8">
        <v>9.6387299999999997E-4</v>
      </c>
      <c r="G3064" s="8">
        <v>9.46199E-4</v>
      </c>
      <c r="H3064">
        <v>1.0759719999999999E-3</v>
      </c>
      <c r="I3064">
        <v>1.4980569999999999E-3</v>
      </c>
      <c r="J3064">
        <v>1.8802059999999999E-3</v>
      </c>
      <c r="K3064">
        <v>2.3167579999999999E-3</v>
      </c>
      <c r="L3064">
        <v>2.6810029999999999E-3</v>
      </c>
      <c r="M3064">
        <v>3.0409199999999999E-3</v>
      </c>
      <c r="N3064">
        <v>3.364981E-3</v>
      </c>
      <c r="O3064">
        <v>0</v>
      </c>
      <c r="P3064">
        <v>0</v>
      </c>
      <c r="Q3064">
        <v>0</v>
      </c>
      <c r="R3064" t="s">
        <v>243</v>
      </c>
    </row>
    <row r="3065" spans="1:18" x14ac:dyDescent="0.3">
      <c r="A3065" t="s">
        <v>259</v>
      </c>
      <c r="B3065" t="s">
        <v>430</v>
      </c>
      <c r="C3065" t="s">
        <v>308</v>
      </c>
      <c r="D3065" s="8">
        <v>2.4420600000000001E-4</v>
      </c>
      <c r="E3065" s="8">
        <v>8.4794500000000001E-4</v>
      </c>
      <c r="F3065">
        <v>1.26885E-3</v>
      </c>
      <c r="G3065">
        <v>1.25409E-3</v>
      </c>
      <c r="H3065">
        <v>1.439538E-3</v>
      </c>
      <c r="I3065">
        <v>2.014844E-3</v>
      </c>
      <c r="J3065">
        <v>2.5282059999999999E-3</v>
      </c>
      <c r="K3065">
        <v>3.0976929999999999E-3</v>
      </c>
      <c r="L3065">
        <v>3.5814139999999898E-3</v>
      </c>
      <c r="M3065">
        <v>4.0549009999999996E-3</v>
      </c>
      <c r="N3065">
        <v>4.477249E-3</v>
      </c>
      <c r="O3065">
        <v>0</v>
      </c>
      <c r="P3065">
        <v>0</v>
      </c>
      <c r="Q3065">
        <v>0</v>
      </c>
      <c r="R3065" t="s">
        <v>243</v>
      </c>
    </row>
    <row r="3066" spans="1:18" x14ac:dyDescent="0.3">
      <c r="A3066" t="s">
        <v>259</v>
      </c>
      <c r="B3066" t="s">
        <v>430</v>
      </c>
      <c r="C3066" t="s">
        <v>309</v>
      </c>
      <c r="D3066" s="8">
        <v>3.07025E-4</v>
      </c>
      <c r="E3066">
        <v>1.10016E-3</v>
      </c>
      <c r="F3066">
        <v>1.59968E-3</v>
      </c>
      <c r="G3066">
        <v>1.6103599999999999E-3</v>
      </c>
      <c r="H3066">
        <v>1.8509069999999999E-3</v>
      </c>
      <c r="I3066">
        <v>2.5899319999999901E-3</v>
      </c>
      <c r="J3066">
        <v>3.2590850000000001E-3</v>
      </c>
      <c r="K3066">
        <v>3.9704120000000004E-3</v>
      </c>
      <c r="L3066">
        <v>4.5774190000000001E-3</v>
      </c>
      <c r="M3066">
        <v>5.1723259999999997E-3</v>
      </c>
      <c r="N3066">
        <v>5.7046290000000001E-3</v>
      </c>
      <c r="O3066">
        <v>0</v>
      </c>
      <c r="P3066">
        <v>0</v>
      </c>
      <c r="Q3066">
        <v>0</v>
      </c>
      <c r="R3066" t="s">
        <v>243</v>
      </c>
    </row>
    <row r="3067" spans="1:18" x14ac:dyDescent="0.3">
      <c r="A3067" t="s">
        <v>259</v>
      </c>
      <c r="B3067" t="s">
        <v>430</v>
      </c>
      <c r="C3067" t="s">
        <v>310</v>
      </c>
      <c r="D3067" s="8">
        <v>3.83796E-4</v>
      </c>
      <c r="E3067">
        <v>1.4086000000000001E-3</v>
      </c>
      <c r="F3067">
        <v>1.9778600000000001E-3</v>
      </c>
      <c r="G3067">
        <v>2.0437699999999999E-3</v>
      </c>
      <c r="H3067">
        <v>2.3470000000000001E-3</v>
      </c>
      <c r="I3067">
        <v>3.2849149999999998E-3</v>
      </c>
      <c r="J3067">
        <v>4.1314019999999898E-3</v>
      </c>
      <c r="K3067">
        <v>5.0098790000000001E-3</v>
      </c>
      <c r="L3067">
        <v>5.7511130000000004E-3</v>
      </c>
      <c r="M3067">
        <v>6.4748029999999899E-3</v>
      </c>
      <c r="N3067">
        <v>7.12972E-3</v>
      </c>
      <c r="O3067">
        <v>0</v>
      </c>
      <c r="P3067">
        <v>0</v>
      </c>
      <c r="Q3067">
        <v>0</v>
      </c>
      <c r="R3067" t="s">
        <v>243</v>
      </c>
    </row>
    <row r="3068" spans="1:18" x14ac:dyDescent="0.3">
      <c r="A3068" t="s">
        <v>259</v>
      </c>
      <c r="B3068" t="s">
        <v>430</v>
      </c>
      <c r="C3068" t="s">
        <v>311</v>
      </c>
      <c r="D3068" s="8">
        <v>4.9701900000000002E-4</v>
      </c>
      <c r="E3068">
        <v>1.7823400000000001E-3</v>
      </c>
      <c r="F3068">
        <v>2.4500099999999999E-3</v>
      </c>
      <c r="G3068">
        <v>2.59823E-3</v>
      </c>
      <c r="H3068">
        <v>2.9976400000000002E-3</v>
      </c>
      <c r="I3068">
        <v>4.1894599999999999E-3</v>
      </c>
      <c r="J3068">
        <v>5.2443979999999999E-3</v>
      </c>
      <c r="K3068">
        <v>6.3213560000000002E-3</v>
      </c>
      <c r="L3068">
        <v>7.2360799999999998E-3</v>
      </c>
      <c r="M3068">
        <v>8.1262000000000001E-3</v>
      </c>
      <c r="N3068">
        <v>8.9176600000000009E-3</v>
      </c>
      <c r="O3068">
        <v>0</v>
      </c>
      <c r="P3068">
        <v>0</v>
      </c>
      <c r="Q3068">
        <v>0</v>
      </c>
      <c r="R3068" t="s">
        <v>243</v>
      </c>
    </row>
    <row r="3069" spans="1:18" x14ac:dyDescent="0.3">
      <c r="A3069" t="s">
        <v>259</v>
      </c>
      <c r="B3069" t="s">
        <v>430</v>
      </c>
      <c r="C3069" t="s">
        <v>312</v>
      </c>
      <c r="D3069" s="8">
        <v>6.4748300000000002E-4</v>
      </c>
      <c r="E3069">
        <v>2.3174799999999998E-3</v>
      </c>
      <c r="F3069">
        <v>3.1708600000000002E-3</v>
      </c>
      <c r="G3069">
        <v>3.4510500000000002E-3</v>
      </c>
      <c r="H3069">
        <v>3.9373899999999998E-3</v>
      </c>
      <c r="I3069">
        <v>5.4593799999999998E-3</v>
      </c>
      <c r="J3069">
        <v>6.8281280000000001E-3</v>
      </c>
      <c r="K3069">
        <v>8.1828000000000005E-3</v>
      </c>
      <c r="L3069">
        <v>9.3222300000000008E-3</v>
      </c>
      <c r="M3069">
        <v>1.0409939999999999E-2</v>
      </c>
      <c r="N3069">
        <v>1.1369310000000001E-2</v>
      </c>
      <c r="O3069">
        <v>0</v>
      </c>
      <c r="P3069">
        <v>0</v>
      </c>
      <c r="Q3069">
        <v>0</v>
      </c>
      <c r="R3069" t="s">
        <v>243</v>
      </c>
    </row>
    <row r="3070" spans="1:18" x14ac:dyDescent="0.3">
      <c r="A3070" t="s">
        <v>259</v>
      </c>
      <c r="B3070" t="s">
        <v>430</v>
      </c>
      <c r="C3070" t="s">
        <v>313</v>
      </c>
      <c r="D3070" s="8">
        <v>9.39196E-4</v>
      </c>
      <c r="E3070">
        <v>3.1542499999999999E-3</v>
      </c>
      <c r="F3070">
        <v>4.2503100000000002E-3</v>
      </c>
      <c r="G3070">
        <v>4.7975700000000001E-3</v>
      </c>
      <c r="H3070">
        <v>5.5281099999999897E-3</v>
      </c>
      <c r="I3070">
        <v>7.6007399999999999E-3</v>
      </c>
      <c r="J3070">
        <v>9.4056950000000004E-3</v>
      </c>
      <c r="K3070">
        <v>1.1120949999999999E-2</v>
      </c>
      <c r="L3070">
        <v>1.25511599999999E-2</v>
      </c>
      <c r="M3070">
        <v>1.39067299999999E-2</v>
      </c>
      <c r="N3070">
        <v>1.508581E-2</v>
      </c>
      <c r="O3070">
        <v>0</v>
      </c>
      <c r="P3070">
        <v>0</v>
      </c>
      <c r="Q3070">
        <v>0</v>
      </c>
      <c r="R3070" t="s">
        <v>243</v>
      </c>
    </row>
    <row r="3071" spans="1:18" x14ac:dyDescent="0.3">
      <c r="A3071" t="s">
        <v>259</v>
      </c>
      <c r="B3071" t="s">
        <v>430</v>
      </c>
      <c r="C3071" t="s">
        <v>416</v>
      </c>
      <c r="D3071">
        <v>3.5667600000000001E-2</v>
      </c>
      <c r="E3071">
        <v>2.7480899999999999E-2</v>
      </c>
      <c r="F3071">
        <v>4.1948899999999997E-2</v>
      </c>
      <c r="G3071">
        <v>2.3522399999999999E-2</v>
      </c>
      <c r="H3071">
        <v>2.5378999999999999E-2</v>
      </c>
      <c r="I3071">
        <v>2.82338E-2</v>
      </c>
      <c r="J3071">
        <v>3.0283000000000001E-2</v>
      </c>
      <c r="K3071">
        <v>3.1978600000000003E-2</v>
      </c>
      <c r="L3071">
        <v>3.3263500000000001E-2</v>
      </c>
      <c r="M3071">
        <v>3.4259100000000001E-2</v>
      </c>
      <c r="N3071">
        <v>3.49393E-2</v>
      </c>
      <c r="O3071">
        <v>0</v>
      </c>
      <c r="P3071">
        <v>0</v>
      </c>
      <c r="Q3071">
        <v>0</v>
      </c>
      <c r="R3071" t="s">
        <v>243</v>
      </c>
    </row>
    <row r="3072" spans="1:18" x14ac:dyDescent="0.3">
      <c r="A3072" t="s">
        <v>259</v>
      </c>
      <c r="B3072" t="s">
        <v>430</v>
      </c>
      <c r="C3072" t="s">
        <v>417</v>
      </c>
      <c r="D3072" s="8">
        <v>1.0372100000000001E-7</v>
      </c>
      <c r="E3072" s="8">
        <v>3.1347700000000001E-8</v>
      </c>
      <c r="F3072" s="8">
        <v>1.6339399999999999E-7</v>
      </c>
      <c r="G3072" s="8">
        <v>4.37739E-8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">
        <v>243</v>
      </c>
    </row>
    <row r="3073" spans="1:18" x14ac:dyDescent="0.3">
      <c r="A3073" t="s">
        <v>259</v>
      </c>
      <c r="B3073" t="s">
        <v>430</v>
      </c>
      <c r="C3073" t="s">
        <v>418</v>
      </c>
      <c r="D3073">
        <v>3.7366000000000001E-3</v>
      </c>
      <c r="E3073">
        <v>1.94272E-3</v>
      </c>
      <c r="F3073">
        <v>2.9588800000000001E-3</v>
      </c>
      <c r="G3073">
        <v>2.2942100000000001E-3</v>
      </c>
      <c r="H3073">
        <v>2.5014199999999999E-3</v>
      </c>
      <c r="I3073">
        <v>2.76311E-3</v>
      </c>
      <c r="J3073">
        <v>2.9504000000000002E-3</v>
      </c>
      <c r="K3073">
        <v>3.1056899999999999E-3</v>
      </c>
      <c r="L3073">
        <v>3.2251699999999999E-3</v>
      </c>
      <c r="M3073">
        <v>3.3177100000000002E-3</v>
      </c>
      <c r="N3073">
        <v>0</v>
      </c>
      <c r="O3073">
        <v>0</v>
      </c>
      <c r="P3073">
        <v>0</v>
      </c>
      <c r="Q3073">
        <v>0</v>
      </c>
      <c r="R3073" t="s">
        <v>243</v>
      </c>
    </row>
    <row r="3074" spans="1:18" x14ac:dyDescent="0.3">
      <c r="A3074" t="s">
        <v>259</v>
      </c>
      <c r="B3074" t="s">
        <v>430</v>
      </c>
      <c r="C3074" t="s">
        <v>419</v>
      </c>
      <c r="D3074">
        <v>1.1690800000000001E-3</v>
      </c>
      <c r="E3074" s="8">
        <v>4.9229799999999995E-4</v>
      </c>
      <c r="F3074" s="8">
        <v>8.0355900000000002E-4</v>
      </c>
      <c r="G3074" s="8">
        <v>6.5131399999999995E-4</v>
      </c>
      <c r="H3074" s="8">
        <v>7.0834700000000001E-4</v>
      </c>
      <c r="I3074" s="8">
        <v>7.8020800000000001E-4</v>
      </c>
      <c r="J3074" s="8">
        <v>8.32499E-4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t="s">
        <v>243</v>
      </c>
    </row>
    <row r="3075" spans="1:18" x14ac:dyDescent="0.3">
      <c r="A3075" t="s">
        <v>259</v>
      </c>
      <c r="B3075" t="s">
        <v>430</v>
      </c>
      <c r="C3075" t="s">
        <v>420</v>
      </c>
      <c r="D3075" s="8">
        <v>4.5144599999999999E-4</v>
      </c>
      <c r="E3075" s="8">
        <v>1.6522600000000001E-4</v>
      </c>
      <c r="F3075" s="8">
        <v>2.9470800000000003E-4</v>
      </c>
      <c r="G3075" s="8">
        <v>2.4082800000000001E-4</v>
      </c>
      <c r="H3075" s="8">
        <v>2.6148499999999999E-4</v>
      </c>
      <c r="I3075" s="8">
        <v>2.8732200000000001E-4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s">
        <v>243</v>
      </c>
    </row>
    <row r="3076" spans="1:18" x14ac:dyDescent="0.3">
      <c r="A3076" t="s">
        <v>259</v>
      </c>
      <c r="B3076" t="s">
        <v>430</v>
      </c>
      <c r="C3076" t="s">
        <v>421</v>
      </c>
      <c r="D3076" s="8">
        <v>1.9565500000000001E-4</v>
      </c>
      <c r="E3076" s="8">
        <v>6.1849100000000004E-5</v>
      </c>
      <c r="F3076" s="8">
        <v>1.2467199999999999E-4</v>
      </c>
      <c r="G3076" s="8">
        <v>9.7595099999999997E-5</v>
      </c>
      <c r="H3076" s="8">
        <v>1.0571E-4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">
        <v>243</v>
      </c>
    </row>
    <row r="3077" spans="1:18" x14ac:dyDescent="0.3">
      <c r="A3077" t="s">
        <v>259</v>
      </c>
      <c r="B3077" t="s">
        <v>430</v>
      </c>
      <c r="C3077" t="s">
        <v>422</v>
      </c>
      <c r="D3077" s="8">
        <v>8.5761199999999995E-5</v>
      </c>
      <c r="E3077" s="8">
        <v>2.39627E-5</v>
      </c>
      <c r="F3077" s="8">
        <v>5.5940299999999997E-5</v>
      </c>
      <c r="G3077" s="8">
        <v>4.0457400000000003E-5</v>
      </c>
      <c r="H3077" s="8">
        <v>4.3718999999999999E-5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">
        <v>243</v>
      </c>
    </row>
    <row r="3078" spans="1:18" x14ac:dyDescent="0.3">
      <c r="A3078" t="s">
        <v>259</v>
      </c>
      <c r="B3078" t="s">
        <v>430</v>
      </c>
      <c r="C3078" t="s">
        <v>423</v>
      </c>
      <c r="D3078" s="8">
        <v>3.2552399999999997E-5</v>
      </c>
      <c r="E3078" s="8">
        <v>9.55322E-6</v>
      </c>
      <c r="F3078" s="8">
        <v>2.4558300000000002E-5</v>
      </c>
      <c r="G3078" s="8">
        <v>1.6304499999999999E-5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243</v>
      </c>
    </row>
    <row r="3079" spans="1:18" x14ac:dyDescent="0.3">
      <c r="A3079" t="s">
        <v>259</v>
      </c>
      <c r="B3079" t="s">
        <v>430</v>
      </c>
      <c r="C3079" t="s">
        <v>424</v>
      </c>
      <c r="D3079" s="8">
        <v>1.188E-5</v>
      </c>
      <c r="E3079" s="8">
        <v>3.3489799999999999E-6</v>
      </c>
      <c r="F3079" s="8">
        <v>8.9062499999999996E-6</v>
      </c>
      <c r="G3079" s="8">
        <v>5.3841900000000002E-6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t="s">
        <v>243</v>
      </c>
    </row>
    <row r="3080" spans="1:18" x14ac:dyDescent="0.3">
      <c r="A3080" t="s">
        <v>259</v>
      </c>
      <c r="B3080" t="s">
        <v>430</v>
      </c>
      <c r="C3080" t="s">
        <v>425</v>
      </c>
      <c r="D3080" s="8">
        <v>2.7818499999999999E-6</v>
      </c>
      <c r="E3080" s="8">
        <v>9.4043199999999996E-7</v>
      </c>
      <c r="F3080" s="8">
        <v>2.7128500000000002E-6</v>
      </c>
      <c r="G3080" s="8">
        <v>1.4084900000000001E-6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243</v>
      </c>
    </row>
    <row r="3081" spans="1:18" x14ac:dyDescent="0.3">
      <c r="A3081" t="s">
        <v>259</v>
      </c>
      <c r="B3081" t="s">
        <v>430</v>
      </c>
      <c r="C3081" t="s">
        <v>314</v>
      </c>
      <c r="D3081">
        <v>6.1091497999999998E-3</v>
      </c>
      <c r="E3081">
        <v>7.6773340000000001E-3</v>
      </c>
      <c r="F3081">
        <v>6.7254280000000003E-3</v>
      </c>
      <c r="G3081">
        <v>6.9985539999999997E-3</v>
      </c>
      <c r="H3081">
        <v>7.5821489999999998E-3</v>
      </c>
      <c r="I3081">
        <v>8.8045042899999992E-3</v>
      </c>
      <c r="J3081">
        <v>9.5449964999999998E-3</v>
      </c>
      <c r="K3081">
        <v>1.00157189E-2</v>
      </c>
      <c r="L3081">
        <v>1.0287301699999999E-2</v>
      </c>
      <c r="M3081">
        <v>1.04408696E-2</v>
      </c>
      <c r="N3081">
        <v>1.05105229999999E-2</v>
      </c>
      <c r="O3081">
        <v>0</v>
      </c>
      <c r="P3081">
        <v>0</v>
      </c>
      <c r="Q3081">
        <v>0</v>
      </c>
      <c r="R3081" t="s">
        <v>243</v>
      </c>
    </row>
    <row r="3082" spans="1:18" x14ac:dyDescent="0.3">
      <c r="A3082" t="s">
        <v>259</v>
      </c>
      <c r="B3082" t="s">
        <v>430</v>
      </c>
      <c r="C3082" t="s">
        <v>315</v>
      </c>
      <c r="D3082">
        <v>2.0205651500000001E-2</v>
      </c>
      <c r="E3082">
        <v>2.170886E-2</v>
      </c>
      <c r="F3082">
        <v>1.824168E-2</v>
      </c>
      <c r="G3082">
        <v>1.8720799999999899E-2</v>
      </c>
      <c r="H3082">
        <v>1.9783387E-2</v>
      </c>
      <c r="I3082">
        <v>2.0620717E-2</v>
      </c>
      <c r="J3082">
        <v>2.1090899E-2</v>
      </c>
      <c r="K3082">
        <v>2.12822836E-2</v>
      </c>
      <c r="L3082">
        <v>2.1383406000000001E-2</v>
      </c>
      <c r="M3082">
        <v>2.1328225999999999E-2</v>
      </c>
      <c r="N3082">
        <v>2.1195561000000002E-2</v>
      </c>
      <c r="O3082">
        <v>0</v>
      </c>
      <c r="P3082">
        <v>0</v>
      </c>
      <c r="Q3082">
        <v>0</v>
      </c>
      <c r="R3082" t="s">
        <v>243</v>
      </c>
    </row>
    <row r="3083" spans="1:18" x14ac:dyDescent="0.3">
      <c r="A3083" t="s">
        <v>259</v>
      </c>
      <c r="B3083" t="s">
        <v>430</v>
      </c>
      <c r="C3083" t="s">
        <v>316</v>
      </c>
      <c r="D3083">
        <v>9.2435907000000001E-3</v>
      </c>
      <c r="E3083">
        <v>1.151482E-2</v>
      </c>
      <c r="F3083">
        <v>1.00705899999999E-2</v>
      </c>
      <c r="G3083">
        <v>9.7700040000000005E-3</v>
      </c>
      <c r="H3083">
        <v>1.0646907000000001E-2</v>
      </c>
      <c r="I3083">
        <v>1.1692922839999899E-2</v>
      </c>
      <c r="J3083">
        <v>1.22534000999999E-2</v>
      </c>
      <c r="K3083">
        <v>1.2567232500000001E-2</v>
      </c>
      <c r="L3083">
        <v>1.2743747200000001E-2</v>
      </c>
      <c r="M3083">
        <v>1.27985554E-2</v>
      </c>
      <c r="N3083">
        <v>1.2784759E-2</v>
      </c>
      <c r="O3083">
        <v>0</v>
      </c>
      <c r="P3083">
        <v>0</v>
      </c>
      <c r="Q3083">
        <v>0</v>
      </c>
      <c r="R3083" t="s">
        <v>243</v>
      </c>
    </row>
    <row r="3084" spans="1:18" x14ac:dyDescent="0.3">
      <c r="A3084" t="s">
        <v>259</v>
      </c>
      <c r="B3084" t="s">
        <v>430</v>
      </c>
      <c r="C3084" t="s">
        <v>317</v>
      </c>
      <c r="D3084">
        <v>1.0960534799999999E-2</v>
      </c>
      <c r="E3084">
        <v>1.3355799999999999E-2</v>
      </c>
      <c r="F3084">
        <v>1.156314E-2</v>
      </c>
      <c r="G3084">
        <v>1.1087662999999999E-2</v>
      </c>
      <c r="H3084">
        <v>1.195591E-2</v>
      </c>
      <c r="I3084">
        <v>1.288933508E-2</v>
      </c>
      <c r="J3084">
        <v>1.3402547000000001E-2</v>
      </c>
      <c r="K3084">
        <v>1.36811931999999E-2</v>
      </c>
      <c r="L3084">
        <v>1.38396753E-2</v>
      </c>
      <c r="M3084">
        <v>1.3876833999999999E-2</v>
      </c>
      <c r="N3084">
        <v>1.3847737000000001E-2</v>
      </c>
      <c r="O3084">
        <v>0</v>
      </c>
      <c r="P3084">
        <v>0</v>
      </c>
      <c r="Q3084">
        <v>0</v>
      </c>
      <c r="R3084" t="s">
        <v>243</v>
      </c>
    </row>
    <row r="3085" spans="1:18" x14ac:dyDescent="0.3">
      <c r="A3085" t="s">
        <v>259</v>
      </c>
      <c r="B3085" t="s">
        <v>430</v>
      </c>
      <c r="C3085" t="s">
        <v>318</v>
      </c>
      <c r="D3085">
        <v>1.2313927699999999E-2</v>
      </c>
      <c r="E3085">
        <v>1.4626500000000001E-2</v>
      </c>
      <c r="F3085">
        <v>1.256792E-2</v>
      </c>
      <c r="G3085">
        <v>1.2011342E-2</v>
      </c>
      <c r="H3085">
        <v>1.287894E-2</v>
      </c>
      <c r="I3085">
        <v>1.375434069E-2</v>
      </c>
      <c r="J3085">
        <v>1.42356759E-2</v>
      </c>
      <c r="K3085">
        <v>1.44995906999999E-2</v>
      </c>
      <c r="L3085">
        <v>1.46573691E-2</v>
      </c>
      <c r="M3085">
        <v>1.4687606000000001E-2</v>
      </c>
      <c r="N3085">
        <v>1.4648187999999999E-2</v>
      </c>
      <c r="O3085">
        <v>0</v>
      </c>
      <c r="P3085">
        <v>0</v>
      </c>
      <c r="Q3085">
        <v>0</v>
      </c>
      <c r="R3085" t="s">
        <v>243</v>
      </c>
    </row>
    <row r="3086" spans="1:18" x14ac:dyDescent="0.3">
      <c r="A3086" t="s">
        <v>259</v>
      </c>
      <c r="B3086" t="s">
        <v>430</v>
      </c>
      <c r="C3086" t="s">
        <v>319</v>
      </c>
      <c r="D3086">
        <v>1.3416284000000001E-2</v>
      </c>
      <c r="E3086">
        <v>1.5618989999999999E-2</v>
      </c>
      <c r="F3086">
        <v>1.333378E-2</v>
      </c>
      <c r="G3086">
        <v>1.278051E-2</v>
      </c>
      <c r="H3086">
        <v>1.3642145E-2</v>
      </c>
      <c r="I3086">
        <v>1.4486524190000001E-2</v>
      </c>
      <c r="J3086">
        <v>1.49673200999999E-2</v>
      </c>
      <c r="K3086">
        <v>1.52222101E-2</v>
      </c>
      <c r="L3086">
        <v>1.5376309100000001E-2</v>
      </c>
      <c r="M3086">
        <v>1.5401138999999999E-2</v>
      </c>
      <c r="N3086">
        <v>1.5356039E-2</v>
      </c>
      <c r="O3086">
        <v>0</v>
      </c>
      <c r="P3086">
        <v>0</v>
      </c>
      <c r="Q3086">
        <v>0</v>
      </c>
      <c r="R3086" t="s">
        <v>243</v>
      </c>
    </row>
    <row r="3087" spans="1:18" x14ac:dyDescent="0.3">
      <c r="A3087" t="s">
        <v>259</v>
      </c>
      <c r="B3087" t="s">
        <v>430</v>
      </c>
      <c r="C3087" t="s">
        <v>320</v>
      </c>
      <c r="D3087">
        <v>1.4401027300000001E-2</v>
      </c>
      <c r="E3087">
        <v>1.6471699999999999E-2</v>
      </c>
      <c r="F3087">
        <v>1.398607E-2</v>
      </c>
      <c r="G3087">
        <v>1.349156E-2</v>
      </c>
      <c r="H3087">
        <v>1.4354403E-2</v>
      </c>
      <c r="I3087">
        <v>1.51930026699999E-2</v>
      </c>
      <c r="J3087">
        <v>1.5673307899999999E-2</v>
      </c>
      <c r="K3087">
        <v>1.5924026500000001E-2</v>
      </c>
      <c r="L3087">
        <v>1.6070633899999999E-2</v>
      </c>
      <c r="M3087">
        <v>1.6085677E-2</v>
      </c>
      <c r="N3087">
        <v>1.6034441E-2</v>
      </c>
      <c r="O3087">
        <v>0</v>
      </c>
      <c r="P3087">
        <v>0</v>
      </c>
      <c r="Q3087">
        <v>0</v>
      </c>
      <c r="R3087" t="s">
        <v>243</v>
      </c>
    </row>
    <row r="3088" spans="1:18" x14ac:dyDescent="0.3">
      <c r="A3088" t="s">
        <v>259</v>
      </c>
      <c r="B3088" t="s">
        <v>430</v>
      </c>
      <c r="C3088" t="s">
        <v>321</v>
      </c>
      <c r="D3088">
        <v>1.54247842999999E-2</v>
      </c>
      <c r="E3088">
        <v>1.723831E-2</v>
      </c>
      <c r="F3088">
        <v>1.461667E-2</v>
      </c>
      <c r="G3088">
        <v>1.420576E-2</v>
      </c>
      <c r="H3088">
        <v>1.5095341999999999E-2</v>
      </c>
      <c r="I3088">
        <v>1.5937107959999999E-2</v>
      </c>
      <c r="J3088">
        <v>1.6409672600000001E-2</v>
      </c>
      <c r="K3088">
        <v>1.66531483E-2</v>
      </c>
      <c r="L3088">
        <v>1.6797731199999999E-2</v>
      </c>
      <c r="M3088">
        <v>1.6807638E-2</v>
      </c>
      <c r="N3088">
        <v>1.6745733999999901E-2</v>
      </c>
      <c r="O3088">
        <v>0</v>
      </c>
      <c r="P3088">
        <v>0</v>
      </c>
      <c r="Q3088">
        <v>0</v>
      </c>
      <c r="R3088" t="s">
        <v>243</v>
      </c>
    </row>
    <row r="3089" spans="1:18" x14ac:dyDescent="0.3">
      <c r="A3089" t="s">
        <v>259</v>
      </c>
      <c r="B3089" t="s">
        <v>430</v>
      </c>
      <c r="C3089" t="s">
        <v>322</v>
      </c>
      <c r="D3089">
        <v>1.6364421899999999E-2</v>
      </c>
      <c r="E3089">
        <v>1.807926E-2</v>
      </c>
      <c r="F3089">
        <v>1.536593E-2</v>
      </c>
      <c r="G3089">
        <v>1.50658759999999E-2</v>
      </c>
      <c r="H3089">
        <v>1.5944418999999901E-2</v>
      </c>
      <c r="I3089">
        <v>1.6777910909999999E-2</v>
      </c>
      <c r="J3089">
        <v>1.72596073E-2</v>
      </c>
      <c r="K3089">
        <v>1.7499891E-2</v>
      </c>
      <c r="L3089">
        <v>1.7639111599999899E-2</v>
      </c>
      <c r="M3089">
        <v>1.7636274E-2</v>
      </c>
      <c r="N3089">
        <v>1.7561344E-2</v>
      </c>
      <c r="O3089">
        <v>0</v>
      </c>
      <c r="P3089">
        <v>0</v>
      </c>
      <c r="Q3089">
        <v>0</v>
      </c>
      <c r="R3089" t="s">
        <v>243</v>
      </c>
    </row>
    <row r="3090" spans="1:18" x14ac:dyDescent="0.3">
      <c r="A3090" t="s">
        <v>259</v>
      </c>
      <c r="B3090" t="s">
        <v>430</v>
      </c>
      <c r="C3090" t="s">
        <v>323</v>
      </c>
      <c r="D3090">
        <v>1.75865849E-2</v>
      </c>
      <c r="E3090">
        <v>1.9081959999999999E-2</v>
      </c>
      <c r="F3090">
        <v>1.62291899999999E-2</v>
      </c>
      <c r="G3090">
        <v>1.6099532999999999E-2</v>
      </c>
      <c r="H3090">
        <v>1.7041641E-2</v>
      </c>
      <c r="I3090">
        <v>1.7880558179999999E-2</v>
      </c>
      <c r="J3090">
        <v>1.83514761E-2</v>
      </c>
      <c r="K3090">
        <v>1.8571523E-2</v>
      </c>
      <c r="L3090">
        <v>1.8696741199999999E-2</v>
      </c>
      <c r="M3090">
        <v>1.8680302999999999E-2</v>
      </c>
      <c r="N3090">
        <v>1.8591428E-2</v>
      </c>
      <c r="O3090">
        <v>0</v>
      </c>
      <c r="P3090">
        <v>0</v>
      </c>
      <c r="Q3090">
        <v>0</v>
      </c>
      <c r="R3090" t="s">
        <v>243</v>
      </c>
    </row>
    <row r="3091" spans="1:18" x14ac:dyDescent="0.3">
      <c r="A3091" t="s">
        <v>259</v>
      </c>
      <c r="B3091" t="s">
        <v>63</v>
      </c>
      <c r="C3091" t="s">
        <v>261</v>
      </c>
      <c r="D3091">
        <v>5.9557999999999998E-3</v>
      </c>
      <c r="E3091">
        <v>8.3498400000000007E-3</v>
      </c>
      <c r="F3091">
        <v>8.1464199999999997E-3</v>
      </c>
      <c r="G3091">
        <v>7.7253599999999997E-3</v>
      </c>
      <c r="H3091">
        <v>7.3756949999999903E-3</v>
      </c>
      <c r="I3091">
        <v>7.5512009999999996E-3</v>
      </c>
      <c r="J3091">
        <v>7.0928269999999899E-3</v>
      </c>
      <c r="K3091">
        <v>6.9649159999999998E-3</v>
      </c>
      <c r="L3091">
        <v>6.81117599999999E-3</v>
      </c>
      <c r="M3091">
        <v>6.6152794999999997E-3</v>
      </c>
      <c r="N3091">
        <v>6.4470833999999899E-3</v>
      </c>
      <c r="O3091">
        <v>0</v>
      </c>
      <c r="P3091">
        <v>0</v>
      </c>
      <c r="Q3091">
        <v>0</v>
      </c>
      <c r="R3091" t="s">
        <v>243</v>
      </c>
    </row>
    <row r="3092" spans="1:18" x14ac:dyDescent="0.3">
      <c r="A3092" t="s">
        <v>259</v>
      </c>
      <c r="B3092" t="s">
        <v>63</v>
      </c>
      <c r="C3092" t="s">
        <v>262</v>
      </c>
      <c r="D3092">
        <v>3.8319052999999999E-2</v>
      </c>
      <c r="E3092">
        <v>4.3612705959199902E-2</v>
      </c>
      <c r="F3092">
        <v>3.7942443795999897E-2</v>
      </c>
      <c r="G3092">
        <v>4.9052649900000002E-2</v>
      </c>
      <c r="H3092">
        <v>5.9741618999999899E-2</v>
      </c>
      <c r="I3092">
        <v>6.6789847669999999E-2</v>
      </c>
      <c r="J3092">
        <v>7.1029882860000004E-2</v>
      </c>
      <c r="K3092">
        <v>7.5072205949999901E-2</v>
      </c>
      <c r="L3092">
        <v>7.7573805819999994E-2</v>
      </c>
      <c r="M3092">
        <v>8.1011781315000003E-2</v>
      </c>
      <c r="N3092">
        <v>8.3732269870000001E-2</v>
      </c>
      <c r="O3092">
        <v>0</v>
      </c>
      <c r="P3092">
        <v>0</v>
      </c>
      <c r="Q3092">
        <v>0</v>
      </c>
      <c r="R3092" t="s">
        <v>243</v>
      </c>
    </row>
    <row r="3093" spans="1:18" x14ac:dyDescent="0.3">
      <c r="A3093" t="s">
        <v>259</v>
      </c>
      <c r="B3093" t="s">
        <v>63</v>
      </c>
      <c r="C3093" t="s">
        <v>263</v>
      </c>
      <c r="D3093">
        <v>0.66416390000000003</v>
      </c>
      <c r="E3093">
        <v>0.71392809999999995</v>
      </c>
      <c r="F3093">
        <v>0.66911729999999903</v>
      </c>
      <c r="G3093">
        <v>0.63376739999999998</v>
      </c>
      <c r="H3093">
        <v>0.590565228</v>
      </c>
      <c r="I3093">
        <v>0.64355895399999996</v>
      </c>
      <c r="J3093">
        <v>0.66484725</v>
      </c>
      <c r="K3093">
        <v>0.68991047500000002</v>
      </c>
      <c r="L3093">
        <v>0.71426953900000001</v>
      </c>
      <c r="M3093">
        <v>0.73750443499999996</v>
      </c>
      <c r="N3093">
        <v>0.75389105499999898</v>
      </c>
      <c r="O3093">
        <v>0</v>
      </c>
      <c r="P3093">
        <v>0</v>
      </c>
      <c r="Q3093">
        <v>0</v>
      </c>
      <c r="R3093" t="s">
        <v>243</v>
      </c>
    </row>
    <row r="3094" spans="1:18" x14ac:dyDescent="0.3">
      <c r="A3094" t="s">
        <v>259</v>
      </c>
      <c r="B3094" t="s">
        <v>63</v>
      </c>
      <c r="C3094" t="s">
        <v>264</v>
      </c>
      <c r="D3094">
        <v>1.0557184999999999E-3</v>
      </c>
      <c r="E3094">
        <v>1.4712129999999901E-3</v>
      </c>
      <c r="F3094">
        <v>1.8666309999999899E-3</v>
      </c>
      <c r="G3094">
        <v>1.8355590000000001E-3</v>
      </c>
      <c r="H3094">
        <v>1.927448E-3</v>
      </c>
      <c r="I3094">
        <v>2.1260129999999999E-3</v>
      </c>
      <c r="J3094">
        <v>2.4371449999999999E-3</v>
      </c>
      <c r="K3094">
        <v>2.6959809E-3</v>
      </c>
      <c r="L3094">
        <v>2.8904870000000002E-3</v>
      </c>
      <c r="M3094">
        <v>3.0666917000000001E-3</v>
      </c>
      <c r="N3094">
        <v>3.2437914999999999E-3</v>
      </c>
      <c r="O3094">
        <v>0</v>
      </c>
      <c r="P3094">
        <v>0</v>
      </c>
      <c r="Q3094">
        <v>0</v>
      </c>
      <c r="R3094" t="s">
        <v>243</v>
      </c>
    </row>
    <row r="3095" spans="1:18" x14ac:dyDescent="0.3">
      <c r="A3095" t="s">
        <v>259</v>
      </c>
      <c r="B3095" t="s">
        <v>63</v>
      </c>
      <c r="C3095" t="s">
        <v>265</v>
      </c>
      <c r="D3095">
        <v>1.1202673E-2</v>
      </c>
      <c r="E3095">
        <v>1.3902869999999999E-2</v>
      </c>
      <c r="F3095">
        <v>1.772992E-2</v>
      </c>
      <c r="G3095">
        <v>1.8179609999999999E-2</v>
      </c>
      <c r="H3095">
        <v>1.760252E-2</v>
      </c>
      <c r="I3095">
        <v>2.0463720000000001E-2</v>
      </c>
      <c r="J3095">
        <v>2.2530639000000002E-2</v>
      </c>
      <c r="K3095">
        <v>2.4090532000000001E-2</v>
      </c>
      <c r="L3095">
        <v>2.4956910999999998E-2</v>
      </c>
      <c r="M3095">
        <v>2.5495408000000001E-2</v>
      </c>
      <c r="N3095">
        <v>2.5966138999999999E-2</v>
      </c>
      <c r="O3095">
        <v>0</v>
      </c>
      <c r="P3095">
        <v>0</v>
      </c>
      <c r="Q3095">
        <v>0</v>
      </c>
      <c r="R3095" t="s">
        <v>243</v>
      </c>
    </row>
    <row r="3096" spans="1:18" x14ac:dyDescent="0.3">
      <c r="A3096" t="s">
        <v>259</v>
      </c>
      <c r="B3096" t="s">
        <v>63</v>
      </c>
      <c r="C3096" t="s">
        <v>266</v>
      </c>
      <c r="D3096">
        <v>1.7617620000000001E-3</v>
      </c>
      <c r="E3096">
        <v>2.5578350000000001E-3</v>
      </c>
      <c r="F3096">
        <v>3.2350510000000001E-3</v>
      </c>
      <c r="G3096">
        <v>3.2485299999999999E-3</v>
      </c>
      <c r="H3096">
        <v>3.2979859999999902E-3</v>
      </c>
      <c r="I3096">
        <v>3.6705219999999998E-3</v>
      </c>
      <c r="J3096">
        <v>4.2128720000000003E-3</v>
      </c>
      <c r="K3096">
        <v>4.6647980000000004E-3</v>
      </c>
      <c r="L3096">
        <v>4.99519E-3</v>
      </c>
      <c r="M3096">
        <v>5.2961299999999996E-3</v>
      </c>
      <c r="N3096">
        <v>5.5983669999999999E-3</v>
      </c>
      <c r="O3096">
        <v>0</v>
      </c>
      <c r="P3096">
        <v>0</v>
      </c>
      <c r="Q3096">
        <v>0</v>
      </c>
      <c r="R3096" t="s">
        <v>243</v>
      </c>
    </row>
    <row r="3097" spans="1:18" x14ac:dyDescent="0.3">
      <c r="A3097" t="s">
        <v>259</v>
      </c>
      <c r="B3097" t="s">
        <v>63</v>
      </c>
      <c r="C3097" t="s">
        <v>267</v>
      </c>
      <c r="D3097">
        <v>2.4192419999999998E-3</v>
      </c>
      <c r="E3097">
        <v>3.3389800000000001E-3</v>
      </c>
      <c r="F3097">
        <v>4.3057800000000004E-3</v>
      </c>
      <c r="G3097">
        <v>4.3865800000000002E-3</v>
      </c>
      <c r="H3097">
        <v>4.1480509999999998E-3</v>
      </c>
      <c r="I3097">
        <v>5.0541220000000003E-3</v>
      </c>
      <c r="J3097">
        <v>5.7369880000000002E-3</v>
      </c>
      <c r="K3097">
        <v>6.2946829999999997E-3</v>
      </c>
      <c r="L3097">
        <v>6.6984929999999998E-3</v>
      </c>
      <c r="M3097">
        <v>7.0537459999999996E-3</v>
      </c>
      <c r="N3097">
        <v>7.4103849999999898E-3</v>
      </c>
      <c r="O3097">
        <v>0</v>
      </c>
      <c r="P3097">
        <v>0</v>
      </c>
      <c r="Q3097">
        <v>0</v>
      </c>
      <c r="R3097" t="s">
        <v>243</v>
      </c>
    </row>
    <row r="3098" spans="1:18" x14ac:dyDescent="0.3">
      <c r="A3098" t="s">
        <v>259</v>
      </c>
      <c r="B3098" t="s">
        <v>63</v>
      </c>
      <c r="C3098" t="s">
        <v>268</v>
      </c>
      <c r="D3098">
        <v>2.9476939999999998E-3</v>
      </c>
      <c r="E3098">
        <v>4.0174640000000001E-3</v>
      </c>
      <c r="F3098">
        <v>5.2310999999999998E-3</v>
      </c>
      <c r="G3098">
        <v>5.3812900000000004E-3</v>
      </c>
      <c r="H3098">
        <v>5.0868119999999996E-3</v>
      </c>
      <c r="I3098">
        <v>6.1739760000000003E-3</v>
      </c>
      <c r="J3098">
        <v>6.9864430000000002E-3</v>
      </c>
      <c r="K3098">
        <v>7.6582649999999896E-3</v>
      </c>
      <c r="L3098">
        <v>8.1478460000000003E-3</v>
      </c>
      <c r="M3098">
        <v>8.5772439999999995E-3</v>
      </c>
      <c r="N3098">
        <v>8.9951489999999992E-3</v>
      </c>
      <c r="O3098">
        <v>0</v>
      </c>
      <c r="P3098">
        <v>0</v>
      </c>
      <c r="Q3098">
        <v>0</v>
      </c>
      <c r="R3098" t="s">
        <v>243</v>
      </c>
    </row>
    <row r="3099" spans="1:18" x14ac:dyDescent="0.3">
      <c r="A3099" t="s">
        <v>259</v>
      </c>
      <c r="B3099" t="s">
        <v>63</v>
      </c>
      <c r="C3099" t="s">
        <v>269</v>
      </c>
      <c r="D3099">
        <v>3.4979260000000002E-3</v>
      </c>
      <c r="E3099">
        <v>4.724776E-3</v>
      </c>
      <c r="F3099">
        <v>6.1336999999999997E-3</v>
      </c>
      <c r="G3099">
        <v>6.3190999999999898E-3</v>
      </c>
      <c r="H3099">
        <v>6.0152239999999996E-3</v>
      </c>
      <c r="I3099">
        <v>7.3015399999999996E-3</v>
      </c>
      <c r="J3099">
        <v>8.246761E-3</v>
      </c>
      <c r="K3099">
        <v>9.0182409999999998E-3</v>
      </c>
      <c r="L3099">
        <v>9.5925660000000003E-3</v>
      </c>
      <c r="M3099">
        <v>1.0080396999999901E-2</v>
      </c>
      <c r="N3099">
        <v>1.0544866E-2</v>
      </c>
      <c r="O3099">
        <v>0</v>
      </c>
      <c r="P3099">
        <v>0</v>
      </c>
      <c r="Q3099">
        <v>0</v>
      </c>
      <c r="R3099" t="s">
        <v>243</v>
      </c>
    </row>
    <row r="3100" spans="1:18" x14ac:dyDescent="0.3">
      <c r="A3100" t="s">
        <v>259</v>
      </c>
      <c r="B3100" t="s">
        <v>63</v>
      </c>
      <c r="C3100" t="s">
        <v>270</v>
      </c>
      <c r="D3100">
        <v>4.0949799999999998E-3</v>
      </c>
      <c r="E3100">
        <v>5.4690310000000001E-3</v>
      </c>
      <c r="F3100">
        <v>7.0926899999999996E-3</v>
      </c>
      <c r="G3100">
        <v>7.3256099999999998E-3</v>
      </c>
      <c r="H3100">
        <v>7.0188439999999998E-3</v>
      </c>
      <c r="I3100">
        <v>8.4951200000000001E-3</v>
      </c>
      <c r="J3100">
        <v>9.5612099999999901E-3</v>
      </c>
      <c r="K3100">
        <v>1.0446242999999999E-2</v>
      </c>
      <c r="L3100">
        <v>1.1076460999999999E-2</v>
      </c>
      <c r="M3100">
        <v>1.1624981E-2</v>
      </c>
      <c r="N3100">
        <v>1.2142225E-2</v>
      </c>
      <c r="O3100">
        <v>0</v>
      </c>
      <c r="P3100">
        <v>0</v>
      </c>
      <c r="Q3100">
        <v>0</v>
      </c>
      <c r="R3100" t="s">
        <v>243</v>
      </c>
    </row>
    <row r="3101" spans="1:18" x14ac:dyDescent="0.3">
      <c r="A3101" t="s">
        <v>259</v>
      </c>
      <c r="B3101" t="s">
        <v>63</v>
      </c>
      <c r="C3101" t="s">
        <v>271</v>
      </c>
      <c r="D3101">
        <v>4.8082519999999998E-3</v>
      </c>
      <c r="E3101">
        <v>6.31564E-3</v>
      </c>
      <c r="F3101">
        <v>8.1925699999999997E-3</v>
      </c>
      <c r="G3101">
        <v>8.4374099999999994E-3</v>
      </c>
      <c r="H3101">
        <v>8.1680179999999904E-3</v>
      </c>
      <c r="I3101">
        <v>9.8531620000000004E-3</v>
      </c>
      <c r="J3101">
        <v>1.1059562E-2</v>
      </c>
      <c r="K3101">
        <v>1.2052858E-2</v>
      </c>
      <c r="L3101">
        <v>1.2754112999999999E-2</v>
      </c>
      <c r="M3101">
        <v>1.3336071E-2</v>
      </c>
      <c r="N3101">
        <v>1.38669979999999E-2</v>
      </c>
      <c r="O3101">
        <v>0</v>
      </c>
      <c r="P3101">
        <v>0</v>
      </c>
      <c r="Q3101">
        <v>0</v>
      </c>
      <c r="R3101" t="s">
        <v>243</v>
      </c>
    </row>
    <row r="3102" spans="1:18" x14ac:dyDescent="0.3">
      <c r="A3102" t="s">
        <v>259</v>
      </c>
      <c r="B3102" t="s">
        <v>63</v>
      </c>
      <c r="C3102" t="s">
        <v>272</v>
      </c>
      <c r="D3102">
        <v>5.68901999999999E-3</v>
      </c>
      <c r="E3102">
        <v>7.4040340000000003E-3</v>
      </c>
      <c r="F3102">
        <v>9.5662999999999998E-3</v>
      </c>
      <c r="G3102">
        <v>9.9612299999999997E-3</v>
      </c>
      <c r="H3102">
        <v>9.6044649999999995E-3</v>
      </c>
      <c r="I3102">
        <v>1.1543548000000001E-2</v>
      </c>
      <c r="J3102">
        <v>1.2939736E-2</v>
      </c>
      <c r="K3102">
        <v>1.405619E-2</v>
      </c>
      <c r="L3102">
        <v>1.4808135E-2</v>
      </c>
      <c r="M3102">
        <v>1.54136939999999E-2</v>
      </c>
      <c r="N3102">
        <v>1.5978407E-2</v>
      </c>
      <c r="O3102">
        <v>0</v>
      </c>
      <c r="P3102">
        <v>0</v>
      </c>
      <c r="Q3102">
        <v>0</v>
      </c>
      <c r="R3102" t="s">
        <v>243</v>
      </c>
    </row>
    <row r="3103" spans="1:18" x14ac:dyDescent="0.3">
      <c r="A3103" t="s">
        <v>259</v>
      </c>
      <c r="B3103" t="s">
        <v>63</v>
      </c>
      <c r="C3103" t="s">
        <v>273</v>
      </c>
      <c r="D3103">
        <v>7.1385959999999997E-3</v>
      </c>
      <c r="E3103">
        <v>9.0859619999999995E-3</v>
      </c>
      <c r="F3103">
        <v>1.167379E-2</v>
      </c>
      <c r="G3103">
        <v>1.1981220000000001E-2</v>
      </c>
      <c r="H3103">
        <v>1.168403E-2</v>
      </c>
      <c r="I3103">
        <v>1.3978404E-2</v>
      </c>
      <c r="J3103">
        <v>1.5600866999999999E-2</v>
      </c>
      <c r="K3103">
        <v>1.6904961999999999E-2</v>
      </c>
      <c r="L3103">
        <v>1.7772498000000001E-2</v>
      </c>
      <c r="M3103">
        <v>1.8447946E-2</v>
      </c>
      <c r="N3103">
        <v>1.905312E-2</v>
      </c>
      <c r="O3103">
        <v>0</v>
      </c>
      <c r="P3103">
        <v>0</v>
      </c>
      <c r="Q3103">
        <v>0</v>
      </c>
      <c r="R3103" t="s">
        <v>243</v>
      </c>
    </row>
    <row r="3104" spans="1:18" x14ac:dyDescent="0.3">
      <c r="A3104" t="s">
        <v>259</v>
      </c>
      <c r="B3104" t="s">
        <v>63</v>
      </c>
      <c r="C3104" t="s">
        <v>274</v>
      </c>
      <c r="D3104" s="8">
        <v>3.8405400000000001E-9</v>
      </c>
      <c r="E3104" s="8">
        <v>4.73554E-9</v>
      </c>
      <c r="F3104" s="8">
        <v>4.6073E-9</v>
      </c>
      <c r="G3104" s="8">
        <v>4.4822600000000002E-9</v>
      </c>
      <c r="H3104" s="8">
        <v>6.2187300000000001E-9</v>
      </c>
      <c r="I3104" s="8">
        <v>5.7035239999999998E-9</v>
      </c>
      <c r="J3104" s="8">
        <v>5.2772829999999999E-9</v>
      </c>
      <c r="K3104" s="8">
        <v>5.6795849999999904E-9</v>
      </c>
      <c r="L3104" s="8">
        <v>6.2008640000000001E-9</v>
      </c>
      <c r="M3104" s="8">
        <v>6.725823E-9</v>
      </c>
      <c r="N3104" s="8">
        <v>7.2626639999999999E-9</v>
      </c>
      <c r="O3104">
        <v>0</v>
      </c>
      <c r="P3104">
        <v>0</v>
      </c>
      <c r="Q3104">
        <v>0</v>
      </c>
      <c r="R3104" t="s">
        <v>243</v>
      </c>
    </row>
    <row r="3105" spans="1:18" x14ac:dyDescent="0.3">
      <c r="A3105" t="s">
        <v>259</v>
      </c>
      <c r="B3105" t="s">
        <v>63</v>
      </c>
      <c r="C3105" t="s">
        <v>275</v>
      </c>
      <c r="D3105" s="8">
        <v>5.3767400000000003E-8</v>
      </c>
      <c r="E3105" s="8">
        <v>6.7481400000000002E-8</v>
      </c>
      <c r="F3105" s="8">
        <v>6.5654199999999998E-8</v>
      </c>
      <c r="G3105" s="8">
        <v>6.3872200000000002E-8</v>
      </c>
      <c r="H3105" s="8">
        <v>7.8002299999999896E-8</v>
      </c>
      <c r="I3105" s="8">
        <v>8.3506799999999997E-8</v>
      </c>
      <c r="J3105" s="8">
        <v>8.2834520000000006E-8</v>
      </c>
      <c r="K3105" s="8">
        <v>8.8214049999999994E-8</v>
      </c>
      <c r="L3105" s="8">
        <v>9.4109760000000003E-8</v>
      </c>
      <c r="M3105" s="8">
        <v>9.9967800000000001E-8</v>
      </c>
      <c r="N3105" s="8">
        <v>1.0561668999999901E-7</v>
      </c>
      <c r="O3105">
        <v>0</v>
      </c>
      <c r="P3105">
        <v>0</v>
      </c>
      <c r="Q3105">
        <v>0</v>
      </c>
      <c r="R3105" t="s">
        <v>243</v>
      </c>
    </row>
    <row r="3106" spans="1:18" x14ac:dyDescent="0.3">
      <c r="A3106" t="s">
        <v>259</v>
      </c>
      <c r="B3106" t="s">
        <v>63</v>
      </c>
      <c r="C3106" t="s">
        <v>276</v>
      </c>
      <c r="D3106" s="8">
        <v>7.0409800000000002E-9</v>
      </c>
      <c r="E3106" s="8">
        <v>8.8791199999999998E-9</v>
      </c>
      <c r="F3106" s="8">
        <v>8.6387000000000008E-9</v>
      </c>
      <c r="G3106" s="8">
        <v>7.8439599999999995E-9</v>
      </c>
      <c r="H3106" s="8">
        <v>1.072243E-8</v>
      </c>
      <c r="I3106" s="8">
        <v>1.017395E-8</v>
      </c>
      <c r="J3106" s="8">
        <v>9.784586E-9</v>
      </c>
      <c r="K3106" s="8">
        <v>1.0520345E-8</v>
      </c>
      <c r="L3106" s="8">
        <v>1.14124689999999E-8</v>
      </c>
      <c r="M3106" s="8">
        <v>1.2322884E-8</v>
      </c>
      <c r="N3106" s="8">
        <v>1.32627129999999E-8</v>
      </c>
      <c r="O3106">
        <v>0</v>
      </c>
      <c r="P3106">
        <v>0</v>
      </c>
      <c r="Q3106">
        <v>0</v>
      </c>
      <c r="R3106" t="s">
        <v>243</v>
      </c>
    </row>
    <row r="3107" spans="1:18" x14ac:dyDescent="0.3">
      <c r="A3107" t="s">
        <v>259</v>
      </c>
      <c r="B3107" t="s">
        <v>63</v>
      </c>
      <c r="C3107" t="s">
        <v>277</v>
      </c>
      <c r="D3107" s="8">
        <v>9.6013400000000003E-9</v>
      </c>
      <c r="E3107" s="8">
        <v>1.183882E-8</v>
      </c>
      <c r="F3107" s="8">
        <v>1.1518279999999999E-8</v>
      </c>
      <c r="G3107" s="8">
        <v>1.120566E-8</v>
      </c>
      <c r="H3107" s="8">
        <v>1.383891E-8</v>
      </c>
      <c r="I3107" s="8">
        <v>1.441189E-8</v>
      </c>
      <c r="J3107" s="8">
        <v>1.38336099999999E-8</v>
      </c>
      <c r="K3107" s="8">
        <v>1.4796727999999999E-8</v>
      </c>
      <c r="L3107" s="8">
        <v>1.5895043999999999E-8</v>
      </c>
      <c r="M3107" s="8">
        <v>1.7030849E-8</v>
      </c>
      <c r="N3107" s="8">
        <v>1.8207817000000001E-8</v>
      </c>
      <c r="O3107">
        <v>0</v>
      </c>
      <c r="P3107">
        <v>0</v>
      </c>
      <c r="Q3107">
        <v>0</v>
      </c>
      <c r="R3107" t="s">
        <v>243</v>
      </c>
    </row>
    <row r="3108" spans="1:18" x14ac:dyDescent="0.3">
      <c r="A3108" t="s">
        <v>259</v>
      </c>
      <c r="B3108" t="s">
        <v>63</v>
      </c>
      <c r="C3108" t="s">
        <v>278</v>
      </c>
      <c r="D3108" s="8">
        <v>1.15216E-8</v>
      </c>
      <c r="E3108" s="8">
        <v>1.4206599999999999E-8</v>
      </c>
      <c r="F3108" s="8">
        <v>1.439784E-8</v>
      </c>
      <c r="G3108" s="8">
        <v>1.400708E-8</v>
      </c>
      <c r="H3108" s="8">
        <v>1.713318E-8</v>
      </c>
      <c r="I3108" s="8">
        <v>1.7948639999999999E-8</v>
      </c>
      <c r="J3108" s="8">
        <v>1.7343640000000001E-8</v>
      </c>
      <c r="K3108" s="8">
        <v>1.8544452999999999E-8</v>
      </c>
      <c r="L3108" s="8">
        <v>1.992264E-8</v>
      </c>
      <c r="M3108" s="8">
        <v>2.1353429999999902E-8</v>
      </c>
      <c r="N3108" s="8">
        <v>2.2804189999999899E-8</v>
      </c>
      <c r="O3108">
        <v>0</v>
      </c>
      <c r="P3108">
        <v>0</v>
      </c>
      <c r="Q3108">
        <v>0</v>
      </c>
      <c r="R3108" t="s">
        <v>243</v>
      </c>
    </row>
    <row r="3109" spans="1:18" x14ac:dyDescent="0.3">
      <c r="A3109" t="s">
        <v>259</v>
      </c>
      <c r="B3109" t="s">
        <v>63</v>
      </c>
      <c r="C3109" t="s">
        <v>279</v>
      </c>
      <c r="D3109" s="8">
        <v>1.408196E-8</v>
      </c>
      <c r="E3109" s="8">
        <v>1.7166299999999999E-8</v>
      </c>
      <c r="F3109" s="8">
        <v>1.6701499999999999E-8</v>
      </c>
      <c r="G3109" s="8">
        <v>1.6248199999999999E-8</v>
      </c>
      <c r="H3109" s="8">
        <v>2.0325819999999998E-8</v>
      </c>
      <c r="I3109" s="8">
        <v>2.1475019999999998E-8</v>
      </c>
      <c r="J3109" s="8">
        <v>2.1059059999999999E-8</v>
      </c>
      <c r="K3109" s="8">
        <v>2.247129E-8</v>
      </c>
      <c r="L3109" s="8">
        <v>2.4157719999999901E-8</v>
      </c>
      <c r="M3109" s="8">
        <v>2.587104E-8</v>
      </c>
      <c r="N3109" s="8">
        <v>2.7581859999999901E-8</v>
      </c>
      <c r="O3109">
        <v>0</v>
      </c>
      <c r="P3109">
        <v>0</v>
      </c>
      <c r="Q3109">
        <v>0</v>
      </c>
      <c r="R3109" t="s">
        <v>243</v>
      </c>
    </row>
    <row r="3110" spans="1:18" x14ac:dyDescent="0.3">
      <c r="A3110" t="s">
        <v>259</v>
      </c>
      <c r="B3110" t="s">
        <v>63</v>
      </c>
      <c r="C3110" t="s">
        <v>280</v>
      </c>
      <c r="D3110" s="8">
        <v>1.664232E-8</v>
      </c>
      <c r="E3110" s="8">
        <v>2.0718000000000001E-8</v>
      </c>
      <c r="F3110" s="8">
        <v>2.0157E-8</v>
      </c>
      <c r="G3110" s="8">
        <v>1.9609899999999999E-8</v>
      </c>
      <c r="H3110" s="8">
        <v>2.4291529999999999E-8</v>
      </c>
      <c r="I3110" s="8">
        <v>2.5750709999999901E-8</v>
      </c>
      <c r="J3110" s="8">
        <v>2.5133829999999901E-8</v>
      </c>
      <c r="K3110" s="8">
        <v>2.682205E-8</v>
      </c>
      <c r="L3110" s="8">
        <v>2.876249E-8</v>
      </c>
      <c r="M3110" s="8">
        <v>3.0808659999999999E-8</v>
      </c>
      <c r="N3110" s="8">
        <v>3.2841250000000003E-8</v>
      </c>
      <c r="O3110">
        <v>0</v>
      </c>
      <c r="P3110">
        <v>0</v>
      </c>
      <c r="Q3110">
        <v>0</v>
      </c>
      <c r="R3110" t="s">
        <v>243</v>
      </c>
    </row>
    <row r="3111" spans="1:18" x14ac:dyDescent="0.3">
      <c r="A3111" t="s">
        <v>259</v>
      </c>
      <c r="B3111" t="s">
        <v>63</v>
      </c>
      <c r="C3111" t="s">
        <v>281</v>
      </c>
      <c r="D3111" s="8">
        <v>1.9842760000000001E-8</v>
      </c>
      <c r="E3111" s="8">
        <v>2.42696E-8</v>
      </c>
      <c r="F3111" s="8">
        <v>2.3612399999999998E-8</v>
      </c>
      <c r="G3111" s="8">
        <v>2.29716E-8</v>
      </c>
      <c r="H3111" s="8">
        <v>2.882324E-8</v>
      </c>
      <c r="I3111" s="8">
        <v>3.0663020000000001E-8</v>
      </c>
      <c r="J3111" s="8">
        <v>3.0056270000000001E-8</v>
      </c>
      <c r="K3111" s="8">
        <v>3.2023149999999897E-8</v>
      </c>
      <c r="L3111" s="8">
        <v>3.4320039999999998E-8</v>
      </c>
      <c r="M3111" s="8">
        <v>3.6674819999999998E-8</v>
      </c>
      <c r="N3111" s="8">
        <v>3.8954089999999902E-8</v>
      </c>
      <c r="O3111">
        <v>0</v>
      </c>
      <c r="P3111">
        <v>0</v>
      </c>
      <c r="Q3111">
        <v>0</v>
      </c>
      <c r="R3111" t="s">
        <v>243</v>
      </c>
    </row>
    <row r="3112" spans="1:18" x14ac:dyDescent="0.3">
      <c r="A3112" t="s">
        <v>259</v>
      </c>
      <c r="B3112" t="s">
        <v>63</v>
      </c>
      <c r="C3112" t="s">
        <v>282</v>
      </c>
      <c r="D3112" s="8">
        <v>2.4323400000000001E-8</v>
      </c>
      <c r="E3112" s="8">
        <v>2.9005200000000002E-8</v>
      </c>
      <c r="F3112" s="8">
        <v>2.87956E-8</v>
      </c>
      <c r="G3112" s="8">
        <v>2.8014199999999999E-8</v>
      </c>
      <c r="H3112" s="8">
        <v>3.4921289999999999E-8</v>
      </c>
      <c r="I3112" s="8">
        <v>3.7186820000000003E-8</v>
      </c>
      <c r="J3112" s="8">
        <v>3.6667139999999998E-8</v>
      </c>
      <c r="K3112" s="8">
        <v>3.9032870000000001E-8</v>
      </c>
      <c r="L3112" s="8">
        <v>4.1715869999999999E-8</v>
      </c>
      <c r="M3112" s="8">
        <v>4.4453859999999997E-8</v>
      </c>
      <c r="N3112" s="8">
        <v>4.7168179999999901E-8</v>
      </c>
      <c r="O3112">
        <v>0</v>
      </c>
      <c r="P3112">
        <v>0</v>
      </c>
      <c r="Q3112">
        <v>0</v>
      </c>
      <c r="R3112" t="s">
        <v>243</v>
      </c>
    </row>
    <row r="3113" spans="1:18" x14ac:dyDescent="0.3">
      <c r="A3113" t="s">
        <v>259</v>
      </c>
      <c r="B3113" t="s">
        <v>63</v>
      </c>
      <c r="C3113" t="s">
        <v>283</v>
      </c>
      <c r="D3113" s="8">
        <v>3.1364399999999997E-8</v>
      </c>
      <c r="E3113" s="8">
        <v>3.7884200000000001E-8</v>
      </c>
      <c r="F3113" s="8">
        <v>3.68584E-8</v>
      </c>
      <c r="G3113" s="8">
        <v>3.58582E-8</v>
      </c>
      <c r="H3113" s="8">
        <v>4.4850839999999998E-8</v>
      </c>
      <c r="I3113" s="8">
        <v>4.7907819999999997E-8</v>
      </c>
      <c r="J3113" s="8">
        <v>4.711929E-8</v>
      </c>
      <c r="K3113" s="8">
        <v>5.0222079999999997E-8</v>
      </c>
      <c r="L3113" s="8">
        <v>5.380347E-8</v>
      </c>
      <c r="M3113" s="8">
        <v>5.7464579999999997E-8</v>
      </c>
      <c r="N3113" s="8">
        <v>6.0999939999999998E-8</v>
      </c>
      <c r="O3113">
        <v>0</v>
      </c>
      <c r="P3113">
        <v>0</v>
      </c>
      <c r="Q3113">
        <v>0</v>
      </c>
      <c r="R3113" t="s">
        <v>243</v>
      </c>
    </row>
    <row r="3114" spans="1:18" x14ac:dyDescent="0.3">
      <c r="A3114" t="s">
        <v>259</v>
      </c>
      <c r="B3114" t="s">
        <v>63</v>
      </c>
      <c r="C3114" t="s">
        <v>334</v>
      </c>
      <c r="D3114">
        <v>4.1251900000000001E-2</v>
      </c>
      <c r="E3114">
        <v>8.30118E-3</v>
      </c>
      <c r="F3114">
        <v>9.4553599999999995E-3</v>
      </c>
      <c r="G3114">
        <v>7.5939199999999997E-3</v>
      </c>
      <c r="H3114">
        <v>7.8479499999999994E-3</v>
      </c>
      <c r="I3114">
        <v>8.0085099999999999E-3</v>
      </c>
      <c r="J3114">
        <v>8.1393999999999998E-3</v>
      </c>
      <c r="K3114">
        <v>8.3212200000000007E-3</v>
      </c>
      <c r="L3114">
        <v>8.5298200000000005E-3</v>
      </c>
      <c r="M3114">
        <v>8.7432099999999995E-3</v>
      </c>
      <c r="N3114">
        <v>8.97476E-3</v>
      </c>
      <c r="O3114">
        <v>0</v>
      </c>
      <c r="P3114">
        <v>0</v>
      </c>
      <c r="Q3114">
        <v>0</v>
      </c>
      <c r="R3114" t="s">
        <v>243</v>
      </c>
    </row>
    <row r="3115" spans="1:18" x14ac:dyDescent="0.3">
      <c r="A3115" t="s">
        <v>259</v>
      </c>
      <c r="B3115" t="s">
        <v>63</v>
      </c>
      <c r="C3115" t="s">
        <v>335</v>
      </c>
      <c r="D3115">
        <v>2.3409199999999998E-3</v>
      </c>
      <c r="E3115" s="8">
        <v>3.9869200000000002E-4</v>
      </c>
      <c r="F3115" s="8">
        <v>4.1746799999999999E-4</v>
      </c>
      <c r="G3115" s="8">
        <v>2.97037E-4</v>
      </c>
      <c r="H3115" s="8">
        <v>3.0489900000000002E-4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243</v>
      </c>
    </row>
    <row r="3116" spans="1:18" x14ac:dyDescent="0.3">
      <c r="A3116" t="s">
        <v>259</v>
      </c>
      <c r="B3116" t="s">
        <v>63</v>
      </c>
      <c r="C3116" t="s">
        <v>336</v>
      </c>
      <c r="D3116">
        <v>2.4215E-2</v>
      </c>
      <c r="E3116">
        <v>4.4241000000000003E-3</v>
      </c>
      <c r="F3116">
        <v>4.9726600000000003E-3</v>
      </c>
      <c r="G3116">
        <v>3.8356000000000002E-3</v>
      </c>
      <c r="H3116">
        <v>3.9381999999999898E-3</v>
      </c>
      <c r="I3116">
        <v>4.0252700000000001E-3</v>
      </c>
      <c r="J3116">
        <v>4.0910080000000001E-3</v>
      </c>
      <c r="K3116">
        <v>4.1798260000000002E-3</v>
      </c>
      <c r="L3116">
        <v>4.2789600000000001E-3</v>
      </c>
      <c r="M3116">
        <v>4.3806870000000003E-3</v>
      </c>
      <c r="N3116">
        <v>4.4914810000000003E-3</v>
      </c>
      <c r="O3116">
        <v>0</v>
      </c>
      <c r="P3116">
        <v>0</v>
      </c>
      <c r="Q3116">
        <v>0</v>
      </c>
      <c r="R3116" t="s">
        <v>243</v>
      </c>
    </row>
    <row r="3117" spans="1:18" x14ac:dyDescent="0.3">
      <c r="A3117" t="s">
        <v>259</v>
      </c>
      <c r="B3117" t="s">
        <v>63</v>
      </c>
      <c r="C3117" t="s">
        <v>337</v>
      </c>
      <c r="D3117">
        <v>1.7074300000000001E-2</v>
      </c>
      <c r="E3117">
        <v>3.20821E-3</v>
      </c>
      <c r="F3117">
        <v>3.4924499999999998E-3</v>
      </c>
      <c r="G3117">
        <v>2.6243199999999999E-3</v>
      </c>
      <c r="H3117">
        <v>2.6937699999999998E-3</v>
      </c>
      <c r="I3117">
        <v>2.761271E-3</v>
      </c>
      <c r="J3117">
        <v>2.8021489999999999E-3</v>
      </c>
      <c r="K3117">
        <v>2.8583269999999999E-3</v>
      </c>
      <c r="L3117">
        <v>2.9217089999999898E-3</v>
      </c>
      <c r="M3117">
        <v>2.986107E-3</v>
      </c>
      <c r="N3117">
        <v>3.0570349999999901E-3</v>
      </c>
      <c r="O3117">
        <v>0</v>
      </c>
      <c r="P3117">
        <v>0</v>
      </c>
      <c r="Q3117">
        <v>0</v>
      </c>
      <c r="R3117" t="s">
        <v>243</v>
      </c>
    </row>
    <row r="3118" spans="1:18" x14ac:dyDescent="0.3">
      <c r="A3118" t="s">
        <v>259</v>
      </c>
      <c r="B3118" t="s">
        <v>63</v>
      </c>
      <c r="C3118" t="s">
        <v>338</v>
      </c>
      <c r="D3118">
        <v>1.3622499999999999E-2</v>
      </c>
      <c r="E3118">
        <v>2.5458799999999999E-3</v>
      </c>
      <c r="F3118">
        <v>2.7207199999999998E-3</v>
      </c>
      <c r="G3118">
        <v>2.0071899999999998E-3</v>
      </c>
      <c r="H3118">
        <v>2.0603029999999999E-3</v>
      </c>
      <c r="I3118">
        <v>2.1105970000000001E-3</v>
      </c>
      <c r="J3118">
        <v>2.140603E-3</v>
      </c>
      <c r="K3118">
        <v>2.1827589999999998E-3</v>
      </c>
      <c r="L3118">
        <v>2.2306219999999998E-3</v>
      </c>
      <c r="M3118">
        <v>2.2792400000000001E-3</v>
      </c>
      <c r="N3118">
        <v>2.3322199999999999E-3</v>
      </c>
      <c r="O3118">
        <v>0</v>
      </c>
      <c r="P3118">
        <v>0</v>
      </c>
      <c r="Q3118">
        <v>0</v>
      </c>
      <c r="R3118" t="s">
        <v>243</v>
      </c>
    </row>
    <row r="3119" spans="1:18" x14ac:dyDescent="0.3">
      <c r="A3119" t="s">
        <v>259</v>
      </c>
      <c r="B3119" t="s">
        <v>63</v>
      </c>
      <c r="C3119" t="s">
        <v>339</v>
      </c>
      <c r="D3119">
        <v>1.1140199999999999E-2</v>
      </c>
      <c r="E3119">
        <v>2.0656799999999999E-3</v>
      </c>
      <c r="F3119">
        <v>2.2040599999999999E-3</v>
      </c>
      <c r="G3119">
        <v>1.61506E-3</v>
      </c>
      <c r="H3119">
        <v>1.657805E-3</v>
      </c>
      <c r="I3119">
        <v>1.7006980000000001E-3</v>
      </c>
      <c r="J3119">
        <v>1.724345E-3</v>
      </c>
      <c r="K3119">
        <v>1.7573770000000001E-3</v>
      </c>
      <c r="L3119">
        <v>1.7956299999999899E-3</v>
      </c>
      <c r="M3119">
        <v>1.83402E-3</v>
      </c>
      <c r="N3119">
        <v>1.875664E-3</v>
      </c>
      <c r="O3119">
        <v>0</v>
      </c>
      <c r="P3119">
        <v>0</v>
      </c>
      <c r="Q3119">
        <v>0</v>
      </c>
      <c r="R3119" t="s">
        <v>243</v>
      </c>
    </row>
    <row r="3120" spans="1:18" x14ac:dyDescent="0.3">
      <c r="A3120" t="s">
        <v>259</v>
      </c>
      <c r="B3120" t="s">
        <v>63</v>
      </c>
      <c r="C3120" t="s">
        <v>340</v>
      </c>
      <c r="D3120">
        <v>9.2110999999999998E-3</v>
      </c>
      <c r="E3120">
        <v>1.70093E-3</v>
      </c>
      <c r="F3120">
        <v>1.8081499999999999E-3</v>
      </c>
      <c r="G3120">
        <v>1.3144000000000001E-3</v>
      </c>
      <c r="H3120">
        <v>1.3491849999999999E-3</v>
      </c>
      <c r="I3120">
        <v>1.385278E-3</v>
      </c>
      <c r="J3120">
        <v>1.403772E-3</v>
      </c>
      <c r="K3120">
        <v>1.430373E-3</v>
      </c>
      <c r="L3120">
        <v>1.4606160000000001E-3</v>
      </c>
      <c r="M3120">
        <v>1.4914920000000001E-3</v>
      </c>
      <c r="N3120">
        <v>1.5249319999999999E-3</v>
      </c>
      <c r="O3120">
        <v>0</v>
      </c>
      <c r="P3120">
        <v>0</v>
      </c>
      <c r="Q3120">
        <v>0</v>
      </c>
      <c r="R3120" t="s">
        <v>243</v>
      </c>
    </row>
    <row r="3121" spans="1:18" x14ac:dyDescent="0.3">
      <c r="A3121" t="s">
        <v>259</v>
      </c>
      <c r="B3121" t="s">
        <v>63</v>
      </c>
      <c r="C3121" t="s">
        <v>341</v>
      </c>
      <c r="D3121">
        <v>7.54859E-3</v>
      </c>
      <c r="E3121">
        <v>1.39645E-3</v>
      </c>
      <c r="F3121">
        <v>1.4762E-3</v>
      </c>
      <c r="G3121">
        <v>1.0726799999999999E-3</v>
      </c>
      <c r="H3121">
        <v>1.10107E-3</v>
      </c>
      <c r="I3121">
        <v>1.132267E-3</v>
      </c>
      <c r="J3121">
        <v>1.1469760000000001E-3</v>
      </c>
      <c r="K3121">
        <v>1.168199E-3</v>
      </c>
      <c r="L3121">
        <v>1.192488E-3</v>
      </c>
      <c r="M3121">
        <v>1.216955E-3</v>
      </c>
      <c r="N3121" s="8">
        <v>7.8310899999999896E-4</v>
      </c>
      <c r="O3121">
        <v>0</v>
      </c>
      <c r="P3121">
        <v>0</v>
      </c>
      <c r="Q3121">
        <v>0</v>
      </c>
      <c r="R3121" t="s">
        <v>243</v>
      </c>
    </row>
    <row r="3122" spans="1:18" x14ac:dyDescent="0.3">
      <c r="A3122" t="s">
        <v>259</v>
      </c>
      <c r="B3122" t="s">
        <v>63</v>
      </c>
      <c r="C3122" t="s">
        <v>342</v>
      </c>
      <c r="D3122">
        <v>6.08882E-3</v>
      </c>
      <c r="E3122">
        <v>1.11388E-3</v>
      </c>
      <c r="F3122">
        <v>1.17713E-3</v>
      </c>
      <c r="G3122" s="8">
        <v>8.3696400000000005E-4</v>
      </c>
      <c r="H3122" s="8">
        <v>8.5911400000000001E-4</v>
      </c>
      <c r="I3122" s="8">
        <v>8.8260399999999896E-4</v>
      </c>
      <c r="J3122" s="8">
        <v>8.9409600000000004E-4</v>
      </c>
      <c r="K3122" s="8">
        <v>9.1025299999999997E-4</v>
      </c>
      <c r="L3122" s="8">
        <v>6.5720299999999998E-4</v>
      </c>
      <c r="M3122">
        <v>0</v>
      </c>
      <c r="N3122">
        <v>0</v>
      </c>
      <c r="O3122">
        <v>0</v>
      </c>
      <c r="P3122">
        <v>0</v>
      </c>
      <c r="Q3122">
        <v>0</v>
      </c>
      <c r="R3122" t="s">
        <v>243</v>
      </c>
    </row>
    <row r="3123" spans="1:18" x14ac:dyDescent="0.3">
      <c r="A3123" t="s">
        <v>259</v>
      </c>
      <c r="B3123" t="s">
        <v>63</v>
      </c>
      <c r="C3123" t="s">
        <v>343</v>
      </c>
      <c r="D3123">
        <v>4.5017800000000004E-3</v>
      </c>
      <c r="E3123" s="8">
        <v>8.1977799999999996E-4</v>
      </c>
      <c r="F3123" s="8">
        <v>8.6650200000000001E-4</v>
      </c>
      <c r="G3123" s="8">
        <v>6.2581500000000005E-4</v>
      </c>
      <c r="H3123" s="8">
        <v>6.4237699999999997E-4</v>
      </c>
      <c r="I3123" s="8">
        <v>6.6124599999999999E-4</v>
      </c>
      <c r="J3123" s="8">
        <v>2.0730419999999999E-4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 t="s">
        <v>243</v>
      </c>
    </row>
    <row r="3124" spans="1:18" x14ac:dyDescent="0.3">
      <c r="A3124" t="s">
        <v>259</v>
      </c>
      <c r="B3124" t="s">
        <v>63</v>
      </c>
      <c r="C3124" t="s">
        <v>284</v>
      </c>
      <c r="D3124">
        <v>3.0371573979400001E-2</v>
      </c>
      <c r="E3124">
        <v>4.4095766984199897E-2</v>
      </c>
      <c r="F3124">
        <v>4.1998328509399899E-2</v>
      </c>
      <c r="G3124">
        <v>3.2104170029999997E-2</v>
      </c>
      <c r="H3124">
        <v>3.2331315819999998E-2</v>
      </c>
      <c r="I3124">
        <v>3.1075097289999999E-2</v>
      </c>
      <c r="J3124">
        <v>3.1853964310000003E-2</v>
      </c>
      <c r="K3124">
        <v>3.1264113374999999E-2</v>
      </c>
      <c r="L3124">
        <v>3.2352623155000003E-2</v>
      </c>
      <c r="M3124">
        <v>3.3849141937999899E-2</v>
      </c>
      <c r="N3124">
        <v>3.4874002829999903E-2</v>
      </c>
      <c r="O3124">
        <v>0</v>
      </c>
      <c r="P3124">
        <v>0</v>
      </c>
      <c r="Q3124">
        <v>0</v>
      </c>
      <c r="R3124" t="s">
        <v>243</v>
      </c>
    </row>
    <row r="3125" spans="1:18" x14ac:dyDescent="0.3">
      <c r="A3125" t="s">
        <v>259</v>
      </c>
      <c r="B3125" t="s">
        <v>63</v>
      </c>
      <c r="C3125" t="s">
        <v>285</v>
      </c>
      <c r="D3125">
        <v>0.14904589247299899</v>
      </c>
      <c r="E3125">
        <v>0.17094056684100001</v>
      </c>
      <c r="F3125">
        <v>0.18725028497499999</v>
      </c>
      <c r="G3125">
        <v>0.1487100207</v>
      </c>
      <c r="H3125">
        <v>0.139475914269999</v>
      </c>
      <c r="I3125">
        <v>0.13630650289999999</v>
      </c>
      <c r="J3125">
        <v>0.12980407784</v>
      </c>
      <c r="K3125">
        <v>0.11879531537</v>
      </c>
      <c r="L3125">
        <v>0.11493176474</v>
      </c>
      <c r="M3125">
        <v>0.11154595408</v>
      </c>
      <c r="N3125">
        <v>0.10766868402</v>
      </c>
      <c r="O3125">
        <v>0</v>
      </c>
      <c r="P3125">
        <v>0</v>
      </c>
      <c r="Q3125">
        <v>0</v>
      </c>
      <c r="R3125" t="s">
        <v>243</v>
      </c>
    </row>
    <row r="3126" spans="1:18" x14ac:dyDescent="0.3">
      <c r="A3126" t="s">
        <v>259</v>
      </c>
      <c r="B3126" t="s">
        <v>63</v>
      </c>
      <c r="C3126" t="s">
        <v>286</v>
      </c>
      <c r="D3126">
        <v>4.71308911708E-2</v>
      </c>
      <c r="E3126">
        <v>6.9082507487700007E-2</v>
      </c>
      <c r="F3126">
        <v>6.7103172747999998E-2</v>
      </c>
      <c r="G3126">
        <v>5.2393274609999999E-2</v>
      </c>
      <c r="H3126">
        <v>5.0620119719999898E-2</v>
      </c>
      <c r="I3126">
        <v>4.8445346199999899E-2</v>
      </c>
      <c r="J3126">
        <v>4.8813464049999998E-2</v>
      </c>
      <c r="K3126">
        <v>4.7534189639999898E-2</v>
      </c>
      <c r="L3126">
        <v>4.8844811310999998E-2</v>
      </c>
      <c r="M3126">
        <v>5.0662733379999998E-2</v>
      </c>
      <c r="N3126">
        <v>5.1753251089999897E-2</v>
      </c>
      <c r="O3126">
        <v>0</v>
      </c>
      <c r="P3126">
        <v>0</v>
      </c>
      <c r="Q3126">
        <v>0</v>
      </c>
      <c r="R3126" t="s">
        <v>243</v>
      </c>
    </row>
    <row r="3127" spans="1:18" x14ac:dyDescent="0.3">
      <c r="A3127" t="s">
        <v>259</v>
      </c>
      <c r="B3127" t="s">
        <v>63</v>
      </c>
      <c r="C3127" t="s">
        <v>287</v>
      </c>
      <c r="D3127">
        <v>6.0808788737999997E-2</v>
      </c>
      <c r="E3127">
        <v>8.4133090022599999E-2</v>
      </c>
      <c r="F3127">
        <v>8.4139505672000001E-2</v>
      </c>
      <c r="G3127">
        <v>6.6539768220000003E-2</v>
      </c>
      <c r="H3127">
        <v>6.0978795429999899E-2</v>
      </c>
      <c r="I3127">
        <v>6.158375311E-2</v>
      </c>
      <c r="J3127">
        <v>6.1257204689999997E-2</v>
      </c>
      <c r="K3127">
        <v>5.90761193399999E-2</v>
      </c>
      <c r="L3127">
        <v>6.0153592485999899E-2</v>
      </c>
      <c r="M3127">
        <v>6.1617683609999897E-2</v>
      </c>
      <c r="N3127">
        <v>6.2319566299999997E-2</v>
      </c>
      <c r="O3127">
        <v>0</v>
      </c>
      <c r="P3127">
        <v>0</v>
      </c>
      <c r="Q3127">
        <v>0</v>
      </c>
      <c r="R3127" t="s">
        <v>243</v>
      </c>
    </row>
    <row r="3128" spans="1:18" x14ac:dyDescent="0.3">
      <c r="A3128" t="s">
        <v>259</v>
      </c>
      <c r="B3128" t="s">
        <v>63</v>
      </c>
      <c r="C3128" t="s">
        <v>288</v>
      </c>
      <c r="D3128">
        <v>7.0651925727699905E-2</v>
      </c>
      <c r="E3128">
        <v>9.5562257080599997E-2</v>
      </c>
      <c r="F3128">
        <v>9.7269711243999996E-2</v>
      </c>
      <c r="G3128">
        <v>7.7519174070000002E-2</v>
      </c>
      <c r="H3128">
        <v>7.1035342099999996E-2</v>
      </c>
      <c r="I3128">
        <v>7.1313954380000003E-2</v>
      </c>
      <c r="J3128">
        <v>7.0430772959999999E-2</v>
      </c>
      <c r="K3128">
        <v>6.7554349099999897E-2</v>
      </c>
      <c r="L3128">
        <v>6.8471261300000003E-2</v>
      </c>
      <c r="M3128">
        <v>6.9764972279999907E-2</v>
      </c>
      <c r="N3128">
        <v>7.0155182900000002E-2</v>
      </c>
      <c r="O3128">
        <v>0</v>
      </c>
      <c r="P3128">
        <v>0</v>
      </c>
      <c r="Q3128">
        <v>0</v>
      </c>
      <c r="R3128" t="s">
        <v>243</v>
      </c>
    </row>
    <row r="3129" spans="1:18" x14ac:dyDescent="0.3">
      <c r="A3129" t="s">
        <v>259</v>
      </c>
      <c r="B3129" t="s">
        <v>63</v>
      </c>
      <c r="C3129" t="s">
        <v>289</v>
      </c>
      <c r="D3129">
        <v>7.9944646177099996E-2</v>
      </c>
      <c r="E3129">
        <v>0.106070811044</v>
      </c>
      <c r="F3129">
        <v>0.108810656917</v>
      </c>
      <c r="G3129">
        <v>8.6817617909999895E-2</v>
      </c>
      <c r="H3129">
        <v>7.9951384619999996E-2</v>
      </c>
      <c r="I3129">
        <v>8.0115704240000002E-2</v>
      </c>
      <c r="J3129">
        <v>7.8733190480000007E-2</v>
      </c>
      <c r="K3129">
        <v>7.509841196E-2</v>
      </c>
      <c r="L3129">
        <v>7.5771014319999899E-2</v>
      </c>
      <c r="M3129">
        <v>7.6738825939999894E-2</v>
      </c>
      <c r="N3129">
        <v>7.6726985259999894E-2</v>
      </c>
      <c r="O3129">
        <v>0</v>
      </c>
      <c r="P3129">
        <v>0</v>
      </c>
      <c r="Q3129">
        <v>0</v>
      </c>
      <c r="R3129" t="s">
        <v>243</v>
      </c>
    </row>
    <row r="3130" spans="1:18" x14ac:dyDescent="0.3">
      <c r="A3130" t="s">
        <v>259</v>
      </c>
      <c r="B3130" t="s">
        <v>63</v>
      </c>
      <c r="C3130" t="s">
        <v>290</v>
      </c>
      <c r="D3130">
        <v>8.9047250364099995E-2</v>
      </c>
      <c r="E3130">
        <v>0.11577881554399901</v>
      </c>
      <c r="F3130">
        <v>0.11984127898699901</v>
      </c>
      <c r="G3130">
        <v>9.5776233579999995E-2</v>
      </c>
      <c r="H3130">
        <v>8.8604983600000006E-2</v>
      </c>
      <c r="I3130">
        <v>8.8508722789999994E-2</v>
      </c>
      <c r="J3130">
        <v>8.6510755569999903E-2</v>
      </c>
      <c r="K3130">
        <v>8.2129116739999897E-2</v>
      </c>
      <c r="L3130">
        <v>8.2348405469999997E-2</v>
      </c>
      <c r="M3130">
        <v>8.2942878410000004E-2</v>
      </c>
      <c r="N3130">
        <v>8.2526006750000006E-2</v>
      </c>
      <c r="O3130">
        <v>0</v>
      </c>
      <c r="P3130">
        <v>0</v>
      </c>
      <c r="Q3130">
        <v>0</v>
      </c>
      <c r="R3130" t="s">
        <v>243</v>
      </c>
    </row>
    <row r="3131" spans="1:18" x14ac:dyDescent="0.3">
      <c r="A3131" t="s">
        <v>259</v>
      </c>
      <c r="B3131" t="s">
        <v>63</v>
      </c>
      <c r="C3131" t="s">
        <v>291</v>
      </c>
      <c r="D3131">
        <v>9.8740401571999994E-2</v>
      </c>
      <c r="E3131">
        <v>0.12536893166499999</v>
      </c>
      <c r="F3131">
        <v>0.13109547674699901</v>
      </c>
      <c r="G3131">
        <v>0.1045710316</v>
      </c>
      <c r="H3131">
        <v>9.73437781E-2</v>
      </c>
      <c r="I3131">
        <v>9.6984827899999904E-2</v>
      </c>
      <c r="J3131">
        <v>9.4357908069999899E-2</v>
      </c>
      <c r="K3131">
        <v>8.9065095029999902E-2</v>
      </c>
      <c r="L3131">
        <v>8.8789008030000005E-2</v>
      </c>
      <c r="M3131">
        <v>8.8809685119999995E-2</v>
      </c>
      <c r="N3131">
        <v>8.7804460030000003E-2</v>
      </c>
      <c r="O3131">
        <v>0</v>
      </c>
      <c r="P3131">
        <v>0</v>
      </c>
      <c r="Q3131">
        <v>0</v>
      </c>
      <c r="R3131" t="s">
        <v>243</v>
      </c>
    </row>
    <row r="3132" spans="1:18" x14ac:dyDescent="0.3">
      <c r="A3132" t="s">
        <v>259</v>
      </c>
      <c r="B3132" t="s">
        <v>63</v>
      </c>
      <c r="C3132" t="s">
        <v>292</v>
      </c>
      <c r="D3132">
        <v>0.10917151355099999</v>
      </c>
      <c r="E3132">
        <v>0.135782922433</v>
      </c>
      <c r="F3132">
        <v>0.14330781869699999</v>
      </c>
      <c r="G3132">
        <v>0.11497693389999999</v>
      </c>
      <c r="H3132">
        <v>0.10696157839000001</v>
      </c>
      <c r="I3132">
        <v>0.10616011437</v>
      </c>
      <c r="J3132">
        <v>0.10285963000999999</v>
      </c>
      <c r="K3132">
        <v>9.64268659599999E-2</v>
      </c>
      <c r="L3132">
        <v>9.5430411099999904E-2</v>
      </c>
      <c r="M3132">
        <v>9.4728346679999895E-2</v>
      </c>
      <c r="N3132">
        <v>9.310999314E-2</v>
      </c>
      <c r="O3132">
        <v>0</v>
      </c>
      <c r="P3132">
        <v>0</v>
      </c>
      <c r="Q3132">
        <v>0</v>
      </c>
      <c r="R3132" t="s">
        <v>243</v>
      </c>
    </row>
    <row r="3133" spans="1:18" x14ac:dyDescent="0.3">
      <c r="A3133" t="s">
        <v>259</v>
      </c>
      <c r="B3133" t="s">
        <v>63</v>
      </c>
      <c r="C3133" t="s">
        <v>293</v>
      </c>
      <c r="D3133">
        <v>0.12328321627399901</v>
      </c>
      <c r="E3133">
        <v>0.14850518962999901</v>
      </c>
      <c r="F3133">
        <v>0.158692042905</v>
      </c>
      <c r="G3133">
        <v>0.12628881980000001</v>
      </c>
      <c r="H3133">
        <v>0.118192193199999</v>
      </c>
      <c r="I3133">
        <v>0.11700853369</v>
      </c>
      <c r="J3133">
        <v>0.11271729559</v>
      </c>
      <c r="K3133">
        <v>0.10490037993</v>
      </c>
      <c r="L3133">
        <v>0.10305971024</v>
      </c>
      <c r="M3133">
        <v>0.10150638602999899</v>
      </c>
      <c r="N3133">
        <v>9.9111346069999898E-2</v>
      </c>
      <c r="O3133">
        <v>0</v>
      </c>
      <c r="P3133">
        <v>0</v>
      </c>
      <c r="Q3133">
        <v>0</v>
      </c>
      <c r="R3133" t="s">
        <v>243</v>
      </c>
    </row>
    <row r="3134" spans="1:18" x14ac:dyDescent="0.3">
      <c r="A3134" t="s">
        <v>259</v>
      </c>
      <c r="B3134" t="s">
        <v>63</v>
      </c>
      <c r="C3134" t="s">
        <v>344</v>
      </c>
      <c r="D3134">
        <v>2.1487099999999999E-3</v>
      </c>
      <c r="E3134" s="8">
        <v>4.3131300000000001E-4</v>
      </c>
      <c r="F3134" s="8">
        <v>4.9071200000000003E-4</v>
      </c>
      <c r="G3134" s="8">
        <v>3.93003E-4</v>
      </c>
      <c r="H3134" s="8">
        <v>4.0621799999999899E-4</v>
      </c>
      <c r="I3134" s="8">
        <v>4.1430599999999997E-4</v>
      </c>
      <c r="J3134" s="8">
        <v>4.2119960000000002E-4</v>
      </c>
      <c r="K3134" s="8">
        <v>4.3068779999999899E-4</v>
      </c>
      <c r="L3134" s="8">
        <v>4.4134879999999999E-4</v>
      </c>
      <c r="M3134" s="8">
        <v>4.5244679999999898E-4</v>
      </c>
      <c r="N3134" s="8">
        <v>4.64458699999999E-4</v>
      </c>
      <c r="O3134">
        <v>0</v>
      </c>
      <c r="P3134">
        <v>0</v>
      </c>
      <c r="Q3134">
        <v>0</v>
      </c>
      <c r="R3134" t="s">
        <v>243</v>
      </c>
    </row>
    <row r="3135" spans="1:18" x14ac:dyDescent="0.3">
      <c r="A3135" t="s">
        <v>259</v>
      </c>
      <c r="B3135" t="s">
        <v>63</v>
      </c>
      <c r="C3135" t="s">
        <v>345</v>
      </c>
      <c r="D3135" s="8">
        <v>2.1753899999999999E-4</v>
      </c>
      <c r="E3135" s="8">
        <v>3.7669500000000002E-5</v>
      </c>
      <c r="F3135" s="8">
        <v>3.98473E-5</v>
      </c>
      <c r="G3135" s="8">
        <v>2.8791900000000001E-5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s">
        <v>243</v>
      </c>
    </row>
    <row r="3136" spans="1:18" x14ac:dyDescent="0.3">
      <c r="A3136" t="s">
        <v>259</v>
      </c>
      <c r="B3136" t="s">
        <v>63</v>
      </c>
      <c r="C3136" t="s">
        <v>346</v>
      </c>
      <c r="D3136">
        <v>1.41142E-3</v>
      </c>
      <c r="E3136" s="8">
        <v>2.6134800000000001E-4</v>
      </c>
      <c r="F3136" s="8">
        <v>2.9374300000000001E-4</v>
      </c>
      <c r="G3136" s="8">
        <v>2.2742199999999999E-4</v>
      </c>
      <c r="H3136" s="8">
        <v>2.3354509999999999E-4</v>
      </c>
      <c r="I3136" s="8">
        <v>2.385798E-4</v>
      </c>
      <c r="J3136" s="8">
        <v>2.4254720000000001E-4</v>
      </c>
      <c r="K3136" s="8">
        <v>2.4785809999999998E-4</v>
      </c>
      <c r="L3136" s="8">
        <v>2.536587E-4</v>
      </c>
      <c r="M3136" s="8">
        <v>2.5972210000000003E-4</v>
      </c>
      <c r="N3136" s="8">
        <v>2.6630680000000001E-4</v>
      </c>
      <c r="O3136">
        <v>0</v>
      </c>
      <c r="P3136">
        <v>0</v>
      </c>
      <c r="Q3136">
        <v>0</v>
      </c>
      <c r="R3136" t="s">
        <v>243</v>
      </c>
    </row>
    <row r="3137" spans="1:18" x14ac:dyDescent="0.3">
      <c r="A3137" t="s">
        <v>259</v>
      </c>
      <c r="B3137" t="s">
        <v>63</v>
      </c>
      <c r="C3137" t="s">
        <v>347</v>
      </c>
      <c r="D3137">
        <v>1.0697300000000001E-3</v>
      </c>
      <c r="E3137" s="8">
        <v>2.02141E-4</v>
      </c>
      <c r="F3137" s="8">
        <v>2.21296E-4</v>
      </c>
      <c r="G3137" s="8">
        <v>1.6764699999999999E-4</v>
      </c>
      <c r="H3137" s="8">
        <v>1.721123E-4</v>
      </c>
      <c r="I3137" s="8">
        <v>1.7633029999999901E-4</v>
      </c>
      <c r="J3137" s="8">
        <v>1.789932E-4</v>
      </c>
      <c r="K3137" s="8">
        <v>1.8261530000000001E-4</v>
      </c>
      <c r="L3137" s="8">
        <v>1.8660669999999999E-4</v>
      </c>
      <c r="M3137" s="8">
        <v>1.907442E-4</v>
      </c>
      <c r="N3137" s="8">
        <v>1.952872E-4</v>
      </c>
      <c r="O3137">
        <v>0</v>
      </c>
      <c r="P3137">
        <v>0</v>
      </c>
      <c r="Q3137">
        <v>0</v>
      </c>
      <c r="R3137" t="s">
        <v>243</v>
      </c>
    </row>
    <row r="3138" spans="1:18" x14ac:dyDescent="0.3">
      <c r="A3138" t="s">
        <v>259</v>
      </c>
      <c r="B3138" t="s">
        <v>63</v>
      </c>
      <c r="C3138" t="s">
        <v>348</v>
      </c>
      <c r="D3138" s="8">
        <v>8.9374400000000003E-4</v>
      </c>
      <c r="E3138" s="8">
        <v>1.6795699999999999E-4</v>
      </c>
      <c r="F3138" s="8">
        <v>1.8108600000000001E-4</v>
      </c>
      <c r="G3138" s="8">
        <v>1.3510400000000001E-4</v>
      </c>
      <c r="H3138" s="8">
        <v>1.3870270000000001E-4</v>
      </c>
      <c r="I3138" s="8">
        <v>1.4201169999999999E-4</v>
      </c>
      <c r="J3138" s="8">
        <v>1.4407309999999999E-4</v>
      </c>
      <c r="K3138" s="8">
        <v>1.4693710000000001E-4</v>
      </c>
      <c r="L3138" s="8">
        <v>1.5011279999999999E-4</v>
      </c>
      <c r="M3138" s="8">
        <v>1.534037E-4</v>
      </c>
      <c r="N3138" s="8">
        <v>1.5698010000000001E-4</v>
      </c>
      <c r="O3138">
        <v>0</v>
      </c>
      <c r="P3138">
        <v>0</v>
      </c>
      <c r="Q3138">
        <v>0</v>
      </c>
      <c r="R3138" t="s">
        <v>243</v>
      </c>
    </row>
    <row r="3139" spans="1:18" x14ac:dyDescent="0.3">
      <c r="A3139" t="s">
        <v>259</v>
      </c>
      <c r="B3139" t="s">
        <v>63</v>
      </c>
      <c r="C3139" t="s">
        <v>349</v>
      </c>
      <c r="D3139" s="8">
        <v>7.6127300000000003E-4</v>
      </c>
      <c r="E3139" s="8">
        <v>1.4202400000000001E-4</v>
      </c>
      <c r="F3139" s="8">
        <v>1.52872E-4</v>
      </c>
      <c r="G3139" s="8">
        <v>1.1339E-4</v>
      </c>
      <c r="H3139" s="8">
        <v>1.1641040000000001E-4</v>
      </c>
      <c r="I3139" s="8">
        <v>1.193579E-4</v>
      </c>
      <c r="J3139" s="8">
        <v>1.2105279999999999E-4</v>
      </c>
      <c r="K3139" s="8">
        <v>1.2339419999999999E-4</v>
      </c>
      <c r="L3139" s="8">
        <v>1.2604129999999999E-4</v>
      </c>
      <c r="M3139" s="8">
        <v>7.30655E-5</v>
      </c>
      <c r="N3139">
        <v>0</v>
      </c>
      <c r="O3139">
        <v>0</v>
      </c>
      <c r="P3139">
        <v>0</v>
      </c>
      <c r="Q3139">
        <v>0</v>
      </c>
      <c r="R3139" t="s">
        <v>243</v>
      </c>
    </row>
    <row r="3140" spans="1:18" x14ac:dyDescent="0.3">
      <c r="A3140" t="s">
        <v>259</v>
      </c>
      <c r="B3140" t="s">
        <v>63</v>
      </c>
      <c r="C3140" t="s">
        <v>350</v>
      </c>
      <c r="D3140" s="8">
        <v>6.5398599999999996E-4</v>
      </c>
      <c r="E3140" s="8">
        <v>1.2149700000000001E-4</v>
      </c>
      <c r="F3140" s="8">
        <v>1.3034599999999999E-4</v>
      </c>
      <c r="G3140" s="8">
        <v>9.60265E-5</v>
      </c>
      <c r="H3140" s="8">
        <v>9.8584600000000005E-5</v>
      </c>
      <c r="I3140" s="8">
        <v>1.011673E-4</v>
      </c>
      <c r="J3140" s="8">
        <v>1.025482E-4</v>
      </c>
      <c r="K3140" s="8">
        <v>1.0451009999999999E-4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243</v>
      </c>
    </row>
    <row r="3141" spans="1:18" x14ac:dyDescent="0.3">
      <c r="A3141" t="s">
        <v>259</v>
      </c>
      <c r="B3141" t="s">
        <v>63</v>
      </c>
      <c r="C3141" t="s">
        <v>351</v>
      </c>
      <c r="D3141" s="8">
        <v>5.5769200000000004E-4</v>
      </c>
      <c r="E3141" s="8">
        <v>1.03671E-4</v>
      </c>
      <c r="F3141" s="8">
        <v>1.10686E-4</v>
      </c>
      <c r="G3141" s="8">
        <v>8.1489400000000006E-5</v>
      </c>
      <c r="H3141" s="8">
        <v>8.3660300000000003E-5</v>
      </c>
      <c r="I3141" s="8">
        <v>8.5984299999999894E-5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">
        <v>243</v>
      </c>
    </row>
    <row r="3142" spans="1:18" x14ac:dyDescent="0.3">
      <c r="A3142" t="s">
        <v>259</v>
      </c>
      <c r="B3142" t="s">
        <v>63</v>
      </c>
      <c r="C3142" t="s">
        <v>352</v>
      </c>
      <c r="D3142" s="8">
        <v>4.6945E-4</v>
      </c>
      <c r="E3142" s="8">
        <v>8.6410999999999996E-5</v>
      </c>
      <c r="F3142" s="8">
        <v>9.22038E-5</v>
      </c>
      <c r="G3142" s="8">
        <v>6.6676399999999997E-5</v>
      </c>
      <c r="H3142" s="8">
        <v>6.8452600000000003E-5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243</v>
      </c>
    </row>
    <row r="3143" spans="1:18" x14ac:dyDescent="0.3">
      <c r="A3143" t="s">
        <v>259</v>
      </c>
      <c r="B3143" t="s">
        <v>63</v>
      </c>
      <c r="C3143" t="s">
        <v>353</v>
      </c>
      <c r="D3143" s="8">
        <v>3.68365E-4</v>
      </c>
      <c r="E3143" s="8">
        <v>6.7479100000000002E-5</v>
      </c>
      <c r="F3143" s="8">
        <v>7.1984500000000002E-5</v>
      </c>
      <c r="G3143" s="8">
        <v>5.2695499999999997E-5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243</v>
      </c>
    </row>
    <row r="3144" spans="1:18" x14ac:dyDescent="0.3">
      <c r="A3144" t="s">
        <v>259</v>
      </c>
      <c r="B3144" t="s">
        <v>63</v>
      </c>
      <c r="C3144" t="s">
        <v>294</v>
      </c>
      <c r="D3144">
        <v>1.1171285255E-2</v>
      </c>
      <c r="E3144">
        <v>1.6354045769999999E-2</v>
      </c>
      <c r="F3144">
        <v>1.543865738E-2</v>
      </c>
      <c r="G3144">
        <v>1.159596274E-2</v>
      </c>
      <c r="H3144">
        <v>1.2550769559999999E-2</v>
      </c>
      <c r="I3144">
        <v>1.2539205100000001E-2</v>
      </c>
      <c r="J3144">
        <v>1.328074114E-2</v>
      </c>
      <c r="K3144">
        <v>1.4187433554E-2</v>
      </c>
      <c r="L3144">
        <v>1.51828777379999E-2</v>
      </c>
      <c r="M3144">
        <v>1.6290708439999899E-2</v>
      </c>
      <c r="N3144">
        <v>1.7284981549999998E-2</v>
      </c>
      <c r="O3144">
        <v>0</v>
      </c>
      <c r="P3144">
        <v>0</v>
      </c>
      <c r="Q3144">
        <v>0</v>
      </c>
      <c r="R3144" t="s">
        <v>243</v>
      </c>
    </row>
    <row r="3145" spans="1:18" x14ac:dyDescent="0.3">
      <c r="A3145" t="s">
        <v>259</v>
      </c>
      <c r="B3145" t="s">
        <v>63</v>
      </c>
      <c r="C3145" t="s">
        <v>295</v>
      </c>
      <c r="D3145">
        <v>3.9293616359999999E-2</v>
      </c>
      <c r="E3145">
        <v>4.5742709530000002E-2</v>
      </c>
      <c r="F3145">
        <v>4.8506935930000002E-2</v>
      </c>
      <c r="G3145">
        <v>3.73155872E-2</v>
      </c>
      <c r="H3145">
        <v>3.7883311029999998E-2</v>
      </c>
      <c r="I3145">
        <v>3.8629415839999903E-2</v>
      </c>
      <c r="J3145">
        <v>3.8683718989999998E-2</v>
      </c>
      <c r="K3145">
        <v>3.923417605E-2</v>
      </c>
      <c r="L3145">
        <v>3.9758681649999898E-2</v>
      </c>
      <c r="M3145">
        <v>4.0225584619999998E-2</v>
      </c>
      <c r="N3145">
        <v>4.0790024199999997E-2</v>
      </c>
      <c r="O3145">
        <v>0</v>
      </c>
      <c r="P3145">
        <v>0</v>
      </c>
      <c r="Q3145">
        <v>0</v>
      </c>
      <c r="R3145" t="s">
        <v>243</v>
      </c>
    </row>
    <row r="3146" spans="1:18" x14ac:dyDescent="0.3">
      <c r="A3146" t="s">
        <v>259</v>
      </c>
      <c r="B3146" t="s">
        <v>63</v>
      </c>
      <c r="C3146" t="s">
        <v>296</v>
      </c>
      <c r="D3146">
        <v>1.6528095471999901E-2</v>
      </c>
      <c r="E3146">
        <v>2.3983207039999999E-2</v>
      </c>
      <c r="F3146">
        <v>2.3235964509999998E-2</v>
      </c>
      <c r="G3146">
        <v>1.7787252140000001E-2</v>
      </c>
      <c r="H3146">
        <v>1.8512555699999999E-2</v>
      </c>
      <c r="I3146">
        <v>1.8564872539999999E-2</v>
      </c>
      <c r="J3146">
        <v>1.9408469979999999E-2</v>
      </c>
      <c r="K3146">
        <v>2.0588186147999898E-2</v>
      </c>
      <c r="L3146">
        <v>2.1802492608000001E-2</v>
      </c>
      <c r="M3146">
        <v>2.3108071500000001E-2</v>
      </c>
      <c r="N3146">
        <v>2.4273611519999998E-2</v>
      </c>
      <c r="O3146">
        <v>0</v>
      </c>
      <c r="P3146">
        <v>0</v>
      </c>
      <c r="Q3146">
        <v>0</v>
      </c>
      <c r="R3146" t="s">
        <v>243</v>
      </c>
    </row>
    <row r="3147" spans="1:18" x14ac:dyDescent="0.3">
      <c r="A3147" t="s">
        <v>259</v>
      </c>
      <c r="B3147" t="s">
        <v>63</v>
      </c>
      <c r="C3147" t="s">
        <v>297</v>
      </c>
      <c r="D3147">
        <v>2.0519248430000001E-2</v>
      </c>
      <c r="E3147">
        <v>2.8056838559999998E-2</v>
      </c>
      <c r="F3147">
        <v>2.7968325870000001E-2</v>
      </c>
      <c r="G3147">
        <v>2.1625033030000001E-2</v>
      </c>
      <c r="H3147">
        <v>2.1559952269999998E-2</v>
      </c>
      <c r="I3147">
        <v>2.26477882799999E-2</v>
      </c>
      <c r="J3147">
        <v>2.3398752070000001E-2</v>
      </c>
      <c r="K3147">
        <v>2.4562772930000001E-2</v>
      </c>
      <c r="L3147">
        <v>2.5731302019999999E-2</v>
      </c>
      <c r="M3147">
        <v>2.6943729600000001E-2</v>
      </c>
      <c r="N3147">
        <v>2.803264586E-2</v>
      </c>
      <c r="O3147">
        <v>0</v>
      </c>
      <c r="P3147">
        <v>0</v>
      </c>
      <c r="Q3147">
        <v>0</v>
      </c>
      <c r="R3147" t="s">
        <v>243</v>
      </c>
    </row>
    <row r="3148" spans="1:18" x14ac:dyDescent="0.3">
      <c r="A3148" t="s">
        <v>259</v>
      </c>
      <c r="B3148" t="s">
        <v>63</v>
      </c>
      <c r="C3148" t="s">
        <v>298</v>
      </c>
      <c r="D3148">
        <v>2.318763452E-2</v>
      </c>
      <c r="E3148">
        <v>3.0897742789999998E-2</v>
      </c>
      <c r="F3148">
        <v>3.1316315589999998E-2</v>
      </c>
      <c r="G3148">
        <v>2.4340120799999899E-2</v>
      </c>
      <c r="H3148">
        <v>2.4301964169999898E-2</v>
      </c>
      <c r="I3148">
        <v>2.5370519009999998E-2</v>
      </c>
      <c r="J3148">
        <v>2.6046887920000001E-2</v>
      </c>
      <c r="K3148">
        <v>2.719576886E-2</v>
      </c>
      <c r="L3148">
        <v>2.833859004E-2</v>
      </c>
      <c r="M3148">
        <v>2.949183444E-2</v>
      </c>
      <c r="N3148">
        <v>3.0519722999999999E-2</v>
      </c>
      <c r="O3148">
        <v>0</v>
      </c>
      <c r="P3148">
        <v>0</v>
      </c>
      <c r="Q3148">
        <v>0</v>
      </c>
      <c r="R3148" t="s">
        <v>243</v>
      </c>
    </row>
    <row r="3149" spans="1:18" x14ac:dyDescent="0.3">
      <c r="A3149" t="s">
        <v>259</v>
      </c>
      <c r="B3149" t="s">
        <v>63</v>
      </c>
      <c r="C3149" t="s">
        <v>299</v>
      </c>
      <c r="D3149">
        <v>2.5554371530000002E-2</v>
      </c>
      <c r="E3149">
        <v>3.332417402E-2</v>
      </c>
      <c r="F3149">
        <v>3.4048861969999997E-2</v>
      </c>
      <c r="G3149">
        <v>2.64634064E-2</v>
      </c>
      <c r="H3149">
        <v>2.6545209350000001E-2</v>
      </c>
      <c r="I3149">
        <v>2.7643215160000002E-2</v>
      </c>
      <c r="J3149">
        <v>2.82507177899999E-2</v>
      </c>
      <c r="K3149">
        <v>2.9333893119999999E-2</v>
      </c>
      <c r="L3149">
        <v>3.0422510569999901E-2</v>
      </c>
      <c r="M3149">
        <v>3.1475532020000002E-2</v>
      </c>
      <c r="N3149">
        <v>3.241966609E-2</v>
      </c>
      <c r="O3149">
        <v>0</v>
      </c>
      <c r="P3149">
        <v>0</v>
      </c>
      <c r="Q3149">
        <v>0</v>
      </c>
      <c r="R3149" t="s">
        <v>243</v>
      </c>
    </row>
    <row r="3150" spans="1:18" x14ac:dyDescent="0.3">
      <c r="A3150" t="s">
        <v>259</v>
      </c>
      <c r="B3150" t="s">
        <v>63</v>
      </c>
      <c r="C3150" t="s">
        <v>300</v>
      </c>
      <c r="D3150">
        <v>2.7733182219999999E-2</v>
      </c>
      <c r="E3150">
        <v>3.5415360489999999E-2</v>
      </c>
      <c r="F3150">
        <v>3.6481797809999897E-2</v>
      </c>
      <c r="G3150">
        <v>2.83603906E-2</v>
      </c>
      <c r="H3150">
        <v>2.8556733769999999E-2</v>
      </c>
      <c r="I3150">
        <v>2.963591162E-2</v>
      </c>
      <c r="J3150">
        <v>3.0145052639999899E-2</v>
      </c>
      <c r="K3150">
        <v>3.11633387799999E-2</v>
      </c>
      <c r="L3150">
        <v>3.2146957179999998E-2</v>
      </c>
      <c r="M3150">
        <v>3.3099078359999999E-2</v>
      </c>
      <c r="N3150">
        <v>3.3969664949999902E-2</v>
      </c>
      <c r="O3150">
        <v>0</v>
      </c>
      <c r="P3150">
        <v>0</v>
      </c>
      <c r="Q3150">
        <v>0</v>
      </c>
      <c r="R3150" t="s">
        <v>243</v>
      </c>
    </row>
    <row r="3151" spans="1:18" x14ac:dyDescent="0.3">
      <c r="A3151" t="s">
        <v>259</v>
      </c>
      <c r="B3151" t="s">
        <v>63</v>
      </c>
      <c r="C3151" t="s">
        <v>301</v>
      </c>
      <c r="D3151">
        <v>2.9906607599999899E-2</v>
      </c>
      <c r="E3151">
        <v>3.7349571589999998E-2</v>
      </c>
      <c r="F3151">
        <v>3.8790953779999998E-2</v>
      </c>
      <c r="G3151">
        <v>3.0085867299999999E-2</v>
      </c>
      <c r="H3151">
        <v>3.0422374379999999E-2</v>
      </c>
      <c r="I3151">
        <v>3.1489181550000002E-2</v>
      </c>
      <c r="J3151">
        <v>3.1904893390000001E-2</v>
      </c>
      <c r="K3151">
        <v>3.2824887359999999E-2</v>
      </c>
      <c r="L3151">
        <v>3.370989445E-2</v>
      </c>
      <c r="M3151">
        <v>3.4532349089999997E-2</v>
      </c>
      <c r="N3151">
        <v>3.5302734910000001E-2</v>
      </c>
      <c r="O3151">
        <v>0</v>
      </c>
      <c r="P3151">
        <v>0</v>
      </c>
      <c r="Q3151">
        <v>0</v>
      </c>
      <c r="R3151" t="s">
        <v>243</v>
      </c>
    </row>
    <row r="3152" spans="1:18" x14ac:dyDescent="0.3">
      <c r="A3152" t="s">
        <v>259</v>
      </c>
      <c r="B3152" t="s">
        <v>63</v>
      </c>
      <c r="C3152" t="s">
        <v>302</v>
      </c>
      <c r="D3152">
        <v>3.2085087870000001E-2</v>
      </c>
      <c r="E3152">
        <v>3.9320714030000002E-2</v>
      </c>
      <c r="F3152">
        <v>4.111146744E-2</v>
      </c>
      <c r="G3152">
        <v>3.1963538700000002E-2</v>
      </c>
      <c r="H3152">
        <v>3.2325212219999899E-2</v>
      </c>
      <c r="I3152">
        <v>3.3315498399999997E-2</v>
      </c>
      <c r="J3152">
        <v>3.3647726769999997E-2</v>
      </c>
      <c r="K3152">
        <v>3.4456575009999997E-2</v>
      </c>
      <c r="L3152">
        <v>3.5215307249999897E-2</v>
      </c>
      <c r="M3152">
        <v>3.59068131899999E-2</v>
      </c>
      <c r="N3152">
        <v>3.6601427779999897E-2</v>
      </c>
      <c r="O3152">
        <v>0</v>
      </c>
      <c r="P3152">
        <v>0</v>
      </c>
      <c r="Q3152">
        <v>0</v>
      </c>
      <c r="R3152" t="s">
        <v>243</v>
      </c>
    </row>
    <row r="3153" spans="1:18" x14ac:dyDescent="0.3">
      <c r="A3153" t="s">
        <v>259</v>
      </c>
      <c r="B3153" t="s">
        <v>63</v>
      </c>
      <c r="C3153" t="s">
        <v>303</v>
      </c>
      <c r="D3153">
        <v>3.4793934129999898E-2</v>
      </c>
      <c r="E3153">
        <v>4.1600000710000001E-2</v>
      </c>
      <c r="F3153">
        <v>4.3798176699999997E-2</v>
      </c>
      <c r="G3153">
        <v>3.3830409800000003E-2</v>
      </c>
      <c r="H3153">
        <v>3.431494433E-2</v>
      </c>
      <c r="I3153">
        <v>3.5293454219999902E-2</v>
      </c>
      <c r="J3153">
        <v>3.550806049E-2</v>
      </c>
      <c r="K3153">
        <v>3.6207950729999903E-2</v>
      </c>
      <c r="L3153">
        <v>3.686862497E-2</v>
      </c>
      <c r="M3153">
        <v>3.7459846219999898E-2</v>
      </c>
      <c r="N3153">
        <v>3.8090995689999997E-2</v>
      </c>
      <c r="O3153">
        <v>0</v>
      </c>
      <c r="P3153">
        <v>0</v>
      </c>
      <c r="Q3153">
        <v>0</v>
      </c>
      <c r="R3153" t="s">
        <v>243</v>
      </c>
    </row>
    <row r="3154" spans="1:18" x14ac:dyDescent="0.3">
      <c r="A3154" t="s">
        <v>259</v>
      </c>
      <c r="B3154" t="s">
        <v>63</v>
      </c>
      <c r="C3154" t="s">
        <v>304</v>
      </c>
      <c r="D3154">
        <v>1.4191E-2</v>
      </c>
      <c r="E3154">
        <v>2.1837499999999999E-2</v>
      </c>
      <c r="F3154">
        <v>2.0665900000000001E-2</v>
      </c>
      <c r="G3154">
        <v>1.85501E-2</v>
      </c>
      <c r="H3154">
        <v>2.0279499999999999E-2</v>
      </c>
      <c r="I3154">
        <v>2.0395460000000001E-2</v>
      </c>
      <c r="J3154">
        <v>2.0951029999999999E-2</v>
      </c>
      <c r="K3154">
        <v>2.167964E-2</v>
      </c>
      <c r="L3154">
        <v>2.2425259999999999E-2</v>
      </c>
      <c r="M3154">
        <v>2.315157E-2</v>
      </c>
      <c r="N3154">
        <v>2.38743999999999E-2</v>
      </c>
      <c r="O3154">
        <v>0</v>
      </c>
      <c r="P3154">
        <v>0</v>
      </c>
      <c r="Q3154">
        <v>0</v>
      </c>
      <c r="R3154" t="s">
        <v>243</v>
      </c>
    </row>
    <row r="3155" spans="1:18" x14ac:dyDescent="0.3">
      <c r="A3155" t="s">
        <v>259</v>
      </c>
      <c r="B3155" t="s">
        <v>63</v>
      </c>
      <c r="C3155" t="s">
        <v>305</v>
      </c>
      <c r="D3155">
        <v>2.83967E-2</v>
      </c>
      <c r="E3155">
        <v>3.6521999999999999E-2</v>
      </c>
      <c r="F3155">
        <v>3.4252600000000001E-2</v>
      </c>
      <c r="G3155">
        <v>3.08469E-2</v>
      </c>
      <c r="H3155">
        <v>3.16677E-2</v>
      </c>
      <c r="I3155">
        <v>3.2464989999999999E-2</v>
      </c>
      <c r="J3155">
        <v>3.2866800000000002E-2</v>
      </c>
      <c r="K3155">
        <v>3.3427529999999997E-2</v>
      </c>
      <c r="L3155">
        <v>3.4039279999999998E-2</v>
      </c>
      <c r="M3155">
        <v>3.4661779999999899E-2</v>
      </c>
      <c r="N3155">
        <v>3.5339719999999998E-2</v>
      </c>
      <c r="O3155">
        <v>0</v>
      </c>
      <c r="P3155">
        <v>0</v>
      </c>
      <c r="Q3155">
        <v>0</v>
      </c>
      <c r="R3155" t="s">
        <v>243</v>
      </c>
    </row>
    <row r="3156" spans="1:18" x14ac:dyDescent="0.3">
      <c r="A3156" t="s">
        <v>259</v>
      </c>
      <c r="B3156" t="s">
        <v>63</v>
      </c>
      <c r="C3156" t="s">
        <v>306</v>
      </c>
      <c r="D3156">
        <v>1.80051E-2</v>
      </c>
      <c r="E3156">
        <v>2.59355E-2</v>
      </c>
      <c r="F3156">
        <v>2.4538899999999999E-2</v>
      </c>
      <c r="G3156">
        <v>2.2290299999999999E-2</v>
      </c>
      <c r="H3156">
        <v>2.321612E-2</v>
      </c>
      <c r="I3156">
        <v>2.3648719999999901E-2</v>
      </c>
      <c r="J3156">
        <v>2.4105309999999901E-2</v>
      </c>
      <c r="K3156">
        <v>2.4692019999999999E-2</v>
      </c>
      <c r="L3156">
        <v>2.5306769999999999E-2</v>
      </c>
      <c r="M3156">
        <v>2.593374E-2</v>
      </c>
      <c r="N3156">
        <v>2.6601899999999901E-2</v>
      </c>
      <c r="O3156">
        <v>0</v>
      </c>
      <c r="P3156">
        <v>0</v>
      </c>
      <c r="Q3156">
        <v>0</v>
      </c>
      <c r="R3156" t="s">
        <v>243</v>
      </c>
    </row>
    <row r="3157" spans="1:18" x14ac:dyDescent="0.3">
      <c r="A3157" t="s">
        <v>259</v>
      </c>
      <c r="B3157" t="s">
        <v>63</v>
      </c>
      <c r="C3157" t="s">
        <v>307</v>
      </c>
      <c r="D3157">
        <v>2.0148099999999999E-2</v>
      </c>
      <c r="E3157">
        <v>2.7619000000000001E-2</v>
      </c>
      <c r="F3157">
        <v>2.6214299999999999E-2</v>
      </c>
      <c r="G3157">
        <v>2.3873700000000001E-2</v>
      </c>
      <c r="H3157">
        <v>2.4604600000000001E-2</v>
      </c>
      <c r="I3157">
        <v>2.5210449999999999E-2</v>
      </c>
      <c r="J3157">
        <v>2.5607350000000001E-2</v>
      </c>
      <c r="K3157">
        <v>2.6138850000000002E-2</v>
      </c>
      <c r="L3157">
        <v>2.671724E-2</v>
      </c>
      <c r="M3157">
        <v>2.7313109999999901E-2</v>
      </c>
      <c r="N3157">
        <v>2.79649599999999E-2</v>
      </c>
      <c r="O3157">
        <v>0</v>
      </c>
      <c r="P3157">
        <v>0</v>
      </c>
      <c r="Q3157">
        <v>0</v>
      </c>
      <c r="R3157" t="s">
        <v>243</v>
      </c>
    </row>
    <row r="3158" spans="1:18" x14ac:dyDescent="0.3">
      <c r="A3158" t="s">
        <v>259</v>
      </c>
      <c r="B3158" t="s">
        <v>63</v>
      </c>
      <c r="C3158" t="s">
        <v>308</v>
      </c>
      <c r="D3158">
        <v>2.13577E-2</v>
      </c>
      <c r="E3158">
        <v>2.8724099999999999E-2</v>
      </c>
      <c r="F3158">
        <v>2.7276499999999999E-2</v>
      </c>
      <c r="G3158">
        <v>2.4853199999999999E-2</v>
      </c>
      <c r="H3158">
        <v>2.5551399999999998E-2</v>
      </c>
      <c r="I3158">
        <v>2.6161529999999999E-2</v>
      </c>
      <c r="J3158">
        <v>2.6545840000000001E-2</v>
      </c>
      <c r="K3158">
        <v>2.7077319999999998E-2</v>
      </c>
      <c r="L3158">
        <v>2.766412E-2</v>
      </c>
      <c r="M3158">
        <v>2.82713299999999E-2</v>
      </c>
      <c r="N3158">
        <v>2.8930609999999999E-2</v>
      </c>
      <c r="O3158">
        <v>0</v>
      </c>
      <c r="P3158">
        <v>0</v>
      </c>
      <c r="Q3158">
        <v>0</v>
      </c>
      <c r="R3158" t="s">
        <v>243</v>
      </c>
    </row>
    <row r="3159" spans="1:18" x14ac:dyDescent="0.3">
      <c r="A3159" t="s">
        <v>259</v>
      </c>
      <c r="B3159" t="s">
        <v>63</v>
      </c>
      <c r="C3159" t="s">
        <v>309</v>
      </c>
      <c r="D3159">
        <v>2.2331899999999998E-2</v>
      </c>
      <c r="E3159">
        <v>2.9675799999999999E-2</v>
      </c>
      <c r="F3159">
        <v>2.8125500000000001E-2</v>
      </c>
      <c r="G3159">
        <v>2.5597100000000001E-2</v>
      </c>
      <c r="H3159">
        <v>2.6292900000000001E-2</v>
      </c>
      <c r="I3159">
        <v>2.69583399999999E-2</v>
      </c>
      <c r="J3159">
        <v>2.7341919999999999E-2</v>
      </c>
      <c r="K3159">
        <v>2.7871759999999999E-2</v>
      </c>
      <c r="L3159">
        <v>2.8469979999999999E-2</v>
      </c>
      <c r="M3159">
        <v>2.90825799999999E-2</v>
      </c>
      <c r="N3159">
        <v>2.974481E-2</v>
      </c>
      <c r="O3159">
        <v>0</v>
      </c>
      <c r="P3159">
        <v>0</v>
      </c>
      <c r="Q3159">
        <v>0</v>
      </c>
      <c r="R3159" t="s">
        <v>243</v>
      </c>
    </row>
    <row r="3160" spans="1:18" x14ac:dyDescent="0.3">
      <c r="A3160" t="s">
        <v>259</v>
      </c>
      <c r="B3160" t="s">
        <v>63</v>
      </c>
      <c r="C3160" t="s">
        <v>310</v>
      </c>
      <c r="D3160">
        <v>2.3180699999999999E-2</v>
      </c>
      <c r="E3160">
        <v>3.0534700000000001E-2</v>
      </c>
      <c r="F3160">
        <v>2.8899299999999999E-2</v>
      </c>
      <c r="G3160">
        <v>2.6276999999999998E-2</v>
      </c>
      <c r="H3160">
        <v>2.6981399999999999E-2</v>
      </c>
      <c r="I3160">
        <v>2.768756E-2</v>
      </c>
      <c r="J3160">
        <v>2.8065079999999999E-2</v>
      </c>
      <c r="K3160">
        <v>2.8602269999999999E-2</v>
      </c>
      <c r="L3160">
        <v>2.9198000000000002E-2</v>
      </c>
      <c r="M3160">
        <v>2.9819099999999901E-2</v>
      </c>
      <c r="N3160">
        <v>3.0489619999999999E-2</v>
      </c>
      <c r="O3160">
        <v>0</v>
      </c>
      <c r="P3160">
        <v>0</v>
      </c>
      <c r="Q3160">
        <v>0</v>
      </c>
      <c r="R3160" t="s">
        <v>243</v>
      </c>
    </row>
    <row r="3161" spans="1:18" x14ac:dyDescent="0.3">
      <c r="A3161" t="s">
        <v>259</v>
      </c>
      <c r="B3161" t="s">
        <v>63</v>
      </c>
      <c r="C3161" t="s">
        <v>311</v>
      </c>
      <c r="D3161">
        <v>2.4013E-2</v>
      </c>
      <c r="E3161">
        <v>3.1389E-2</v>
      </c>
      <c r="F3161">
        <v>2.96756E-2</v>
      </c>
      <c r="G3161">
        <v>2.6932299999999999E-2</v>
      </c>
      <c r="H3161">
        <v>2.7650500000000001E-2</v>
      </c>
      <c r="I3161">
        <v>2.841772E-2</v>
      </c>
      <c r="J3161">
        <v>2.879464E-2</v>
      </c>
      <c r="K3161">
        <v>2.9332669999999901E-2</v>
      </c>
      <c r="L3161">
        <v>2.9933350000000001E-2</v>
      </c>
      <c r="M3161">
        <v>3.0551430000000001E-2</v>
      </c>
      <c r="N3161">
        <v>3.12151499999999E-2</v>
      </c>
      <c r="O3161">
        <v>0</v>
      </c>
      <c r="P3161">
        <v>0</v>
      </c>
      <c r="Q3161">
        <v>0</v>
      </c>
      <c r="R3161" t="s">
        <v>243</v>
      </c>
    </row>
    <row r="3162" spans="1:18" x14ac:dyDescent="0.3">
      <c r="A3162" t="s">
        <v>259</v>
      </c>
      <c r="B3162" t="s">
        <v>63</v>
      </c>
      <c r="C3162" t="s">
        <v>312</v>
      </c>
      <c r="D3162">
        <v>2.4866900000000001E-2</v>
      </c>
      <c r="E3162">
        <v>3.2351199999999997E-2</v>
      </c>
      <c r="F3162">
        <v>3.0527200000000001E-2</v>
      </c>
      <c r="G3162">
        <v>2.77174E-2</v>
      </c>
      <c r="H3162">
        <v>2.84552E-2</v>
      </c>
      <c r="I3162">
        <v>2.9216639999999999E-2</v>
      </c>
      <c r="J3162">
        <v>2.9604849999999999E-2</v>
      </c>
      <c r="K3162">
        <v>3.014526E-2</v>
      </c>
      <c r="L3162">
        <v>3.0741790000000001E-2</v>
      </c>
      <c r="M3162">
        <v>3.1355859999999999E-2</v>
      </c>
      <c r="N3162">
        <v>3.202377E-2</v>
      </c>
      <c r="O3162">
        <v>0</v>
      </c>
      <c r="P3162">
        <v>0</v>
      </c>
      <c r="Q3162">
        <v>0</v>
      </c>
      <c r="R3162" t="s">
        <v>243</v>
      </c>
    </row>
    <row r="3163" spans="1:18" x14ac:dyDescent="0.3">
      <c r="A3163" t="s">
        <v>259</v>
      </c>
      <c r="B3163" t="s">
        <v>63</v>
      </c>
      <c r="C3163" t="s">
        <v>313</v>
      </c>
      <c r="D3163">
        <v>2.6017800000000001E-2</v>
      </c>
      <c r="E3163">
        <v>3.3630199999999999E-2</v>
      </c>
      <c r="F3163">
        <v>3.16578E-2</v>
      </c>
      <c r="G3163">
        <v>2.8619599999999999E-2</v>
      </c>
      <c r="H3163">
        <v>2.93812E-2</v>
      </c>
      <c r="I3163">
        <v>3.0226980000000001E-2</v>
      </c>
      <c r="J3163">
        <v>3.0618980000000001E-2</v>
      </c>
      <c r="K3163">
        <v>3.117313E-2</v>
      </c>
      <c r="L3163">
        <v>3.1787669999999997E-2</v>
      </c>
      <c r="M3163">
        <v>3.241832E-2</v>
      </c>
      <c r="N3163">
        <v>3.309774E-2</v>
      </c>
      <c r="O3163">
        <v>0</v>
      </c>
      <c r="P3163">
        <v>0</v>
      </c>
      <c r="Q3163">
        <v>0</v>
      </c>
      <c r="R3163" t="s">
        <v>243</v>
      </c>
    </row>
    <row r="3164" spans="1:18" x14ac:dyDescent="0.3">
      <c r="A3164" t="s">
        <v>259</v>
      </c>
      <c r="B3164" t="s">
        <v>63</v>
      </c>
      <c r="C3164" t="s">
        <v>314</v>
      </c>
      <c r="D3164">
        <v>1.89325E-3</v>
      </c>
      <c r="E3164">
        <v>2.9729700000000001E-3</v>
      </c>
      <c r="F3164">
        <v>2.8146400000000002E-3</v>
      </c>
      <c r="G3164">
        <v>2.52667E-3</v>
      </c>
      <c r="H3164">
        <v>2.74734E-3</v>
      </c>
      <c r="I3164">
        <v>2.7259699999999999E-3</v>
      </c>
      <c r="J3164">
        <v>2.7895699999999999E-3</v>
      </c>
      <c r="K3164">
        <v>2.8629900000000002E-3</v>
      </c>
      <c r="L3164">
        <v>2.9357300000000001E-3</v>
      </c>
      <c r="M3164">
        <v>3.0066400000000001E-3</v>
      </c>
      <c r="N3164">
        <v>3.07157E-3</v>
      </c>
      <c r="O3164">
        <v>0</v>
      </c>
      <c r="P3164">
        <v>0</v>
      </c>
      <c r="Q3164">
        <v>0</v>
      </c>
      <c r="R3164" t="s">
        <v>243</v>
      </c>
    </row>
    <row r="3165" spans="1:18" x14ac:dyDescent="0.3">
      <c r="A3165" t="s">
        <v>259</v>
      </c>
      <c r="B3165" t="s">
        <v>63</v>
      </c>
      <c r="C3165" t="s">
        <v>315</v>
      </c>
      <c r="D3165">
        <v>3.9639599999999999E-3</v>
      </c>
      <c r="E3165">
        <v>5.0657999999999996E-3</v>
      </c>
      <c r="F3165">
        <v>4.7508400000000001E-3</v>
      </c>
      <c r="G3165">
        <v>4.2785499999999999E-3</v>
      </c>
      <c r="H3165">
        <v>4.3303500000000002E-3</v>
      </c>
      <c r="I3165">
        <v>4.3810799999999999E-3</v>
      </c>
      <c r="J3165">
        <v>4.4069799999999996E-3</v>
      </c>
      <c r="K3165">
        <v>4.4334600000000002E-3</v>
      </c>
      <c r="L3165">
        <v>4.4678000000000001E-3</v>
      </c>
      <c r="M3165">
        <v>4.50797E-3</v>
      </c>
      <c r="N3165">
        <v>4.5495099999999997E-3</v>
      </c>
      <c r="O3165">
        <v>0</v>
      </c>
      <c r="P3165">
        <v>0</v>
      </c>
      <c r="Q3165">
        <v>0</v>
      </c>
      <c r="R3165" t="s">
        <v>243</v>
      </c>
    </row>
    <row r="3166" spans="1:18" x14ac:dyDescent="0.3">
      <c r="A3166" t="s">
        <v>259</v>
      </c>
      <c r="B3166" t="s">
        <v>63</v>
      </c>
      <c r="C3166" t="s">
        <v>316</v>
      </c>
      <c r="D3166">
        <v>2.44852E-3</v>
      </c>
      <c r="E3166">
        <v>3.57611E-3</v>
      </c>
      <c r="F3166">
        <v>3.3830100000000001E-3</v>
      </c>
      <c r="G3166">
        <v>3.0725000000000001E-3</v>
      </c>
      <c r="H3166">
        <v>3.1677200000000002E-3</v>
      </c>
      <c r="I3166">
        <v>3.1832599999999998E-3</v>
      </c>
      <c r="J3166">
        <v>3.2271499999999998E-3</v>
      </c>
      <c r="K3166">
        <v>3.27246E-3</v>
      </c>
      <c r="L3166">
        <v>3.3204900000000002E-3</v>
      </c>
      <c r="M3166">
        <v>3.3723799999999999E-3</v>
      </c>
      <c r="N3166">
        <v>3.4245600000000001E-3</v>
      </c>
      <c r="O3166">
        <v>0</v>
      </c>
      <c r="P3166">
        <v>0</v>
      </c>
      <c r="Q3166">
        <v>0</v>
      </c>
      <c r="R3166" t="s">
        <v>243</v>
      </c>
    </row>
    <row r="3167" spans="1:18" x14ac:dyDescent="0.3">
      <c r="A3167" t="s">
        <v>259</v>
      </c>
      <c r="B3167" t="s">
        <v>63</v>
      </c>
      <c r="C3167" t="s">
        <v>317</v>
      </c>
      <c r="D3167">
        <v>2.7694500000000001E-3</v>
      </c>
      <c r="E3167">
        <v>3.8214199999999999E-3</v>
      </c>
      <c r="F3167">
        <v>3.6271699999999999E-3</v>
      </c>
      <c r="G3167">
        <v>3.3031599999999999E-3</v>
      </c>
      <c r="H3167">
        <v>3.3613800000000002E-3</v>
      </c>
      <c r="I3167">
        <v>3.3996999999999999E-3</v>
      </c>
      <c r="J3167">
        <v>3.4322599999999999E-3</v>
      </c>
      <c r="K3167">
        <v>3.4662600000000001E-3</v>
      </c>
      <c r="L3167">
        <v>3.5065999999999999E-3</v>
      </c>
      <c r="M3167">
        <v>3.5522000000000001E-3</v>
      </c>
      <c r="N3167">
        <v>3.6001599999999998E-3</v>
      </c>
      <c r="O3167">
        <v>0</v>
      </c>
      <c r="P3167">
        <v>0</v>
      </c>
      <c r="Q3167">
        <v>0</v>
      </c>
      <c r="R3167" t="s">
        <v>243</v>
      </c>
    </row>
    <row r="3168" spans="1:18" x14ac:dyDescent="0.3">
      <c r="A3168" t="s">
        <v>259</v>
      </c>
      <c r="B3168" t="s">
        <v>63</v>
      </c>
      <c r="C3168" t="s">
        <v>318</v>
      </c>
      <c r="D3168">
        <v>2.9517900000000001E-3</v>
      </c>
      <c r="E3168">
        <v>3.97971E-3</v>
      </c>
      <c r="F3168">
        <v>3.7793000000000002E-3</v>
      </c>
      <c r="G3168">
        <v>3.44356E-3</v>
      </c>
      <c r="H3168">
        <v>3.4928799999999999E-3</v>
      </c>
      <c r="I3168">
        <v>3.52959E-3</v>
      </c>
      <c r="J3168">
        <v>3.5590399999999999E-3</v>
      </c>
      <c r="K3168">
        <v>3.59114E-3</v>
      </c>
      <c r="L3168">
        <v>3.6310499999999998E-3</v>
      </c>
      <c r="M3168">
        <v>3.67688E-3</v>
      </c>
      <c r="N3168">
        <v>3.7244800000000001E-3</v>
      </c>
      <c r="O3168">
        <v>0</v>
      </c>
      <c r="P3168">
        <v>0</v>
      </c>
      <c r="Q3168">
        <v>0</v>
      </c>
      <c r="R3168" t="s">
        <v>243</v>
      </c>
    </row>
    <row r="3169" spans="1:18" x14ac:dyDescent="0.3">
      <c r="A3169" t="s">
        <v>259</v>
      </c>
      <c r="B3169" t="s">
        <v>63</v>
      </c>
      <c r="C3169" t="s">
        <v>319</v>
      </c>
      <c r="D3169">
        <v>3.0979499999999999E-3</v>
      </c>
      <c r="E3169">
        <v>4.11422E-3</v>
      </c>
      <c r="F3169">
        <v>3.8992599999999999E-3</v>
      </c>
      <c r="G3169">
        <v>3.5487700000000001E-3</v>
      </c>
      <c r="H3169">
        <v>3.59501E-3</v>
      </c>
      <c r="I3169">
        <v>3.6377100000000002E-3</v>
      </c>
      <c r="J3169">
        <v>3.6660799999999999E-3</v>
      </c>
      <c r="K3169">
        <v>3.6966E-3</v>
      </c>
      <c r="L3169">
        <v>3.7368700000000002E-3</v>
      </c>
      <c r="M3169">
        <v>3.7823900000000001E-3</v>
      </c>
      <c r="N3169">
        <v>3.82928E-3</v>
      </c>
      <c r="O3169">
        <v>0</v>
      </c>
      <c r="P3169">
        <v>0</v>
      </c>
      <c r="Q3169">
        <v>0</v>
      </c>
      <c r="R3169" t="s">
        <v>243</v>
      </c>
    </row>
    <row r="3170" spans="1:18" x14ac:dyDescent="0.3">
      <c r="A3170" t="s">
        <v>259</v>
      </c>
      <c r="B3170" t="s">
        <v>63</v>
      </c>
      <c r="C3170" t="s">
        <v>320</v>
      </c>
      <c r="D3170">
        <v>3.2238700000000002E-3</v>
      </c>
      <c r="E3170">
        <v>4.2345200000000003E-3</v>
      </c>
      <c r="F3170">
        <v>4.0076299999999999E-3</v>
      </c>
      <c r="G3170">
        <v>3.6440399999999999E-3</v>
      </c>
      <c r="H3170">
        <v>3.6894200000000001E-3</v>
      </c>
      <c r="I3170">
        <v>3.7363299999999999E-3</v>
      </c>
      <c r="J3170">
        <v>3.76312E-3</v>
      </c>
      <c r="K3170">
        <v>3.7935E-3</v>
      </c>
      <c r="L3170">
        <v>3.83243E-3</v>
      </c>
      <c r="M3170">
        <v>3.8781800000000002E-3</v>
      </c>
      <c r="N3170">
        <v>3.9251700000000004E-3</v>
      </c>
      <c r="O3170">
        <v>0</v>
      </c>
      <c r="P3170">
        <v>0</v>
      </c>
      <c r="Q3170">
        <v>0</v>
      </c>
      <c r="R3170" t="s">
        <v>243</v>
      </c>
    </row>
    <row r="3171" spans="1:18" x14ac:dyDescent="0.3">
      <c r="A3171" t="s">
        <v>259</v>
      </c>
      <c r="B3171" t="s">
        <v>63</v>
      </c>
      <c r="C3171" t="s">
        <v>321</v>
      </c>
      <c r="D3171">
        <v>3.3454999999999999E-3</v>
      </c>
      <c r="E3171">
        <v>4.3535400000000004E-3</v>
      </c>
      <c r="F3171">
        <v>4.1157700000000004E-3</v>
      </c>
      <c r="G3171">
        <v>3.7353500000000001E-3</v>
      </c>
      <c r="H3171">
        <v>3.7810000000000001E-3</v>
      </c>
      <c r="I3171">
        <v>3.83497E-3</v>
      </c>
      <c r="J3171">
        <v>3.8609600000000001E-3</v>
      </c>
      <c r="K3171">
        <v>3.8903599999999998E-3</v>
      </c>
      <c r="L3171">
        <v>3.9289499999999996E-3</v>
      </c>
      <c r="M3171">
        <v>3.97343E-3</v>
      </c>
      <c r="N3171">
        <v>4.0185500000000001E-3</v>
      </c>
      <c r="O3171">
        <v>0</v>
      </c>
      <c r="P3171">
        <v>0</v>
      </c>
      <c r="Q3171">
        <v>0</v>
      </c>
      <c r="R3171" t="s">
        <v>243</v>
      </c>
    </row>
    <row r="3172" spans="1:18" x14ac:dyDescent="0.3">
      <c r="A3172" t="s">
        <v>259</v>
      </c>
      <c r="B3172" t="s">
        <v>63</v>
      </c>
      <c r="C3172" t="s">
        <v>322</v>
      </c>
      <c r="D3172">
        <v>3.4682599999999999E-3</v>
      </c>
      <c r="E3172">
        <v>4.4872200000000001E-3</v>
      </c>
      <c r="F3172">
        <v>4.2340800000000003E-3</v>
      </c>
      <c r="G3172">
        <v>3.8444299999999998E-3</v>
      </c>
      <c r="H3172">
        <v>3.89106E-3</v>
      </c>
      <c r="I3172">
        <v>3.94276E-3</v>
      </c>
      <c r="J3172">
        <v>3.9696100000000002E-3</v>
      </c>
      <c r="K3172">
        <v>3.9981399999999999E-3</v>
      </c>
      <c r="L3172">
        <v>4.0350400000000002E-3</v>
      </c>
      <c r="M3172">
        <v>4.0780399999999998E-3</v>
      </c>
      <c r="N3172">
        <v>4.1226600000000002E-3</v>
      </c>
      <c r="O3172">
        <v>0</v>
      </c>
      <c r="P3172">
        <v>0</v>
      </c>
      <c r="Q3172">
        <v>0</v>
      </c>
      <c r="R3172" t="s">
        <v>243</v>
      </c>
    </row>
    <row r="3173" spans="1:18" x14ac:dyDescent="0.3">
      <c r="A3173" t="s">
        <v>259</v>
      </c>
      <c r="B3173" t="s">
        <v>63</v>
      </c>
      <c r="C3173" t="s">
        <v>323</v>
      </c>
      <c r="D3173">
        <v>3.6311300000000002E-3</v>
      </c>
      <c r="E3173">
        <v>4.6646700000000001E-3</v>
      </c>
      <c r="F3173">
        <v>4.3909500000000002E-3</v>
      </c>
      <c r="G3173">
        <v>3.9696100000000002E-3</v>
      </c>
      <c r="H3173">
        <v>4.01768E-3</v>
      </c>
      <c r="I3173">
        <v>4.07917E-3</v>
      </c>
      <c r="J3173">
        <v>4.1055800000000002E-3</v>
      </c>
      <c r="K3173">
        <v>4.1344399999999996E-3</v>
      </c>
      <c r="L3173">
        <v>4.1723200000000002E-3</v>
      </c>
      <c r="M3173">
        <v>4.2162099999999997E-3</v>
      </c>
      <c r="N3173">
        <v>4.2608999999999998E-3</v>
      </c>
      <c r="O3173">
        <v>0</v>
      </c>
      <c r="P3173">
        <v>0</v>
      </c>
      <c r="Q3173">
        <v>0</v>
      </c>
      <c r="R3173" t="s">
        <v>243</v>
      </c>
    </row>
    <row r="3174" spans="1:18" x14ac:dyDescent="0.3">
      <c r="A3174" t="s">
        <v>259</v>
      </c>
      <c r="B3174" t="s">
        <v>431</v>
      </c>
      <c r="C3174" t="s">
        <v>261</v>
      </c>
      <c r="D3174" s="8">
        <v>2.6991100000000001E-4</v>
      </c>
      <c r="E3174" s="8">
        <v>3.61713E-4</v>
      </c>
      <c r="F3174" s="8">
        <v>3.3158419999999899E-4</v>
      </c>
      <c r="G3174" s="8">
        <v>3.5909409999999999E-4</v>
      </c>
      <c r="H3174" s="8">
        <v>5.4929079999999997E-4</v>
      </c>
      <c r="I3174" s="8">
        <v>2.8106114999999998E-4</v>
      </c>
      <c r="J3174" s="8">
        <v>3.4174987000000002E-4</v>
      </c>
      <c r="K3174" s="8">
        <v>4.7260526000000001E-4</v>
      </c>
      <c r="L3174" s="8">
        <v>6.2392731999999995E-4</v>
      </c>
      <c r="M3174" s="8">
        <v>7.6905479999999997E-4</v>
      </c>
      <c r="N3174" s="8">
        <v>9.1483163000000004E-4</v>
      </c>
      <c r="O3174">
        <v>0</v>
      </c>
      <c r="P3174">
        <v>0</v>
      </c>
      <c r="Q3174">
        <v>0</v>
      </c>
      <c r="R3174" t="s">
        <v>243</v>
      </c>
    </row>
    <row r="3175" spans="1:18" x14ac:dyDescent="0.3">
      <c r="A3175" t="s">
        <v>259</v>
      </c>
      <c r="B3175" t="s">
        <v>431</v>
      </c>
      <c r="C3175" t="s">
        <v>262</v>
      </c>
      <c r="D3175">
        <v>5.6683239999999899E-2</v>
      </c>
      <c r="E3175">
        <v>2.92042736E-2</v>
      </c>
      <c r="F3175">
        <v>9.3306841500000001E-2</v>
      </c>
      <c r="G3175">
        <v>5.3801292799999997E-2</v>
      </c>
      <c r="H3175">
        <v>4.6900084899999903E-2</v>
      </c>
      <c r="I3175">
        <v>2.6870731110000001E-2</v>
      </c>
      <c r="J3175">
        <v>3.7599518929999902E-2</v>
      </c>
      <c r="K3175">
        <v>4.5571891359999998E-2</v>
      </c>
      <c r="L3175">
        <v>5.4131555949999903E-2</v>
      </c>
      <c r="M3175">
        <v>6.2452774869999998E-2</v>
      </c>
      <c r="N3175">
        <v>6.9515015479999998E-2</v>
      </c>
      <c r="O3175">
        <v>0</v>
      </c>
      <c r="P3175">
        <v>0</v>
      </c>
      <c r="Q3175">
        <v>0</v>
      </c>
      <c r="R3175" t="s">
        <v>243</v>
      </c>
    </row>
    <row r="3176" spans="1:18" x14ac:dyDescent="0.3">
      <c r="A3176" t="s">
        <v>259</v>
      </c>
      <c r="B3176" t="s">
        <v>431</v>
      </c>
      <c r="C3176" t="s">
        <v>263</v>
      </c>
      <c r="D3176">
        <v>5.3427370000000002E-2</v>
      </c>
      <c r="E3176">
        <v>6.0342959999999897E-2</v>
      </c>
      <c r="F3176">
        <v>7.7796320099999997E-2</v>
      </c>
      <c r="G3176">
        <v>8.1226998999999994E-2</v>
      </c>
      <c r="H3176">
        <v>0.1137105437</v>
      </c>
      <c r="I3176">
        <v>6.23783474468E-2</v>
      </c>
      <c r="J3176">
        <v>7.9118373299999906E-2</v>
      </c>
      <c r="K3176">
        <v>0.1056318388</v>
      </c>
      <c r="L3176">
        <v>0.13133978256000001</v>
      </c>
      <c r="M3176">
        <v>0.15411317938999999</v>
      </c>
      <c r="N3176">
        <v>0.17358192863999999</v>
      </c>
      <c r="O3176">
        <v>0</v>
      </c>
      <c r="P3176">
        <v>0</v>
      </c>
      <c r="Q3176">
        <v>0</v>
      </c>
      <c r="R3176" t="s">
        <v>243</v>
      </c>
    </row>
    <row r="3177" spans="1:18" x14ac:dyDescent="0.3">
      <c r="A3177" t="s">
        <v>259</v>
      </c>
      <c r="B3177" t="s">
        <v>431</v>
      </c>
      <c r="C3177" t="s">
        <v>324</v>
      </c>
      <c r="D3177" s="8">
        <v>3.00532E-4</v>
      </c>
      <c r="E3177" s="8">
        <v>2.7313899999999999E-5</v>
      </c>
      <c r="F3177" s="8">
        <v>2.8373599999999999E-5</v>
      </c>
      <c r="G3177" s="8">
        <v>1.7352099999999999E-5</v>
      </c>
      <c r="H3177" s="8">
        <v>1.9439100000000002E-5</v>
      </c>
      <c r="I3177" s="8">
        <v>1.381756E-5</v>
      </c>
      <c r="J3177" s="8">
        <v>1.4346269E-5</v>
      </c>
      <c r="K3177" s="8">
        <v>1.55041919999999E-5</v>
      </c>
      <c r="L3177" s="8">
        <v>1.641653E-5</v>
      </c>
      <c r="M3177" s="8">
        <v>1.68672699999999E-5</v>
      </c>
      <c r="N3177" s="8">
        <v>1.7160539999999999E-5</v>
      </c>
      <c r="O3177">
        <v>0</v>
      </c>
      <c r="P3177">
        <v>0</v>
      </c>
      <c r="Q3177">
        <v>0</v>
      </c>
      <c r="R3177" t="s">
        <v>243</v>
      </c>
    </row>
    <row r="3178" spans="1:18" x14ac:dyDescent="0.3">
      <c r="A3178" t="s">
        <v>259</v>
      </c>
      <c r="B3178" t="s">
        <v>431</v>
      </c>
      <c r="C3178" t="s">
        <v>325</v>
      </c>
      <c r="D3178" s="8">
        <v>3.6601599999999999E-5</v>
      </c>
      <c r="E3178" s="8">
        <v>1.44024E-6</v>
      </c>
      <c r="F3178" s="8">
        <v>1.82617E-6</v>
      </c>
      <c r="G3178" s="8">
        <v>1.10774E-6</v>
      </c>
      <c r="H3178" s="8">
        <v>1.0918759999999901E-6</v>
      </c>
      <c r="I3178" s="8">
        <v>8.8019900000000003E-7</v>
      </c>
      <c r="J3178" s="8">
        <v>8.6871299999999998E-7</v>
      </c>
      <c r="K3178" s="8">
        <v>9.0017479999999898E-7</v>
      </c>
      <c r="L3178" s="8">
        <v>9.1674500000000002E-7</v>
      </c>
      <c r="M3178" s="8">
        <v>9.1575500000000001E-7</v>
      </c>
      <c r="N3178" s="8">
        <v>9.10983E-7</v>
      </c>
      <c r="O3178">
        <v>0</v>
      </c>
      <c r="P3178">
        <v>0</v>
      </c>
      <c r="Q3178">
        <v>0</v>
      </c>
      <c r="R3178" t="s">
        <v>243</v>
      </c>
    </row>
    <row r="3179" spans="1:18" x14ac:dyDescent="0.3">
      <c r="A3179" t="s">
        <v>259</v>
      </c>
      <c r="B3179" t="s">
        <v>431</v>
      </c>
      <c r="C3179" t="s">
        <v>326</v>
      </c>
      <c r="D3179" s="8">
        <v>1.8275799999999999E-4</v>
      </c>
      <c r="E3179" s="8">
        <v>1.45492E-5</v>
      </c>
      <c r="F3179" s="8">
        <v>1.6529400000000001E-5</v>
      </c>
      <c r="G3179" s="8">
        <v>9.9865300000000004E-6</v>
      </c>
      <c r="H3179" s="8">
        <v>1.0100839999999999E-5</v>
      </c>
      <c r="I3179" s="8">
        <v>7.9384899999999996E-6</v>
      </c>
      <c r="J3179" s="8">
        <v>8.0977200000000001E-6</v>
      </c>
      <c r="K3179" s="8">
        <v>8.6005920000000001E-6</v>
      </c>
      <c r="L3179" s="8">
        <v>8.9552299999999905E-6</v>
      </c>
      <c r="M3179" s="8">
        <v>9.1428500000000001E-6</v>
      </c>
      <c r="N3179" s="8">
        <v>9.2877499999999993E-6</v>
      </c>
      <c r="O3179">
        <v>0</v>
      </c>
      <c r="P3179">
        <v>0</v>
      </c>
      <c r="Q3179">
        <v>0</v>
      </c>
      <c r="R3179" t="s">
        <v>243</v>
      </c>
    </row>
    <row r="3180" spans="1:18" x14ac:dyDescent="0.3">
      <c r="A3180" t="s">
        <v>259</v>
      </c>
      <c r="B3180" t="s">
        <v>431</v>
      </c>
      <c r="C3180" t="s">
        <v>327</v>
      </c>
      <c r="D3180" s="8">
        <v>1.43721E-4</v>
      </c>
      <c r="E3180" s="8">
        <v>1.0709399999999999E-5</v>
      </c>
      <c r="F3180" s="8">
        <v>1.27016E-5</v>
      </c>
      <c r="G3180" s="8">
        <v>7.8869000000000007E-6</v>
      </c>
      <c r="H3180" s="8">
        <v>7.9996399999999999E-6</v>
      </c>
      <c r="I3180" s="8">
        <v>6.2697399999999997E-6</v>
      </c>
      <c r="J3180" s="8">
        <v>6.3570030000000002E-6</v>
      </c>
      <c r="K3180" s="8">
        <v>6.7657579999999998E-6</v>
      </c>
      <c r="L3180" s="8">
        <v>7.0577000000000002E-6</v>
      </c>
      <c r="M3180" s="8">
        <v>7.19573E-6</v>
      </c>
      <c r="N3180" s="8">
        <v>7.2745600000000004E-6</v>
      </c>
      <c r="O3180">
        <v>0</v>
      </c>
      <c r="P3180">
        <v>0</v>
      </c>
      <c r="Q3180">
        <v>0</v>
      </c>
      <c r="R3180" t="s">
        <v>243</v>
      </c>
    </row>
    <row r="3181" spans="1:18" x14ac:dyDescent="0.3">
      <c r="A3181" t="s">
        <v>259</v>
      </c>
      <c r="B3181" t="s">
        <v>431</v>
      </c>
      <c r="C3181" t="s">
        <v>328</v>
      </c>
      <c r="D3181" s="8">
        <v>1.19943E-4</v>
      </c>
      <c r="E3181" s="8">
        <v>8.1832899999999994E-6</v>
      </c>
      <c r="F3181" s="8">
        <v>1.0289799999999999E-5</v>
      </c>
      <c r="G3181" s="8">
        <v>6.65849E-6</v>
      </c>
      <c r="H3181" s="8">
        <v>6.7665899999999999E-6</v>
      </c>
      <c r="I3181" s="8">
        <v>5.2933779999999897E-6</v>
      </c>
      <c r="J3181" s="8">
        <v>5.4060030000000003E-6</v>
      </c>
      <c r="K3181" s="8">
        <v>5.7335959999999902E-6</v>
      </c>
      <c r="L3181" s="8">
        <v>5.95533E-6</v>
      </c>
      <c r="M3181" s="8">
        <v>6.0339599999999999E-6</v>
      </c>
      <c r="N3181" s="8">
        <v>6.0912890000000004E-6</v>
      </c>
      <c r="O3181">
        <v>0</v>
      </c>
      <c r="P3181">
        <v>0</v>
      </c>
      <c r="Q3181">
        <v>0</v>
      </c>
      <c r="R3181" t="s">
        <v>243</v>
      </c>
    </row>
    <row r="3182" spans="1:18" x14ac:dyDescent="0.3">
      <c r="A3182" t="s">
        <v>259</v>
      </c>
      <c r="B3182" t="s">
        <v>431</v>
      </c>
      <c r="C3182" t="s">
        <v>329</v>
      </c>
      <c r="D3182" s="8">
        <v>1.02149E-4</v>
      </c>
      <c r="E3182" s="8">
        <v>6.7025499999999999E-6</v>
      </c>
      <c r="F3182" s="8">
        <v>8.5427099999999994E-6</v>
      </c>
      <c r="G3182" s="8">
        <v>5.7293399999999998E-6</v>
      </c>
      <c r="H3182" s="8">
        <v>5.8542800000000003E-6</v>
      </c>
      <c r="I3182" s="8">
        <v>4.5551239999999996E-6</v>
      </c>
      <c r="J3182" s="8">
        <v>4.6804750000000003E-6</v>
      </c>
      <c r="K3182" s="8">
        <v>4.9292729999999999E-6</v>
      </c>
      <c r="L3182" s="8">
        <v>5.0998800000000004E-6</v>
      </c>
      <c r="M3182" s="8">
        <v>5.1796179999999903E-6</v>
      </c>
      <c r="N3182" s="8">
        <v>5.2161620000000004E-6</v>
      </c>
      <c r="O3182">
        <v>0</v>
      </c>
      <c r="P3182">
        <v>0</v>
      </c>
      <c r="Q3182">
        <v>0</v>
      </c>
      <c r="R3182" t="s">
        <v>243</v>
      </c>
    </row>
    <row r="3183" spans="1:18" x14ac:dyDescent="0.3">
      <c r="A3183" t="s">
        <v>259</v>
      </c>
      <c r="B3183" t="s">
        <v>431</v>
      </c>
      <c r="C3183" t="s">
        <v>330</v>
      </c>
      <c r="D3183" s="8">
        <v>8.7135100000000005E-5</v>
      </c>
      <c r="E3183" s="8">
        <v>5.5129000000000002E-6</v>
      </c>
      <c r="F3183" s="8">
        <v>7.2824300000000003E-6</v>
      </c>
      <c r="G3183" s="8">
        <v>4.8170900000000002E-6</v>
      </c>
      <c r="H3183" s="8">
        <v>4.9222699999999999E-6</v>
      </c>
      <c r="I3183" s="8">
        <v>3.8298339999999998E-6</v>
      </c>
      <c r="J3183" s="8">
        <v>3.9033530000000004E-6</v>
      </c>
      <c r="K3183" s="8">
        <v>4.1195080000000003E-6</v>
      </c>
      <c r="L3183" s="8">
        <v>4.2591219999999998E-6</v>
      </c>
      <c r="M3183" s="8">
        <v>4.3014760000000004E-6</v>
      </c>
      <c r="N3183" s="8">
        <v>4.33165299999999E-6</v>
      </c>
      <c r="O3183">
        <v>0</v>
      </c>
      <c r="P3183">
        <v>0</v>
      </c>
      <c r="Q3183">
        <v>0</v>
      </c>
      <c r="R3183" t="s">
        <v>243</v>
      </c>
    </row>
    <row r="3184" spans="1:18" x14ac:dyDescent="0.3">
      <c r="A3184" t="s">
        <v>259</v>
      </c>
      <c r="B3184" t="s">
        <v>431</v>
      </c>
      <c r="C3184" t="s">
        <v>331</v>
      </c>
      <c r="D3184" s="8">
        <v>7.3777100000000002E-5</v>
      </c>
      <c r="E3184" s="8">
        <v>4.4649899999999997E-6</v>
      </c>
      <c r="F3184" s="8">
        <v>6.1036999999999997E-6</v>
      </c>
      <c r="G3184" s="8">
        <v>4.00378E-6</v>
      </c>
      <c r="H3184" s="8">
        <v>4.07373E-6</v>
      </c>
      <c r="I3184" s="8">
        <v>3.1829929999999999E-6</v>
      </c>
      <c r="J3184" s="8">
        <v>3.2447149999999998E-6</v>
      </c>
      <c r="K3184" s="8">
        <v>3.403312E-6</v>
      </c>
      <c r="L3184" s="8">
        <v>3.5084219999999999E-6</v>
      </c>
      <c r="M3184" s="8">
        <v>3.539149E-6</v>
      </c>
      <c r="N3184" s="8">
        <v>3.5531590000000001E-6</v>
      </c>
      <c r="O3184">
        <v>0</v>
      </c>
      <c r="P3184">
        <v>0</v>
      </c>
      <c r="Q3184">
        <v>0</v>
      </c>
      <c r="R3184" t="s">
        <v>243</v>
      </c>
    </row>
    <row r="3185" spans="1:18" x14ac:dyDescent="0.3">
      <c r="A3185" t="s">
        <v>259</v>
      </c>
      <c r="B3185" t="s">
        <v>431</v>
      </c>
      <c r="C3185" t="s">
        <v>332</v>
      </c>
      <c r="D3185" s="8">
        <v>6.1224700000000004E-5</v>
      </c>
      <c r="E3185" s="8">
        <v>3.5385800000000002E-6</v>
      </c>
      <c r="F3185" s="8">
        <v>4.7371599999999999E-6</v>
      </c>
      <c r="G3185" s="8">
        <v>3.0601499999999998E-6</v>
      </c>
      <c r="H3185" s="8">
        <v>3.0772199999999899E-6</v>
      </c>
      <c r="I3185" s="8">
        <v>2.43234499999999E-6</v>
      </c>
      <c r="J3185" s="8">
        <v>2.4467440000000002E-6</v>
      </c>
      <c r="K3185" s="8">
        <v>2.5621809999999999E-6</v>
      </c>
      <c r="L3185" s="8">
        <v>2.6273339999999999E-6</v>
      </c>
      <c r="M3185" s="8">
        <v>2.6448629999999999E-6</v>
      </c>
      <c r="N3185" s="8">
        <v>2.645364E-6</v>
      </c>
      <c r="O3185">
        <v>0</v>
      </c>
      <c r="P3185">
        <v>0</v>
      </c>
      <c r="Q3185">
        <v>0</v>
      </c>
      <c r="R3185" t="s">
        <v>243</v>
      </c>
    </row>
    <row r="3186" spans="1:18" x14ac:dyDescent="0.3">
      <c r="A3186" t="s">
        <v>259</v>
      </c>
      <c r="B3186" t="s">
        <v>431</v>
      </c>
      <c r="C3186" t="s">
        <v>333</v>
      </c>
      <c r="D3186" s="8">
        <v>4.8940799999999997E-5</v>
      </c>
      <c r="E3186" s="8">
        <v>2.6298900000000002E-6</v>
      </c>
      <c r="F3186" s="8">
        <v>3.1976500000000002E-6</v>
      </c>
      <c r="G3186" s="8">
        <v>1.90415E-6</v>
      </c>
      <c r="H3186" s="8">
        <v>1.883437E-6</v>
      </c>
      <c r="I3186" s="8">
        <v>1.5131059999999999E-6</v>
      </c>
      <c r="J3186" s="8">
        <v>1.4852939999999901E-6</v>
      </c>
      <c r="K3186" s="8">
        <v>1.53963E-6</v>
      </c>
      <c r="L3186" s="8">
        <v>1.5708339999999999E-6</v>
      </c>
      <c r="M3186" s="8">
        <v>1.5713009999999999E-6</v>
      </c>
      <c r="N3186" s="8">
        <v>1.566694E-6</v>
      </c>
      <c r="O3186">
        <v>0</v>
      </c>
      <c r="P3186">
        <v>0</v>
      </c>
      <c r="Q3186">
        <v>0</v>
      </c>
      <c r="R3186" t="s">
        <v>243</v>
      </c>
    </row>
    <row r="3187" spans="1:18" x14ac:dyDescent="0.3">
      <c r="A3187" t="s">
        <v>259</v>
      </c>
      <c r="B3187" t="s">
        <v>431</v>
      </c>
      <c r="C3187" t="s">
        <v>264</v>
      </c>
      <c r="D3187">
        <v>1.5595296E-2</v>
      </c>
      <c r="E3187">
        <v>1.25800418E-2</v>
      </c>
      <c r="F3187">
        <v>1.27264789999999E-2</v>
      </c>
      <c r="G3187">
        <v>8.4333806000000001E-3</v>
      </c>
      <c r="H3187">
        <v>9.2971815999999992E-3</v>
      </c>
      <c r="I3187">
        <v>6.0486364889999903E-3</v>
      </c>
      <c r="J3187">
        <v>6.7061738149999904E-3</v>
      </c>
      <c r="K3187">
        <v>7.4544630599999899E-3</v>
      </c>
      <c r="L3187">
        <v>7.9086887099999899E-3</v>
      </c>
      <c r="M3187">
        <v>8.0022160499999898E-3</v>
      </c>
      <c r="N3187">
        <v>8.0448803399999994E-3</v>
      </c>
      <c r="O3187">
        <v>0</v>
      </c>
      <c r="P3187">
        <v>0</v>
      </c>
      <c r="Q3187">
        <v>0</v>
      </c>
      <c r="R3187" t="s">
        <v>243</v>
      </c>
    </row>
    <row r="3188" spans="1:18" x14ac:dyDescent="0.3">
      <c r="A3188" t="s">
        <v>259</v>
      </c>
      <c r="B3188" t="s">
        <v>431</v>
      </c>
      <c r="C3188" t="s">
        <v>265</v>
      </c>
      <c r="D3188">
        <v>2.81800577E-2</v>
      </c>
      <c r="E3188">
        <v>2.7092666899999999E-2</v>
      </c>
      <c r="F3188">
        <v>2.78886039999999E-2</v>
      </c>
      <c r="G3188">
        <v>2.0538167199999999E-2</v>
      </c>
      <c r="H3188">
        <v>1.9698614600000001E-2</v>
      </c>
      <c r="I3188">
        <v>1.58417935E-2</v>
      </c>
      <c r="J3188">
        <v>1.55165532499999E-2</v>
      </c>
      <c r="K3188">
        <v>1.5978664599999901E-2</v>
      </c>
      <c r="L3188">
        <v>1.5972231699999999E-2</v>
      </c>
      <c r="M3188">
        <v>1.5556082529999999E-2</v>
      </c>
      <c r="N3188">
        <v>1.52105325E-2</v>
      </c>
      <c r="O3188">
        <v>0</v>
      </c>
      <c r="P3188">
        <v>0</v>
      </c>
      <c r="Q3188">
        <v>0</v>
      </c>
      <c r="R3188" t="s">
        <v>243</v>
      </c>
    </row>
    <row r="3189" spans="1:18" x14ac:dyDescent="0.3">
      <c r="A3189" t="s">
        <v>259</v>
      </c>
      <c r="B3189" t="s">
        <v>431</v>
      </c>
      <c r="C3189" t="s">
        <v>266</v>
      </c>
      <c r="D3189">
        <v>1.8618227500000001E-2</v>
      </c>
      <c r="E3189">
        <v>1.5748821199999999E-2</v>
      </c>
      <c r="F3189">
        <v>1.5846961999999999E-2</v>
      </c>
      <c r="G3189">
        <v>1.10615008E-2</v>
      </c>
      <c r="H3189">
        <v>1.07791800999999E-2</v>
      </c>
      <c r="I3189">
        <v>8.29103585999999E-3</v>
      </c>
      <c r="J3189">
        <v>8.6229940900000007E-3</v>
      </c>
      <c r="K3189">
        <v>9.1840750099999903E-3</v>
      </c>
      <c r="L3189">
        <v>9.4275068899999995E-3</v>
      </c>
      <c r="M3189">
        <v>9.4017493999999993E-3</v>
      </c>
      <c r="N3189">
        <v>9.3952457699999995E-3</v>
      </c>
      <c r="O3189">
        <v>0</v>
      </c>
      <c r="P3189">
        <v>0</v>
      </c>
      <c r="Q3189">
        <v>0</v>
      </c>
      <c r="R3189" t="s">
        <v>243</v>
      </c>
    </row>
    <row r="3190" spans="1:18" x14ac:dyDescent="0.3">
      <c r="A3190" t="s">
        <v>259</v>
      </c>
      <c r="B3190" t="s">
        <v>431</v>
      </c>
      <c r="C3190" t="s">
        <v>267</v>
      </c>
      <c r="D3190">
        <v>2.0070450199999999E-2</v>
      </c>
      <c r="E3190">
        <v>1.7202997500000001E-2</v>
      </c>
      <c r="F3190">
        <v>1.72785419999999E-2</v>
      </c>
      <c r="G3190">
        <v>1.21044885E-2</v>
      </c>
      <c r="H3190">
        <v>1.18843165E-2</v>
      </c>
      <c r="I3190">
        <v>9.1805546500000005E-3</v>
      </c>
      <c r="J3190">
        <v>9.3841404899999894E-3</v>
      </c>
      <c r="K3190">
        <v>9.9705591999999996E-3</v>
      </c>
      <c r="L3190">
        <v>1.0227860639999999E-2</v>
      </c>
      <c r="M3190">
        <v>1.017307728E-2</v>
      </c>
      <c r="N3190">
        <v>1.011055621E-2</v>
      </c>
      <c r="O3190">
        <v>0</v>
      </c>
      <c r="P3190">
        <v>0</v>
      </c>
      <c r="Q3190">
        <v>0</v>
      </c>
      <c r="R3190" t="s">
        <v>243</v>
      </c>
    </row>
    <row r="3191" spans="1:18" x14ac:dyDescent="0.3">
      <c r="A3191" t="s">
        <v>259</v>
      </c>
      <c r="B3191" t="s">
        <v>431</v>
      </c>
      <c r="C3191" t="s">
        <v>268</v>
      </c>
      <c r="D3191">
        <v>2.1159274999999901E-2</v>
      </c>
      <c r="E3191">
        <v>1.84779692999999E-2</v>
      </c>
      <c r="F3191">
        <v>1.8406846000000001E-2</v>
      </c>
      <c r="G3191">
        <v>1.2832804899999901E-2</v>
      </c>
      <c r="H3191">
        <v>1.26471559E-2</v>
      </c>
      <c r="I3191">
        <v>9.8059414200000004E-3</v>
      </c>
      <c r="J3191">
        <v>1.003160629E-2</v>
      </c>
      <c r="K3191">
        <v>1.0595117500000001E-2</v>
      </c>
      <c r="L3191">
        <v>1.081066187E-2</v>
      </c>
      <c r="M3191">
        <v>1.06814814899999E-2</v>
      </c>
      <c r="N3191">
        <v>1.0598751619999999E-2</v>
      </c>
      <c r="O3191">
        <v>0</v>
      </c>
      <c r="P3191">
        <v>0</v>
      </c>
      <c r="Q3191">
        <v>0</v>
      </c>
      <c r="R3191" t="s">
        <v>243</v>
      </c>
    </row>
    <row r="3192" spans="1:18" x14ac:dyDescent="0.3">
      <c r="A3192" t="s">
        <v>259</v>
      </c>
      <c r="B3192" t="s">
        <v>431</v>
      </c>
      <c r="C3192" t="s">
        <v>269</v>
      </c>
      <c r="D3192">
        <v>2.2122706299999999E-2</v>
      </c>
      <c r="E3192">
        <v>1.94337526999999E-2</v>
      </c>
      <c r="F3192">
        <v>1.9403416999999999E-2</v>
      </c>
      <c r="G3192">
        <v>1.3472704699999999E-2</v>
      </c>
      <c r="H3192">
        <v>1.3362427499999999E-2</v>
      </c>
      <c r="I3192">
        <v>1.033690424E-2</v>
      </c>
      <c r="J3192">
        <v>1.0600054479999999E-2</v>
      </c>
      <c r="K3192">
        <v>1.1105011E-2</v>
      </c>
      <c r="L3192">
        <v>1.1282356769999899E-2</v>
      </c>
      <c r="M3192">
        <v>1.117105719E-2</v>
      </c>
      <c r="N3192">
        <v>1.10582446099999E-2</v>
      </c>
      <c r="O3192">
        <v>0</v>
      </c>
      <c r="P3192">
        <v>0</v>
      </c>
      <c r="Q3192">
        <v>0</v>
      </c>
      <c r="R3192" t="s">
        <v>243</v>
      </c>
    </row>
    <row r="3193" spans="1:18" x14ac:dyDescent="0.3">
      <c r="A3193" t="s">
        <v>259</v>
      </c>
      <c r="B3193" t="s">
        <v>431</v>
      </c>
      <c r="C3193" t="s">
        <v>270</v>
      </c>
      <c r="D3193">
        <v>2.3072843699999901E-2</v>
      </c>
      <c r="E3193">
        <v>2.0380202199999999E-2</v>
      </c>
      <c r="F3193">
        <v>2.0264203000000001E-2</v>
      </c>
      <c r="G3193">
        <v>1.42059734E-2</v>
      </c>
      <c r="H3193">
        <v>1.4096964999999999E-2</v>
      </c>
      <c r="I3193">
        <v>1.092474136E-2</v>
      </c>
      <c r="J3193">
        <v>1.10849243899999E-2</v>
      </c>
      <c r="K3193">
        <v>1.16317818999999E-2</v>
      </c>
      <c r="L3193">
        <v>1.1807645349999899E-2</v>
      </c>
      <c r="M3193">
        <v>1.162679508E-2</v>
      </c>
      <c r="N3193">
        <v>1.1507515540000001E-2</v>
      </c>
      <c r="O3193">
        <v>0</v>
      </c>
      <c r="P3193">
        <v>0</v>
      </c>
      <c r="Q3193">
        <v>0</v>
      </c>
      <c r="R3193" t="s">
        <v>243</v>
      </c>
    </row>
    <row r="3194" spans="1:18" x14ac:dyDescent="0.3">
      <c r="A3194" t="s">
        <v>259</v>
      </c>
      <c r="B3194" t="s">
        <v>431</v>
      </c>
      <c r="C3194" t="s">
        <v>271</v>
      </c>
      <c r="D3194">
        <v>2.4063547099999999E-2</v>
      </c>
      <c r="E3194">
        <v>2.14116936E-2</v>
      </c>
      <c r="F3194">
        <v>2.1220105999999999E-2</v>
      </c>
      <c r="G3194">
        <v>1.49919075E-2</v>
      </c>
      <c r="H3194">
        <v>1.48191967E-2</v>
      </c>
      <c r="I3194">
        <v>1.1545996399999999E-2</v>
      </c>
      <c r="J3194">
        <v>1.17010383799999E-2</v>
      </c>
      <c r="K3194">
        <v>1.2199549000000001E-2</v>
      </c>
      <c r="L3194">
        <v>1.23464054699999E-2</v>
      </c>
      <c r="M3194">
        <v>1.214209556E-2</v>
      </c>
      <c r="N3194">
        <v>1.1981721440000001E-2</v>
      </c>
      <c r="O3194">
        <v>0</v>
      </c>
      <c r="P3194">
        <v>0</v>
      </c>
      <c r="Q3194">
        <v>0</v>
      </c>
      <c r="R3194" t="s">
        <v>243</v>
      </c>
    </row>
    <row r="3195" spans="1:18" x14ac:dyDescent="0.3">
      <c r="A3195" t="s">
        <v>259</v>
      </c>
      <c r="B3195" t="s">
        <v>431</v>
      </c>
      <c r="C3195" t="s">
        <v>272</v>
      </c>
      <c r="D3195">
        <v>2.5168089099999999E-2</v>
      </c>
      <c r="E3195">
        <v>2.25629499E-2</v>
      </c>
      <c r="F3195">
        <v>2.2604982999999999E-2</v>
      </c>
      <c r="G3195">
        <v>1.6138033399999901E-2</v>
      </c>
      <c r="H3195">
        <v>1.5775685399999999E-2</v>
      </c>
      <c r="I3195">
        <v>1.2439871700000001E-2</v>
      </c>
      <c r="J3195">
        <v>1.242802699E-2</v>
      </c>
      <c r="K3195">
        <v>1.29342352E-2</v>
      </c>
      <c r="L3195">
        <v>1.302022225E-2</v>
      </c>
      <c r="M3195">
        <v>1.2778688240000001E-2</v>
      </c>
      <c r="N3195">
        <v>1.256247814E-2</v>
      </c>
      <c r="O3195">
        <v>0</v>
      </c>
      <c r="P3195">
        <v>0</v>
      </c>
      <c r="Q3195">
        <v>0</v>
      </c>
      <c r="R3195" t="s">
        <v>243</v>
      </c>
    </row>
    <row r="3196" spans="1:18" x14ac:dyDescent="0.3">
      <c r="A3196" t="s">
        <v>259</v>
      </c>
      <c r="B3196" t="s">
        <v>431</v>
      </c>
      <c r="C3196" t="s">
        <v>273</v>
      </c>
      <c r="D3196">
        <v>2.6486098600000001E-2</v>
      </c>
      <c r="E3196">
        <v>2.4049092799999901E-2</v>
      </c>
      <c r="F3196">
        <v>2.4773828000000001E-2</v>
      </c>
      <c r="G3196">
        <v>1.8182335000000001E-2</v>
      </c>
      <c r="H3196">
        <v>1.7497173899999999E-2</v>
      </c>
      <c r="I3196">
        <v>1.40235957399999E-2</v>
      </c>
      <c r="J3196">
        <v>1.3661985620000001E-2</v>
      </c>
      <c r="K3196">
        <v>1.40746324E-2</v>
      </c>
      <c r="L3196">
        <v>1.4094730459999901E-2</v>
      </c>
      <c r="M3196">
        <v>1.374683644E-2</v>
      </c>
      <c r="N3196">
        <v>1.347202594E-2</v>
      </c>
      <c r="O3196">
        <v>0</v>
      </c>
      <c r="P3196">
        <v>0</v>
      </c>
      <c r="Q3196">
        <v>0</v>
      </c>
      <c r="R3196" t="s">
        <v>243</v>
      </c>
    </row>
    <row r="3197" spans="1:18" x14ac:dyDescent="0.3">
      <c r="A3197" t="s">
        <v>259</v>
      </c>
      <c r="B3197" t="s">
        <v>431</v>
      </c>
      <c r="C3197" t="s">
        <v>274</v>
      </c>
      <c r="D3197" s="8">
        <v>5.9252780910000003E-5</v>
      </c>
      <c r="E3197" s="8">
        <v>4.5837252350000002E-5</v>
      </c>
      <c r="F3197" s="8">
        <v>7.1616083219999997E-5</v>
      </c>
      <c r="G3197" s="8">
        <v>6.6026596059999895E-5</v>
      </c>
      <c r="H3197" s="8">
        <v>1.5890048339E-4</v>
      </c>
      <c r="I3197" s="8">
        <v>8.5940653789999996E-5</v>
      </c>
      <c r="J3197" s="8">
        <v>9.7007111810999995E-5</v>
      </c>
      <c r="K3197" s="8">
        <v>1.1598839753299901E-4</v>
      </c>
      <c r="L3197" s="8">
        <v>1.3526404662699901E-4</v>
      </c>
      <c r="M3197" s="8">
        <v>1.4626979524900001E-4</v>
      </c>
      <c r="N3197" s="8">
        <v>1.5260069023E-4</v>
      </c>
      <c r="O3197">
        <v>0</v>
      </c>
      <c r="P3197">
        <v>0</v>
      </c>
      <c r="Q3197">
        <v>0</v>
      </c>
      <c r="R3197" t="s">
        <v>243</v>
      </c>
    </row>
    <row r="3198" spans="1:18" x14ac:dyDescent="0.3">
      <c r="A3198" t="s">
        <v>259</v>
      </c>
      <c r="B3198" t="s">
        <v>431</v>
      </c>
      <c r="C3198" t="s">
        <v>275</v>
      </c>
      <c r="D3198" s="8">
        <v>1.2730785030000001E-4</v>
      </c>
      <c r="E3198" s="8">
        <v>2.609083742E-4</v>
      </c>
      <c r="F3198" s="8">
        <v>3.737006541E-4</v>
      </c>
      <c r="G3198" s="8">
        <v>4.0400994449999898E-4</v>
      </c>
      <c r="H3198" s="8">
        <v>4.6784600529999997E-4</v>
      </c>
      <c r="I3198" s="8">
        <v>3.5952340155E-4</v>
      </c>
      <c r="J3198" s="8">
        <v>3.3369708057600001E-4</v>
      </c>
      <c r="K3198" s="8">
        <v>3.3066545167300001E-4</v>
      </c>
      <c r="L3198" s="8">
        <v>3.2408335456999898E-4</v>
      </c>
      <c r="M3198" s="8">
        <v>3.0667546185999899E-4</v>
      </c>
      <c r="N3198" s="8">
        <v>2.9004498045699997E-4</v>
      </c>
      <c r="O3198">
        <v>0</v>
      </c>
      <c r="P3198">
        <v>0</v>
      </c>
      <c r="Q3198">
        <v>0</v>
      </c>
      <c r="R3198" t="s">
        <v>243</v>
      </c>
    </row>
    <row r="3199" spans="1:18" x14ac:dyDescent="0.3">
      <c r="A3199" t="s">
        <v>259</v>
      </c>
      <c r="B3199" t="s">
        <v>431</v>
      </c>
      <c r="C3199" t="s">
        <v>276</v>
      </c>
      <c r="D3199" s="8">
        <v>7.8951869299999995E-5</v>
      </c>
      <c r="E3199" s="8">
        <v>8.0385052939999996E-5</v>
      </c>
      <c r="F3199" s="8">
        <v>1.184155941E-4</v>
      </c>
      <c r="G3199" s="8">
        <v>1.1573742706E-4</v>
      </c>
      <c r="H3199" s="8">
        <v>2.0002966431E-4</v>
      </c>
      <c r="I3199" s="8">
        <v>1.3482236662E-4</v>
      </c>
      <c r="J3199" s="8">
        <v>1.43217078823E-4</v>
      </c>
      <c r="K3199" s="8">
        <v>1.6330642198999999E-4</v>
      </c>
      <c r="L3199" s="8">
        <v>1.8030168700899999E-4</v>
      </c>
      <c r="M3199" s="8">
        <v>1.8761476872999999E-4</v>
      </c>
      <c r="N3199" s="8">
        <v>1.90720144599E-4</v>
      </c>
      <c r="O3199">
        <v>0</v>
      </c>
      <c r="P3199">
        <v>0</v>
      </c>
      <c r="Q3199">
        <v>0</v>
      </c>
      <c r="R3199" t="s">
        <v>243</v>
      </c>
    </row>
    <row r="3200" spans="1:18" x14ac:dyDescent="0.3">
      <c r="A3200" t="s">
        <v>259</v>
      </c>
      <c r="B3200" t="s">
        <v>431</v>
      </c>
      <c r="C3200" t="s">
        <v>277</v>
      </c>
      <c r="D3200" s="8">
        <v>8.7624744729999999E-5</v>
      </c>
      <c r="E3200" s="8">
        <v>1.02147802129999E-4</v>
      </c>
      <c r="F3200" s="8">
        <v>1.46749932629999E-4</v>
      </c>
      <c r="G3200" s="8">
        <v>1.4270169142999999E-4</v>
      </c>
      <c r="H3200" s="8">
        <v>2.36079343689999E-4</v>
      </c>
      <c r="I3200" s="8">
        <v>1.5922660330999999E-4</v>
      </c>
      <c r="J3200" s="8">
        <v>1.6609174887399999E-4</v>
      </c>
      <c r="K3200" s="8">
        <v>1.8764718299999999E-4</v>
      </c>
      <c r="L3200" s="8">
        <v>2.0474927501799999E-4</v>
      </c>
      <c r="M3200" s="8">
        <v>2.0938022627899999E-4</v>
      </c>
      <c r="N3200" s="8">
        <v>2.0856961252299999E-4</v>
      </c>
      <c r="O3200">
        <v>0</v>
      </c>
      <c r="P3200">
        <v>0</v>
      </c>
      <c r="Q3200">
        <v>0</v>
      </c>
      <c r="R3200" t="s">
        <v>243</v>
      </c>
    </row>
    <row r="3201" spans="1:18" x14ac:dyDescent="0.3">
      <c r="A3201" t="s">
        <v>259</v>
      </c>
      <c r="B3201" t="s">
        <v>431</v>
      </c>
      <c r="C3201" t="s">
        <v>278</v>
      </c>
      <c r="D3201" s="8">
        <v>9.3697057660000006E-5</v>
      </c>
      <c r="E3201" s="8">
        <v>1.2352122544E-4</v>
      </c>
      <c r="F3201" s="8">
        <v>1.7153610358000001E-4</v>
      </c>
      <c r="G3201" s="8">
        <v>1.6393668717999999E-4</v>
      </c>
      <c r="H3201" s="8">
        <v>2.6272836561999998E-4</v>
      </c>
      <c r="I3201" s="8">
        <v>1.7988938263299999E-4</v>
      </c>
      <c r="J3201" s="8">
        <v>1.8688230888299999E-4</v>
      </c>
      <c r="K3201" s="8">
        <v>2.0725985941000001E-4</v>
      </c>
      <c r="L3201" s="8">
        <v>2.217985556E-4</v>
      </c>
      <c r="M3201" s="8">
        <v>2.22507783965E-4</v>
      </c>
      <c r="N3201" s="8">
        <v>2.1937831379600001E-4</v>
      </c>
      <c r="O3201">
        <v>0</v>
      </c>
      <c r="P3201">
        <v>0</v>
      </c>
      <c r="Q3201">
        <v>0</v>
      </c>
      <c r="R3201" t="s">
        <v>243</v>
      </c>
    </row>
    <row r="3202" spans="1:18" x14ac:dyDescent="0.3">
      <c r="A3202" t="s">
        <v>259</v>
      </c>
      <c r="B3202" t="s">
        <v>431</v>
      </c>
      <c r="C3202" t="s">
        <v>279</v>
      </c>
      <c r="D3202" s="8">
        <v>9.8779770709999995E-5</v>
      </c>
      <c r="E3202" s="8">
        <v>1.4038734854999999E-4</v>
      </c>
      <c r="F3202" s="8">
        <v>1.9462519429E-4</v>
      </c>
      <c r="G3202" s="8">
        <v>1.8395262573999999E-4</v>
      </c>
      <c r="H3202" s="8">
        <v>2.8835404853999998E-4</v>
      </c>
      <c r="I3202" s="8">
        <v>1.9888894904899999E-4</v>
      </c>
      <c r="J3202" s="8">
        <v>2.0564941347399901E-4</v>
      </c>
      <c r="K3202" s="8">
        <v>2.2289693199E-4</v>
      </c>
      <c r="L3202" s="8">
        <v>2.3478427500999899E-4</v>
      </c>
      <c r="M3202" s="8">
        <v>2.3413651804899901E-4</v>
      </c>
      <c r="N3202" s="8">
        <v>2.2864880102699999E-4</v>
      </c>
      <c r="O3202">
        <v>0</v>
      </c>
      <c r="P3202">
        <v>0</v>
      </c>
      <c r="Q3202">
        <v>0</v>
      </c>
      <c r="R3202" t="s">
        <v>243</v>
      </c>
    </row>
    <row r="3203" spans="1:18" x14ac:dyDescent="0.3">
      <c r="A3203" t="s">
        <v>259</v>
      </c>
      <c r="B3203" t="s">
        <v>431</v>
      </c>
      <c r="C3203" t="s">
        <v>280</v>
      </c>
      <c r="D3203" s="8">
        <v>1.03565453699999E-4</v>
      </c>
      <c r="E3203" s="8">
        <v>1.5737547979999901E-4</v>
      </c>
      <c r="F3203" s="8">
        <v>2.1504215880000001E-4</v>
      </c>
      <c r="G3203" s="8">
        <v>2.0804475544E-4</v>
      </c>
      <c r="H3203" s="8">
        <v>3.1449091489999897E-4</v>
      </c>
      <c r="I3203" s="8">
        <v>2.18920666704E-4</v>
      </c>
      <c r="J3203" s="8">
        <v>2.21578454828E-4</v>
      </c>
      <c r="K3203" s="8">
        <v>2.3836801755000001E-4</v>
      </c>
      <c r="L3203" s="8">
        <v>2.4825879468999898E-4</v>
      </c>
      <c r="M3203" s="8">
        <v>2.43991438718999E-4</v>
      </c>
      <c r="N3203" s="8">
        <v>2.36848777563E-4</v>
      </c>
      <c r="O3203">
        <v>0</v>
      </c>
      <c r="P3203">
        <v>0</v>
      </c>
      <c r="Q3203">
        <v>0</v>
      </c>
      <c r="R3203" t="s">
        <v>243</v>
      </c>
    </row>
    <row r="3204" spans="1:18" x14ac:dyDescent="0.3">
      <c r="A3204" t="s">
        <v>259</v>
      </c>
      <c r="B3204" t="s">
        <v>431</v>
      </c>
      <c r="C3204" t="s">
        <v>281</v>
      </c>
      <c r="D3204" s="8">
        <v>1.0836393819999999E-4</v>
      </c>
      <c r="E3204" s="8">
        <v>1.75789706E-4</v>
      </c>
      <c r="F3204" s="8">
        <v>2.3781223449999999E-4</v>
      </c>
      <c r="G3204" s="8">
        <v>2.346830046E-4</v>
      </c>
      <c r="H3204" s="8">
        <v>3.3934480749999899E-4</v>
      </c>
      <c r="I3204" s="8">
        <v>2.4055457749499901E-4</v>
      </c>
      <c r="J3204" s="8">
        <v>2.41179864704E-4</v>
      </c>
      <c r="K3204" s="8">
        <v>2.54034101581E-4</v>
      </c>
      <c r="L3204" s="8">
        <v>2.6088310776999898E-4</v>
      </c>
      <c r="M3204" s="8">
        <v>2.5412885604800001E-4</v>
      </c>
      <c r="N3204" s="8">
        <v>2.4478935331299998E-4</v>
      </c>
      <c r="O3204">
        <v>0</v>
      </c>
      <c r="P3204">
        <v>0</v>
      </c>
      <c r="Q3204">
        <v>0</v>
      </c>
      <c r="R3204" t="s">
        <v>243</v>
      </c>
    </row>
    <row r="3205" spans="1:18" x14ac:dyDescent="0.3">
      <c r="A3205" t="s">
        <v>259</v>
      </c>
      <c r="B3205" t="s">
        <v>431</v>
      </c>
      <c r="C3205" t="s">
        <v>282</v>
      </c>
      <c r="D3205" s="8">
        <v>1.13554461999999E-4</v>
      </c>
      <c r="E3205" s="8">
        <v>1.957050322E-4</v>
      </c>
      <c r="F3205" s="8">
        <v>2.7016176269999999E-4</v>
      </c>
      <c r="G3205" s="8">
        <v>2.7379983880000002E-4</v>
      </c>
      <c r="H3205" s="8">
        <v>3.7017202668999997E-4</v>
      </c>
      <c r="I3205" s="8">
        <v>2.6830935455999898E-4</v>
      </c>
      <c r="J3205" s="8">
        <v>2.6287133496799998E-4</v>
      </c>
      <c r="K3205" s="8">
        <v>2.7253012465199998E-4</v>
      </c>
      <c r="L3205" s="8">
        <v>2.7511924806999997E-4</v>
      </c>
      <c r="M3205" s="8">
        <v>2.65442688182E-4</v>
      </c>
      <c r="N3205" s="8">
        <v>2.5376773835899998E-4</v>
      </c>
      <c r="O3205">
        <v>0</v>
      </c>
      <c r="P3205">
        <v>0</v>
      </c>
      <c r="Q3205">
        <v>0</v>
      </c>
      <c r="R3205" t="s">
        <v>243</v>
      </c>
    </row>
    <row r="3206" spans="1:18" x14ac:dyDescent="0.3">
      <c r="A3206" t="s">
        <v>259</v>
      </c>
      <c r="B3206" t="s">
        <v>431</v>
      </c>
      <c r="C3206" t="s">
        <v>283</v>
      </c>
      <c r="D3206" s="8">
        <v>1.1961507380000001E-4</v>
      </c>
      <c r="E3206" s="8">
        <v>2.1967362830000001E-4</v>
      </c>
      <c r="F3206" s="8">
        <v>3.1713598179999999E-4</v>
      </c>
      <c r="G3206" s="8">
        <v>3.3975493149999899E-4</v>
      </c>
      <c r="H3206" s="8">
        <v>4.1834702097E-4</v>
      </c>
      <c r="I3206" s="8">
        <v>3.1402749384800002E-4</v>
      </c>
      <c r="J3206" s="8">
        <v>2.95350444933E-4</v>
      </c>
      <c r="K3206" s="8">
        <v>2.97383679725E-4</v>
      </c>
      <c r="L3206" s="8">
        <v>2.9491917781E-4</v>
      </c>
      <c r="M3206" s="8">
        <v>2.8091236633299998E-4</v>
      </c>
      <c r="N3206" s="8">
        <v>2.6693856369999899E-4</v>
      </c>
      <c r="O3206">
        <v>0</v>
      </c>
      <c r="P3206">
        <v>0</v>
      </c>
      <c r="Q3206">
        <v>0</v>
      </c>
      <c r="R3206" t="s">
        <v>243</v>
      </c>
    </row>
    <row r="3207" spans="1:18" x14ac:dyDescent="0.3">
      <c r="A3207" t="s">
        <v>259</v>
      </c>
      <c r="B3207" t="s">
        <v>431</v>
      </c>
      <c r="C3207" t="s">
        <v>334</v>
      </c>
      <c r="D3207">
        <v>5.6433900000000002E-2</v>
      </c>
      <c r="E3207">
        <v>5.1280900000000001E-3</v>
      </c>
      <c r="F3207">
        <v>5.3335800000000001E-3</v>
      </c>
      <c r="G3207">
        <v>3.2629400000000002E-3</v>
      </c>
      <c r="H3207">
        <v>3.6521599999999898E-3</v>
      </c>
      <c r="I3207">
        <v>2.6041669999999901E-3</v>
      </c>
      <c r="J3207">
        <v>2.7009208000000002E-3</v>
      </c>
      <c r="K3207">
        <v>2.9117568E-3</v>
      </c>
      <c r="L3207">
        <v>3.0903689999999999E-3</v>
      </c>
      <c r="M3207">
        <v>3.1740399999999999E-3</v>
      </c>
      <c r="N3207">
        <v>3.2265509999999998E-3</v>
      </c>
      <c r="O3207">
        <v>0</v>
      </c>
      <c r="P3207">
        <v>0</v>
      </c>
      <c r="Q3207">
        <v>0</v>
      </c>
      <c r="R3207" t="s">
        <v>243</v>
      </c>
    </row>
    <row r="3208" spans="1:18" x14ac:dyDescent="0.3">
      <c r="A3208" t="s">
        <v>259</v>
      </c>
      <c r="B3208" t="s">
        <v>431</v>
      </c>
      <c r="C3208" t="s">
        <v>335</v>
      </c>
      <c r="D3208">
        <v>6.9546399999999998E-3</v>
      </c>
      <c r="E3208" s="8">
        <v>2.7482400000000001E-4</v>
      </c>
      <c r="F3208" s="8">
        <v>3.4870600000000001E-4</v>
      </c>
      <c r="G3208" s="8">
        <v>2.1155999999999999E-4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243</v>
      </c>
    </row>
    <row r="3209" spans="1:18" x14ac:dyDescent="0.3">
      <c r="A3209" t="s">
        <v>259</v>
      </c>
      <c r="B3209" t="s">
        <v>431</v>
      </c>
      <c r="C3209" t="s">
        <v>336</v>
      </c>
      <c r="D3209">
        <v>3.4419600000000002E-2</v>
      </c>
      <c r="E3209">
        <v>2.7411699999999998E-3</v>
      </c>
      <c r="F3209">
        <v>3.11707E-3</v>
      </c>
      <c r="G3209">
        <v>1.88405E-3</v>
      </c>
      <c r="H3209">
        <v>1.903748E-3</v>
      </c>
      <c r="I3209">
        <v>1.5012580000000001E-3</v>
      </c>
      <c r="J3209">
        <v>1.5289379999999899E-3</v>
      </c>
      <c r="K3209">
        <v>1.6208556E-3</v>
      </c>
      <c r="L3209">
        <v>1.6915000000000001E-3</v>
      </c>
      <c r="M3209">
        <v>1.7258729999999999E-3</v>
      </c>
      <c r="N3209">
        <v>1.7521149999999901E-3</v>
      </c>
      <c r="O3209">
        <v>0</v>
      </c>
      <c r="P3209">
        <v>0</v>
      </c>
      <c r="Q3209">
        <v>0</v>
      </c>
      <c r="R3209" t="s">
        <v>243</v>
      </c>
    </row>
    <row r="3210" spans="1:18" x14ac:dyDescent="0.3">
      <c r="A3210" t="s">
        <v>259</v>
      </c>
      <c r="B3210" t="s">
        <v>431</v>
      </c>
      <c r="C3210" t="s">
        <v>337</v>
      </c>
      <c r="D3210">
        <v>2.71046E-2</v>
      </c>
      <c r="E3210">
        <v>2.0212899999999998E-3</v>
      </c>
      <c r="F3210">
        <v>2.3984399999999999E-3</v>
      </c>
      <c r="G3210">
        <v>1.4898999999999999E-3</v>
      </c>
      <c r="H3210">
        <v>1.509727E-3</v>
      </c>
      <c r="I3210">
        <v>1.1872409999999999E-3</v>
      </c>
      <c r="J3210">
        <v>1.2018733000000001E-3</v>
      </c>
      <c r="K3210">
        <v>1.2767477E-3</v>
      </c>
      <c r="L3210">
        <v>1.3348359999999901E-3</v>
      </c>
      <c r="M3210">
        <v>1.3601240000000001E-3</v>
      </c>
      <c r="N3210">
        <v>1.3741479999999999E-3</v>
      </c>
      <c r="O3210">
        <v>0</v>
      </c>
      <c r="P3210">
        <v>0</v>
      </c>
      <c r="Q3210">
        <v>0</v>
      </c>
      <c r="R3210" t="s">
        <v>243</v>
      </c>
    </row>
    <row r="3211" spans="1:18" x14ac:dyDescent="0.3">
      <c r="A3211" t="s">
        <v>259</v>
      </c>
      <c r="B3211" t="s">
        <v>431</v>
      </c>
      <c r="C3211" t="s">
        <v>338</v>
      </c>
      <c r="D3211">
        <v>2.26435E-2</v>
      </c>
      <c r="E3211">
        <v>1.54688E-3</v>
      </c>
      <c r="F3211">
        <v>1.9454299999999999E-3</v>
      </c>
      <c r="G3211">
        <v>1.2591600000000001E-3</v>
      </c>
      <c r="H3211">
        <v>1.2783569999999999E-3</v>
      </c>
      <c r="I3211">
        <v>1.0034E-3</v>
      </c>
      <c r="J3211">
        <v>1.0231425000000001E-3</v>
      </c>
      <c r="K3211">
        <v>1.0830912999999899E-3</v>
      </c>
      <c r="L3211">
        <v>1.1275370000000001E-3</v>
      </c>
      <c r="M3211">
        <v>1.1417269999999999E-3</v>
      </c>
      <c r="N3211">
        <v>1.151825E-3</v>
      </c>
      <c r="O3211">
        <v>0</v>
      </c>
      <c r="P3211">
        <v>0</v>
      </c>
      <c r="Q3211">
        <v>0</v>
      </c>
      <c r="R3211" t="s">
        <v>243</v>
      </c>
    </row>
    <row r="3212" spans="1:18" x14ac:dyDescent="0.3">
      <c r="A3212" t="s">
        <v>259</v>
      </c>
      <c r="B3212" t="s">
        <v>431</v>
      </c>
      <c r="C3212" t="s">
        <v>339</v>
      </c>
      <c r="D3212">
        <v>1.93013E-2</v>
      </c>
      <c r="E3212">
        <v>1.26834E-3</v>
      </c>
      <c r="F3212">
        <v>1.6170100000000001E-3</v>
      </c>
      <c r="G3212">
        <v>1.08427E-3</v>
      </c>
      <c r="H3212">
        <v>1.1068409999999999E-3</v>
      </c>
      <c r="I3212" s="8">
        <v>8.6410499999999902E-4</v>
      </c>
      <c r="J3212" s="8">
        <v>8.8651129999999998E-4</v>
      </c>
      <c r="K3212" s="8">
        <v>9.3183879999999999E-4</v>
      </c>
      <c r="L3212" s="8">
        <v>9.6631899999999999E-4</v>
      </c>
      <c r="M3212" s="8">
        <v>9.8081199999999996E-4</v>
      </c>
      <c r="N3212">
        <v>0</v>
      </c>
      <c r="O3212">
        <v>0</v>
      </c>
      <c r="P3212">
        <v>0</v>
      </c>
      <c r="Q3212">
        <v>0</v>
      </c>
      <c r="R3212" t="s">
        <v>243</v>
      </c>
    </row>
    <row r="3213" spans="1:18" x14ac:dyDescent="0.3">
      <c r="A3213" t="s">
        <v>259</v>
      </c>
      <c r="B3213" t="s">
        <v>431</v>
      </c>
      <c r="C3213" t="s">
        <v>340</v>
      </c>
      <c r="D3213">
        <v>1.6479000000000001E-2</v>
      </c>
      <c r="E3213">
        <v>1.04425E-3</v>
      </c>
      <c r="F3213">
        <v>1.3793799999999999E-3</v>
      </c>
      <c r="G3213" s="8">
        <v>9.1285200000000002E-4</v>
      </c>
      <c r="H3213" s="8">
        <v>9.3188199999999998E-4</v>
      </c>
      <c r="I3213" s="8">
        <v>7.274963E-4</v>
      </c>
      <c r="J3213" s="8">
        <v>7.4032009999999997E-4</v>
      </c>
      <c r="K3213" s="8">
        <v>7.7980619999999895E-4</v>
      </c>
      <c r="L3213" s="8">
        <v>8.0809099999999896E-4</v>
      </c>
      <c r="M3213">
        <v>0</v>
      </c>
      <c r="N3213">
        <v>0</v>
      </c>
      <c r="O3213">
        <v>0</v>
      </c>
      <c r="P3213">
        <v>0</v>
      </c>
      <c r="Q3213">
        <v>0</v>
      </c>
      <c r="R3213" t="s">
        <v>243</v>
      </c>
    </row>
    <row r="3214" spans="1:18" x14ac:dyDescent="0.3">
      <c r="A3214" t="s">
        <v>259</v>
      </c>
      <c r="B3214" t="s">
        <v>431</v>
      </c>
      <c r="C3214" t="s">
        <v>341</v>
      </c>
      <c r="D3214">
        <v>1.39653E-2</v>
      </c>
      <c r="E3214" s="8">
        <v>8.4687900000000003E-4</v>
      </c>
      <c r="F3214">
        <v>1.15744E-3</v>
      </c>
      <c r="G3214" s="8">
        <v>7.5925000000000005E-4</v>
      </c>
      <c r="H3214" s="8">
        <v>7.7176600000000001E-4</v>
      </c>
      <c r="I3214" s="8">
        <v>6.0504329999999998E-4</v>
      </c>
      <c r="J3214" s="8">
        <v>6.1581329999999999E-4</v>
      </c>
      <c r="K3214" s="8">
        <v>6.4467799999999998E-4</v>
      </c>
      <c r="L3214" s="8">
        <v>6.6613100000000004E-4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243</v>
      </c>
    </row>
    <row r="3215" spans="1:18" x14ac:dyDescent="0.3">
      <c r="A3215" t="s">
        <v>259</v>
      </c>
      <c r="B3215" t="s">
        <v>431</v>
      </c>
      <c r="C3215" t="s">
        <v>342</v>
      </c>
      <c r="D3215">
        <v>1.16011E-2</v>
      </c>
      <c r="E3215" s="8">
        <v>6.7200099999999998E-4</v>
      </c>
      <c r="F3215" s="8">
        <v>8.99561E-4</v>
      </c>
      <c r="G3215" s="8">
        <v>5.8124499999999998E-4</v>
      </c>
      <c r="H3215" s="8">
        <v>5.8391300000000003E-4</v>
      </c>
      <c r="I3215" s="8">
        <v>4.6311139999999899E-4</v>
      </c>
      <c r="J3215" s="8">
        <v>4.6510119999999897E-4</v>
      </c>
      <c r="K3215" s="8">
        <v>4.8614019999999999E-4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243</v>
      </c>
    </row>
    <row r="3216" spans="1:18" x14ac:dyDescent="0.3">
      <c r="A3216" t="s">
        <v>259</v>
      </c>
      <c r="B3216" t="s">
        <v>431</v>
      </c>
      <c r="C3216" t="s">
        <v>343</v>
      </c>
      <c r="D3216">
        <v>9.2844899999999994E-3</v>
      </c>
      <c r="E3216" s="8">
        <v>5.0005999999999998E-4</v>
      </c>
      <c r="F3216" s="8">
        <v>6.0853899999999995E-4</v>
      </c>
      <c r="G3216" s="8">
        <v>3.6269399999999999E-4</v>
      </c>
      <c r="H3216" s="8">
        <v>3.58391E-4</v>
      </c>
      <c r="I3216" s="8">
        <v>2.8890859999999998E-4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243</v>
      </c>
    </row>
    <row r="3217" spans="1:18" x14ac:dyDescent="0.3">
      <c r="A3217" t="s">
        <v>259</v>
      </c>
      <c r="B3217" t="s">
        <v>431</v>
      </c>
      <c r="C3217" t="s">
        <v>284</v>
      </c>
      <c r="D3217">
        <v>3.4700649700000002E-2</v>
      </c>
      <c r="E3217">
        <v>1.391944078E-2</v>
      </c>
      <c r="F3217">
        <v>1.426197532E-2</v>
      </c>
      <c r="G3217">
        <v>8.0535491199999996E-3</v>
      </c>
      <c r="H3217">
        <v>9.8584503490000003E-3</v>
      </c>
      <c r="I3217">
        <v>4.9458516959999897E-3</v>
      </c>
      <c r="J3217">
        <v>6.4247547499999896E-3</v>
      </c>
      <c r="K3217">
        <v>7.7999587179999998E-3</v>
      </c>
      <c r="L3217">
        <v>9.2657842246999904E-3</v>
      </c>
      <c r="M3217">
        <v>1.0626145833999999E-2</v>
      </c>
      <c r="N3217">
        <v>1.1735792893E-2</v>
      </c>
      <c r="O3217">
        <v>0</v>
      </c>
      <c r="P3217">
        <v>0</v>
      </c>
      <c r="Q3217">
        <v>0</v>
      </c>
      <c r="R3217" t="s">
        <v>243</v>
      </c>
    </row>
    <row r="3218" spans="1:18" x14ac:dyDescent="0.3">
      <c r="A3218" t="s">
        <v>259</v>
      </c>
      <c r="B3218" t="s">
        <v>431</v>
      </c>
      <c r="C3218" t="s">
        <v>285</v>
      </c>
      <c r="D3218">
        <v>8.7234260199999997E-2</v>
      </c>
      <c r="E3218">
        <v>0.104589029499999</v>
      </c>
      <c r="F3218">
        <v>0.1048522315</v>
      </c>
      <c r="G3218">
        <v>6.9413353499999997E-2</v>
      </c>
      <c r="H3218">
        <v>6.3361974089999995E-2</v>
      </c>
      <c r="I3218">
        <v>4.665829883E-2</v>
      </c>
      <c r="J3218">
        <v>4.8039346419999997E-2</v>
      </c>
      <c r="K3218">
        <v>4.8327014989999903E-2</v>
      </c>
      <c r="L3218">
        <v>4.8732723140000003E-2</v>
      </c>
      <c r="M3218">
        <v>4.8039891899999999E-2</v>
      </c>
      <c r="N3218">
        <v>4.6245046029999903E-2</v>
      </c>
      <c r="O3218">
        <v>0</v>
      </c>
      <c r="P3218">
        <v>0</v>
      </c>
      <c r="Q3218">
        <v>0</v>
      </c>
      <c r="R3218" t="s">
        <v>243</v>
      </c>
    </row>
    <row r="3219" spans="1:18" x14ac:dyDescent="0.3">
      <c r="A3219" t="s">
        <v>259</v>
      </c>
      <c r="B3219" t="s">
        <v>431</v>
      </c>
      <c r="C3219" t="s">
        <v>286</v>
      </c>
      <c r="D3219">
        <v>4.9250928999999999E-2</v>
      </c>
      <c r="E3219">
        <v>2.5383336100000001E-2</v>
      </c>
      <c r="F3219">
        <v>2.4693373699999899E-2</v>
      </c>
      <c r="G3219">
        <v>1.4764886689999999E-2</v>
      </c>
      <c r="H3219">
        <v>1.3674021404E-2</v>
      </c>
      <c r="I3219">
        <v>9.02333346999999E-3</v>
      </c>
      <c r="J3219">
        <v>1.09884292409999E-2</v>
      </c>
      <c r="K3219">
        <v>1.2714098303E-2</v>
      </c>
      <c r="L3219">
        <v>1.44991473599999E-2</v>
      </c>
      <c r="M3219">
        <v>1.6219703967999901E-2</v>
      </c>
      <c r="N3219">
        <v>1.7657363919999999E-2</v>
      </c>
      <c r="O3219">
        <v>0</v>
      </c>
      <c r="P3219">
        <v>0</v>
      </c>
      <c r="Q3219">
        <v>0</v>
      </c>
      <c r="R3219" t="s">
        <v>243</v>
      </c>
    </row>
    <row r="3220" spans="1:18" x14ac:dyDescent="0.3">
      <c r="A3220" t="s">
        <v>259</v>
      </c>
      <c r="B3220" t="s">
        <v>431</v>
      </c>
      <c r="C3220" t="s">
        <v>287</v>
      </c>
      <c r="D3220">
        <v>5.61801273E-2</v>
      </c>
      <c r="E3220">
        <v>3.3064535999999999E-2</v>
      </c>
      <c r="F3220">
        <v>3.1475269099999897E-2</v>
      </c>
      <c r="G3220">
        <v>1.864936956E-2</v>
      </c>
      <c r="H3220">
        <v>1.7499464629999999E-2</v>
      </c>
      <c r="I3220">
        <v>1.1363438821999999E-2</v>
      </c>
      <c r="J3220">
        <v>1.36159889599999E-2</v>
      </c>
      <c r="K3220">
        <v>1.5803576185000001E-2</v>
      </c>
      <c r="L3220">
        <v>1.8050638149999999E-2</v>
      </c>
      <c r="M3220">
        <v>2.0007039957000001E-2</v>
      </c>
      <c r="N3220">
        <v>2.1356198213999901E-2</v>
      </c>
      <c r="O3220">
        <v>0</v>
      </c>
      <c r="P3220">
        <v>0</v>
      </c>
      <c r="Q3220">
        <v>0</v>
      </c>
      <c r="R3220" t="s">
        <v>243</v>
      </c>
    </row>
    <row r="3221" spans="1:18" x14ac:dyDescent="0.3">
      <c r="A3221" t="s">
        <v>259</v>
      </c>
      <c r="B3221" t="s">
        <v>431</v>
      </c>
      <c r="C3221" t="s">
        <v>288</v>
      </c>
      <c r="D3221">
        <v>6.1161604299999998E-2</v>
      </c>
      <c r="E3221">
        <v>4.0997300700000003E-2</v>
      </c>
      <c r="F3221">
        <v>3.7731934799999998E-2</v>
      </c>
      <c r="G3221">
        <v>2.1840577739999999E-2</v>
      </c>
      <c r="H3221">
        <v>2.0678365099999998E-2</v>
      </c>
      <c r="I3221">
        <v>1.3555106198999901E-2</v>
      </c>
      <c r="J3221">
        <v>1.6251349387999998E-2</v>
      </c>
      <c r="K3221">
        <v>1.86316630629999E-2</v>
      </c>
      <c r="L3221">
        <v>2.0944086120999999E-2</v>
      </c>
      <c r="M3221">
        <v>2.2716485036E-2</v>
      </c>
      <c r="N3221">
        <v>2.40138936999999E-2</v>
      </c>
      <c r="O3221">
        <v>0</v>
      </c>
      <c r="P3221">
        <v>0</v>
      </c>
      <c r="Q3221">
        <v>0</v>
      </c>
      <c r="R3221" t="s">
        <v>243</v>
      </c>
    </row>
    <row r="3222" spans="1:18" x14ac:dyDescent="0.3">
      <c r="A3222" t="s">
        <v>259</v>
      </c>
      <c r="B3222" t="s">
        <v>431</v>
      </c>
      <c r="C3222" t="s">
        <v>289</v>
      </c>
      <c r="D3222">
        <v>6.5358905599999906E-2</v>
      </c>
      <c r="E3222">
        <v>4.7559173199999999E-2</v>
      </c>
      <c r="F3222">
        <v>4.3861213199999999E-2</v>
      </c>
      <c r="G3222">
        <v>2.4963061870000001E-2</v>
      </c>
      <c r="H3222">
        <v>2.4073187740000002E-2</v>
      </c>
      <c r="I3222">
        <v>1.5756278890999901E-2</v>
      </c>
      <c r="J3222">
        <v>1.8882671218E-2</v>
      </c>
      <c r="K3222">
        <v>2.1160041147999999E-2</v>
      </c>
      <c r="L3222">
        <v>2.3431695426000002E-2</v>
      </c>
      <c r="M3222">
        <v>2.5448122139999901E-2</v>
      </c>
      <c r="N3222">
        <v>2.6576910722E-2</v>
      </c>
      <c r="O3222">
        <v>0</v>
      </c>
      <c r="P3222">
        <v>0</v>
      </c>
      <c r="Q3222">
        <v>0</v>
      </c>
      <c r="R3222" t="s">
        <v>243</v>
      </c>
    </row>
    <row r="3223" spans="1:18" x14ac:dyDescent="0.3">
      <c r="A3223" t="s">
        <v>259</v>
      </c>
      <c r="B3223" t="s">
        <v>431</v>
      </c>
      <c r="C3223" t="s">
        <v>290</v>
      </c>
      <c r="D3223">
        <v>6.9281178099999993E-2</v>
      </c>
      <c r="E3223">
        <v>5.4469416999999999E-2</v>
      </c>
      <c r="F3223">
        <v>4.9549281299999998E-2</v>
      </c>
      <c r="G3223">
        <v>2.8880990119999998E-2</v>
      </c>
      <c r="H3223">
        <v>2.7938482720000001E-2</v>
      </c>
      <c r="I3223">
        <v>1.8296202046E-2</v>
      </c>
      <c r="J3223">
        <v>2.1355464524999999E-2</v>
      </c>
      <c r="K3223">
        <v>2.3946429686000002E-2</v>
      </c>
      <c r="L3223">
        <v>2.6335931524999901E-2</v>
      </c>
      <c r="M3223">
        <v>2.8036840349999901E-2</v>
      </c>
      <c r="N3223">
        <v>2.9098783872999998E-2</v>
      </c>
      <c r="O3223">
        <v>0</v>
      </c>
      <c r="P3223">
        <v>0</v>
      </c>
      <c r="Q3223">
        <v>0</v>
      </c>
      <c r="R3223" t="s">
        <v>243</v>
      </c>
    </row>
    <row r="3224" spans="1:18" x14ac:dyDescent="0.3">
      <c r="A3224" t="s">
        <v>259</v>
      </c>
      <c r="B3224" t="s">
        <v>431</v>
      </c>
      <c r="C3224" t="s">
        <v>291</v>
      </c>
      <c r="D3224">
        <v>7.3138477100000002E-2</v>
      </c>
      <c r="E3224">
        <v>6.2338237300000002E-2</v>
      </c>
      <c r="F3224">
        <v>5.6221753399999998E-2</v>
      </c>
      <c r="G3224">
        <v>3.3435417259999899E-2</v>
      </c>
      <c r="H3224">
        <v>3.2064891999999998E-2</v>
      </c>
      <c r="I3224">
        <v>2.13627738699999E-2</v>
      </c>
      <c r="J3224">
        <v>2.4717397063999998E-2</v>
      </c>
      <c r="K3224">
        <v>2.709564221E-2</v>
      </c>
      <c r="L3224">
        <v>2.9408777271999999E-2</v>
      </c>
      <c r="M3224">
        <v>3.1007364959999999E-2</v>
      </c>
      <c r="N3224">
        <v>3.1721078766999998E-2</v>
      </c>
      <c r="O3224">
        <v>0</v>
      </c>
      <c r="P3224">
        <v>0</v>
      </c>
      <c r="Q3224">
        <v>0</v>
      </c>
      <c r="R3224" t="s">
        <v>243</v>
      </c>
    </row>
    <row r="3225" spans="1:18" x14ac:dyDescent="0.3">
      <c r="A3225" t="s">
        <v>259</v>
      </c>
      <c r="B3225" t="s">
        <v>431</v>
      </c>
      <c r="C3225" t="s">
        <v>292</v>
      </c>
      <c r="D3225">
        <v>7.7182506900000003E-2</v>
      </c>
      <c r="E3225">
        <v>7.1343954000000001E-2</v>
      </c>
      <c r="F3225">
        <v>6.6371842700000003E-2</v>
      </c>
      <c r="G3225">
        <v>4.0600895370000001E-2</v>
      </c>
      <c r="H3225">
        <v>3.79242521E-2</v>
      </c>
      <c r="I3225">
        <v>2.575880711E-2</v>
      </c>
      <c r="J3225">
        <v>2.8990205623E-2</v>
      </c>
      <c r="K3225">
        <v>3.1333435489999999E-2</v>
      </c>
      <c r="L3225">
        <v>3.3316318558999997E-2</v>
      </c>
      <c r="M3225">
        <v>3.4642109169999998E-2</v>
      </c>
      <c r="N3225">
        <v>3.4840105354999901E-2</v>
      </c>
      <c r="O3225">
        <v>0</v>
      </c>
      <c r="P3225">
        <v>0</v>
      </c>
      <c r="Q3225">
        <v>0</v>
      </c>
      <c r="R3225" t="s">
        <v>243</v>
      </c>
    </row>
    <row r="3226" spans="1:18" x14ac:dyDescent="0.3">
      <c r="A3226" t="s">
        <v>259</v>
      </c>
      <c r="B3226" t="s">
        <v>431</v>
      </c>
      <c r="C3226" t="s">
        <v>293</v>
      </c>
      <c r="D3226">
        <v>8.1717866299999997E-2</v>
      </c>
      <c r="E3226">
        <v>8.2933107899999997E-2</v>
      </c>
      <c r="F3226">
        <v>8.2720906100000005E-2</v>
      </c>
      <c r="G3226">
        <v>5.4207876099999899E-2</v>
      </c>
      <c r="H3226">
        <v>4.9162056849999899E-2</v>
      </c>
      <c r="I3226">
        <v>3.4578148580000002E-2</v>
      </c>
      <c r="J3226">
        <v>3.671057556E-2</v>
      </c>
      <c r="K3226">
        <v>3.8019577800000003E-2</v>
      </c>
      <c r="L3226">
        <v>3.9450116385999899E-2</v>
      </c>
      <c r="M3226">
        <v>3.9913310339999897E-2</v>
      </c>
      <c r="N3226">
        <v>3.9372066409999899E-2</v>
      </c>
      <c r="O3226">
        <v>0</v>
      </c>
      <c r="P3226">
        <v>0</v>
      </c>
      <c r="Q3226">
        <v>0</v>
      </c>
      <c r="R3226" t="s">
        <v>243</v>
      </c>
    </row>
    <row r="3227" spans="1:18" x14ac:dyDescent="0.3">
      <c r="A3227" t="s">
        <v>259</v>
      </c>
      <c r="B3227" t="s">
        <v>431</v>
      </c>
      <c r="C3227" t="s">
        <v>344</v>
      </c>
      <c r="D3227">
        <v>2.59144E-3</v>
      </c>
      <c r="E3227" s="8">
        <v>2.3114399999999999E-4</v>
      </c>
      <c r="F3227" s="8">
        <v>2.43019E-4</v>
      </c>
      <c r="G3227" s="8">
        <v>1.4841499999999999E-4</v>
      </c>
      <c r="H3227" s="8">
        <v>1.662019E-4</v>
      </c>
      <c r="I3227" s="8">
        <v>1.1829185E-4</v>
      </c>
      <c r="J3227" s="8">
        <v>1.2278524999999999E-4</v>
      </c>
      <c r="K3227" s="8">
        <v>1.3253040999999999E-4</v>
      </c>
      <c r="L3227" s="8">
        <v>1.404927E-4</v>
      </c>
      <c r="M3227" s="8">
        <v>1.4431979999999999E-4</v>
      </c>
      <c r="N3227" s="8">
        <v>1.467723E-4</v>
      </c>
      <c r="O3227">
        <v>0</v>
      </c>
      <c r="P3227">
        <v>0</v>
      </c>
      <c r="Q3227">
        <v>0</v>
      </c>
      <c r="R3227" t="s">
        <v>243</v>
      </c>
    </row>
    <row r="3228" spans="1:18" x14ac:dyDescent="0.3">
      <c r="A3228" t="s">
        <v>259</v>
      </c>
      <c r="B3228" t="s">
        <v>431</v>
      </c>
      <c r="C3228" t="s">
        <v>345</v>
      </c>
      <c r="D3228" s="8">
        <v>5.0633600000000003E-4</v>
      </c>
      <c r="E3228" s="8">
        <v>2.3183000000000001E-5</v>
      </c>
      <c r="F3228" s="8">
        <v>2.88159E-5</v>
      </c>
      <c r="G3228" s="8">
        <v>1.77045E-5</v>
      </c>
      <c r="H3228" s="8">
        <v>1.74434E-5</v>
      </c>
      <c r="I3228" s="8">
        <v>1.4082039999999999E-5</v>
      </c>
      <c r="J3228" s="8">
        <v>1.3889730000000001E-5</v>
      </c>
      <c r="K3228" s="8">
        <v>1.4380682E-5</v>
      </c>
      <c r="L3228" s="8">
        <v>1.4661509999999999E-5</v>
      </c>
      <c r="M3228" s="8">
        <v>1.464016E-5</v>
      </c>
      <c r="N3228" s="8">
        <v>1.4559970000000001E-5</v>
      </c>
      <c r="O3228">
        <v>0</v>
      </c>
      <c r="P3228">
        <v>0</v>
      </c>
      <c r="Q3228">
        <v>0</v>
      </c>
      <c r="R3228" t="s">
        <v>243</v>
      </c>
    </row>
    <row r="3229" spans="1:18" x14ac:dyDescent="0.3">
      <c r="A3229" t="s">
        <v>259</v>
      </c>
      <c r="B3229" t="s">
        <v>431</v>
      </c>
      <c r="C3229" t="s">
        <v>346</v>
      </c>
      <c r="D3229">
        <v>1.7736500000000001E-3</v>
      </c>
      <c r="E3229" s="8">
        <v>1.4207999999999999E-4</v>
      </c>
      <c r="F3229" s="8">
        <v>1.6070799999999999E-4</v>
      </c>
      <c r="G3229" s="8">
        <v>9.7652200000000007E-5</v>
      </c>
      <c r="H3229" s="8">
        <v>9.8728100000000001E-5</v>
      </c>
      <c r="I3229" s="8">
        <v>7.7702700000000004E-5</v>
      </c>
      <c r="J3229" s="8">
        <v>7.9217169999999996E-5</v>
      </c>
      <c r="K3229" s="8">
        <v>8.4060349999999894E-5</v>
      </c>
      <c r="L3229" s="8">
        <v>8.7621700000000002E-5</v>
      </c>
      <c r="M3229" s="8">
        <v>8.9427999999999998E-5</v>
      </c>
      <c r="N3229" s="8">
        <v>9.0820000000000001E-5</v>
      </c>
      <c r="O3229">
        <v>0</v>
      </c>
      <c r="P3229">
        <v>0</v>
      </c>
      <c r="Q3229">
        <v>0</v>
      </c>
      <c r="R3229" t="s">
        <v>243</v>
      </c>
    </row>
    <row r="3230" spans="1:18" x14ac:dyDescent="0.3">
      <c r="A3230" t="s">
        <v>259</v>
      </c>
      <c r="B3230" t="s">
        <v>431</v>
      </c>
      <c r="C3230" t="s">
        <v>347</v>
      </c>
      <c r="D3230">
        <v>1.4740599999999999E-3</v>
      </c>
      <c r="E3230" s="8">
        <v>1.12002E-4</v>
      </c>
      <c r="F3230" s="8">
        <v>1.31168E-4</v>
      </c>
      <c r="G3230" s="8">
        <v>8.1526099999999999E-5</v>
      </c>
      <c r="H3230" s="8">
        <v>8.2656499999999997E-5</v>
      </c>
      <c r="I3230" s="8">
        <v>6.4873800000000002E-5</v>
      </c>
      <c r="J3230" s="8">
        <v>6.5740859999999997E-5</v>
      </c>
      <c r="K3230" s="8">
        <v>6.9904E-5</v>
      </c>
      <c r="L3230" s="8">
        <v>7.2999399999999998E-5</v>
      </c>
      <c r="M3230" s="8">
        <v>7.4403099999999898E-5</v>
      </c>
      <c r="N3230" s="8">
        <v>7.5197099999999999E-5</v>
      </c>
      <c r="O3230">
        <v>0</v>
      </c>
      <c r="P3230">
        <v>0</v>
      </c>
      <c r="Q3230">
        <v>0</v>
      </c>
      <c r="R3230" t="s">
        <v>243</v>
      </c>
    </row>
    <row r="3231" spans="1:18" x14ac:dyDescent="0.3">
      <c r="A3231" t="s">
        <v>259</v>
      </c>
      <c r="B3231" t="s">
        <v>431</v>
      </c>
      <c r="C3231" t="s">
        <v>348</v>
      </c>
      <c r="D3231">
        <v>1.2816100000000001E-3</v>
      </c>
      <c r="E3231" s="8">
        <v>9.0833800000000004E-5</v>
      </c>
      <c r="F3231" s="8">
        <v>1.11463E-4</v>
      </c>
      <c r="G3231" s="8">
        <v>7.1595100000000002E-5</v>
      </c>
      <c r="H3231" s="8">
        <v>7.2726700000000003E-5</v>
      </c>
      <c r="I3231" s="8">
        <v>5.6972969999999901E-5</v>
      </c>
      <c r="J3231" s="8">
        <v>5.8153570000000003E-5</v>
      </c>
      <c r="K3231" s="8">
        <v>6.1620710000000005E-5</v>
      </c>
      <c r="L3231" s="8">
        <v>6.4074100000000004E-5</v>
      </c>
      <c r="M3231" s="8">
        <v>6.4898800000000003E-5</v>
      </c>
      <c r="N3231" s="8">
        <v>6.5496700000000006E-5</v>
      </c>
      <c r="O3231">
        <v>0</v>
      </c>
      <c r="P3231">
        <v>0</v>
      </c>
      <c r="Q3231">
        <v>0</v>
      </c>
      <c r="R3231" t="s">
        <v>243</v>
      </c>
    </row>
    <row r="3232" spans="1:18" x14ac:dyDescent="0.3">
      <c r="A3232" t="s">
        <v>259</v>
      </c>
      <c r="B3232" t="s">
        <v>431</v>
      </c>
      <c r="C3232" t="s">
        <v>349</v>
      </c>
      <c r="D3232">
        <v>1.13142E-3</v>
      </c>
      <c r="E3232" s="8">
        <v>7.7727300000000004E-5</v>
      </c>
      <c r="F3232" s="8">
        <v>9.6492799999999999E-5</v>
      </c>
      <c r="G3232" s="8">
        <v>6.3768499999999998E-5</v>
      </c>
      <c r="H3232" s="8">
        <v>6.5131700000000005E-5</v>
      </c>
      <c r="I3232" s="8">
        <v>5.0749159999999901E-5</v>
      </c>
      <c r="J3232" s="8">
        <v>5.211803E-5</v>
      </c>
      <c r="K3232" s="8">
        <v>5.4836870000000001E-5</v>
      </c>
      <c r="L3232" s="8">
        <v>5.6798300000000001E-5</v>
      </c>
      <c r="M3232" s="8">
        <v>5.7666800000000002E-5</v>
      </c>
      <c r="N3232" s="8">
        <v>5.80564899999999E-5</v>
      </c>
      <c r="O3232">
        <v>0</v>
      </c>
      <c r="P3232">
        <v>0</v>
      </c>
      <c r="Q3232">
        <v>0</v>
      </c>
      <c r="R3232" t="s">
        <v>243</v>
      </c>
    </row>
    <row r="3233" spans="1:18" x14ac:dyDescent="0.3">
      <c r="A3233" t="s">
        <v>259</v>
      </c>
      <c r="B3233" t="s">
        <v>431</v>
      </c>
      <c r="C3233" t="s">
        <v>350</v>
      </c>
      <c r="D3233" s="8">
        <v>9.9973700000000011E-4</v>
      </c>
      <c r="E3233" s="8">
        <v>6.6709099999999995E-5</v>
      </c>
      <c r="F3233" s="8">
        <v>8.5219500000000006E-5</v>
      </c>
      <c r="G3233" s="8">
        <v>5.5794700000000003E-5</v>
      </c>
      <c r="H3233" s="8">
        <v>5.69891E-5</v>
      </c>
      <c r="I3233" s="8">
        <v>4.4403329999999998E-5</v>
      </c>
      <c r="J3233" s="8">
        <v>4.5231909999999997E-5</v>
      </c>
      <c r="K3233" s="8">
        <v>4.769156E-5</v>
      </c>
      <c r="L3233" s="8">
        <v>4.9362800000000001E-5</v>
      </c>
      <c r="M3233" s="8">
        <v>4.9837530000000001E-5</v>
      </c>
      <c r="N3233" s="8">
        <v>5.0172029999999901E-5</v>
      </c>
      <c r="O3233">
        <v>0</v>
      </c>
      <c r="P3233">
        <v>0</v>
      </c>
      <c r="Q3233">
        <v>0</v>
      </c>
      <c r="R3233" t="s">
        <v>243</v>
      </c>
    </row>
    <row r="3234" spans="1:18" x14ac:dyDescent="0.3">
      <c r="A3234" t="s">
        <v>259</v>
      </c>
      <c r="B3234" t="s">
        <v>431</v>
      </c>
      <c r="C3234" t="s">
        <v>351</v>
      </c>
      <c r="D3234" s="8">
        <v>8.7796399999999996E-4</v>
      </c>
      <c r="E3234" s="8">
        <v>5.65566E-5</v>
      </c>
      <c r="F3234" s="8">
        <v>7.4277300000000001E-5</v>
      </c>
      <c r="G3234" s="8">
        <v>4.8339800000000001E-5</v>
      </c>
      <c r="H3234" s="8">
        <v>4.9163699999999998E-5</v>
      </c>
      <c r="I3234" s="8">
        <v>3.8467889999999997E-5</v>
      </c>
      <c r="J3234" s="8">
        <v>3.9192749999999998E-5</v>
      </c>
      <c r="K3234" s="8">
        <v>4.1070160000000003E-5</v>
      </c>
      <c r="L3234" s="8">
        <v>4.2385999999999997E-5</v>
      </c>
      <c r="M3234" s="8">
        <v>4.2742479999999998E-5</v>
      </c>
      <c r="N3234" s="8">
        <v>4.2899189999999997E-5</v>
      </c>
      <c r="O3234">
        <v>0</v>
      </c>
      <c r="P3234">
        <v>0</v>
      </c>
      <c r="Q3234">
        <v>0</v>
      </c>
      <c r="R3234" t="s">
        <v>243</v>
      </c>
    </row>
    <row r="3235" spans="1:18" x14ac:dyDescent="0.3">
      <c r="A3235" t="s">
        <v>259</v>
      </c>
      <c r="B3235" t="s">
        <v>431</v>
      </c>
      <c r="C3235" t="s">
        <v>352</v>
      </c>
      <c r="D3235" s="8">
        <v>7.5874500000000001E-4</v>
      </c>
      <c r="E3235" s="8">
        <v>4.7117799999999998E-5</v>
      </c>
      <c r="F3235" s="8">
        <v>6.0938199999999999E-5</v>
      </c>
      <c r="G3235" s="8">
        <v>3.9234199999999998E-5</v>
      </c>
      <c r="H3235" s="8">
        <v>3.94362E-5</v>
      </c>
      <c r="I3235" s="8">
        <v>3.1216079999999999E-5</v>
      </c>
      <c r="J3235" s="8">
        <v>3.1383069999999999E-5</v>
      </c>
      <c r="K3235" s="8">
        <v>3.2834140000000001E-5</v>
      </c>
      <c r="L3235" s="8">
        <v>3.3706589999999999E-5</v>
      </c>
      <c r="M3235" s="8">
        <v>3.3919549999999901E-5</v>
      </c>
      <c r="N3235" s="8">
        <v>3.3916140000000002E-5</v>
      </c>
      <c r="O3235">
        <v>0</v>
      </c>
      <c r="P3235">
        <v>0</v>
      </c>
      <c r="Q3235">
        <v>0</v>
      </c>
      <c r="R3235" t="s">
        <v>243</v>
      </c>
    </row>
    <row r="3236" spans="1:18" x14ac:dyDescent="0.3">
      <c r="A3236" t="s">
        <v>259</v>
      </c>
      <c r="B3236" t="s">
        <v>431</v>
      </c>
      <c r="C3236" t="s">
        <v>353</v>
      </c>
      <c r="D3236" s="8">
        <v>6.3645100000000001E-4</v>
      </c>
      <c r="E3236" s="8">
        <v>3.7291800000000001E-5</v>
      </c>
      <c r="F3236" s="8">
        <v>4.4784399999999998E-5</v>
      </c>
      <c r="G3236" s="8">
        <v>2.70949E-5</v>
      </c>
      <c r="H3236" s="8">
        <v>2.67886E-5</v>
      </c>
      <c r="I3236" s="8">
        <v>2.1552279999999999E-5</v>
      </c>
      <c r="J3236" s="8">
        <v>2.114347E-5</v>
      </c>
      <c r="K3236" s="8">
        <v>2.1898129999999998E-5</v>
      </c>
      <c r="L3236" s="8">
        <v>2.23665199999999E-5</v>
      </c>
      <c r="M3236" s="8">
        <v>2.236485E-5</v>
      </c>
      <c r="N3236" s="8">
        <v>2.2293299999999999E-5</v>
      </c>
      <c r="O3236">
        <v>0</v>
      </c>
      <c r="P3236">
        <v>0</v>
      </c>
      <c r="Q3236">
        <v>0</v>
      </c>
      <c r="R3236" t="s">
        <v>243</v>
      </c>
    </row>
    <row r="3237" spans="1:18" x14ac:dyDescent="0.3">
      <c r="A3237" t="s">
        <v>259</v>
      </c>
      <c r="B3237" t="s">
        <v>431</v>
      </c>
      <c r="C3237" t="s">
        <v>294</v>
      </c>
      <c r="D3237">
        <v>1.3459746272999999E-2</v>
      </c>
      <c r="E3237">
        <v>4.6789249999999996E-3</v>
      </c>
      <c r="F3237">
        <v>4.3670194799999996E-3</v>
      </c>
      <c r="G3237">
        <v>2.2019731129999998E-3</v>
      </c>
      <c r="H3237">
        <v>2.5980126409999998E-3</v>
      </c>
      <c r="I3237">
        <v>1.42187433539999E-3</v>
      </c>
      <c r="J3237">
        <v>1.8404737601000001E-3</v>
      </c>
      <c r="K3237">
        <v>2.2510666050000001E-3</v>
      </c>
      <c r="L3237">
        <v>2.6754129350999999E-3</v>
      </c>
      <c r="M3237">
        <v>3.0522359916999899E-3</v>
      </c>
      <c r="N3237">
        <v>3.3790969666999998E-3</v>
      </c>
      <c r="O3237">
        <v>0</v>
      </c>
      <c r="P3237">
        <v>0</v>
      </c>
      <c r="Q3237">
        <v>0</v>
      </c>
      <c r="R3237" t="s">
        <v>243</v>
      </c>
    </row>
    <row r="3238" spans="1:18" x14ac:dyDescent="0.3">
      <c r="A3238" t="s">
        <v>259</v>
      </c>
      <c r="B3238" t="s">
        <v>431</v>
      </c>
      <c r="C3238" t="s">
        <v>295</v>
      </c>
      <c r="D3238">
        <v>2.5876880919999901E-2</v>
      </c>
      <c r="E3238">
        <v>2.2580203529999999E-2</v>
      </c>
      <c r="F3238">
        <v>2.2224489199999999E-2</v>
      </c>
      <c r="G3238">
        <v>1.52563533199999E-2</v>
      </c>
      <c r="H3238">
        <v>1.4340443056999899E-2</v>
      </c>
      <c r="I3238">
        <v>1.10903523139999E-2</v>
      </c>
      <c r="J3238">
        <v>1.1335364396999901E-2</v>
      </c>
      <c r="K3238">
        <v>1.17225451133E-2</v>
      </c>
      <c r="L3238">
        <v>1.1988256544000001E-2</v>
      </c>
      <c r="M3238">
        <v>1.1937712433E-2</v>
      </c>
      <c r="N3238">
        <v>1.17534930409999E-2</v>
      </c>
      <c r="O3238">
        <v>0</v>
      </c>
      <c r="P3238">
        <v>0</v>
      </c>
      <c r="Q3238">
        <v>0</v>
      </c>
      <c r="R3238" t="s">
        <v>243</v>
      </c>
    </row>
    <row r="3239" spans="1:18" x14ac:dyDescent="0.3">
      <c r="A3239" t="s">
        <v>259</v>
      </c>
      <c r="B3239" t="s">
        <v>431</v>
      </c>
      <c r="C3239" t="s">
        <v>296</v>
      </c>
      <c r="D3239">
        <v>1.685669683E-2</v>
      </c>
      <c r="E3239">
        <v>7.9720311449999904E-3</v>
      </c>
      <c r="F3239">
        <v>7.1919872799999897E-3</v>
      </c>
      <c r="G3239">
        <v>3.9293053099999998E-3</v>
      </c>
      <c r="H3239">
        <v>3.5797252069999998E-3</v>
      </c>
      <c r="I3239">
        <v>2.5216712692999999E-3</v>
      </c>
      <c r="J3239">
        <v>3.0545246447499998E-3</v>
      </c>
      <c r="K3239">
        <v>3.5727008888499999E-3</v>
      </c>
      <c r="L3239">
        <v>4.0745574800000002E-3</v>
      </c>
      <c r="M3239">
        <v>4.5371584615E-3</v>
      </c>
      <c r="N3239">
        <v>4.9597707581999998E-3</v>
      </c>
      <c r="O3239">
        <v>0</v>
      </c>
      <c r="P3239">
        <v>0</v>
      </c>
      <c r="Q3239">
        <v>0</v>
      </c>
      <c r="R3239" t="s">
        <v>243</v>
      </c>
    </row>
    <row r="3240" spans="1:18" x14ac:dyDescent="0.3">
      <c r="A3240" t="s">
        <v>259</v>
      </c>
      <c r="B3240" t="s">
        <v>431</v>
      </c>
      <c r="C3240" t="s">
        <v>297</v>
      </c>
      <c r="D3240">
        <v>1.8326906949999999E-2</v>
      </c>
      <c r="E3240">
        <v>9.9526793509999902E-3</v>
      </c>
      <c r="F3240">
        <v>8.8916292099999999E-3</v>
      </c>
      <c r="G3240">
        <v>4.89087506E-3</v>
      </c>
      <c r="H3240">
        <v>4.5131774339999898E-3</v>
      </c>
      <c r="I3240">
        <v>3.1353627574800002E-3</v>
      </c>
      <c r="J3240">
        <v>3.7282424303199998E-3</v>
      </c>
      <c r="K3240">
        <v>4.3734677901700004E-3</v>
      </c>
      <c r="L3240">
        <v>4.9936545239999998E-3</v>
      </c>
      <c r="M3240">
        <v>5.5092072539999898E-3</v>
      </c>
      <c r="N3240">
        <v>5.9096423768999996E-3</v>
      </c>
      <c r="O3240">
        <v>0</v>
      </c>
      <c r="P3240">
        <v>0</v>
      </c>
      <c r="Q3240">
        <v>0</v>
      </c>
      <c r="R3240" t="s">
        <v>243</v>
      </c>
    </row>
    <row r="3241" spans="1:18" x14ac:dyDescent="0.3">
      <c r="A3241" t="s">
        <v>259</v>
      </c>
      <c r="B3241" t="s">
        <v>431</v>
      </c>
      <c r="C3241" t="s">
        <v>298</v>
      </c>
      <c r="D3241">
        <v>1.938130431E-2</v>
      </c>
      <c r="E3241">
        <v>1.1828823395E-2</v>
      </c>
      <c r="F3241">
        <v>1.0371738009999999E-2</v>
      </c>
      <c r="G3241">
        <v>5.6609252900000004E-3</v>
      </c>
      <c r="H3241">
        <v>5.2737756019999998E-3</v>
      </c>
      <c r="I3241">
        <v>3.6934802917999898E-3</v>
      </c>
      <c r="J3241">
        <v>4.3903305790500002E-3</v>
      </c>
      <c r="K3241">
        <v>5.0883366730099999E-3</v>
      </c>
      <c r="L3241">
        <v>5.7233994939999899E-3</v>
      </c>
      <c r="M3241">
        <v>6.1875569219999897E-3</v>
      </c>
      <c r="N3241">
        <v>6.5757072153999896E-3</v>
      </c>
      <c r="O3241">
        <v>0</v>
      </c>
      <c r="P3241">
        <v>0</v>
      </c>
      <c r="Q3241">
        <v>0</v>
      </c>
      <c r="R3241" t="s">
        <v>243</v>
      </c>
    </row>
    <row r="3242" spans="1:18" x14ac:dyDescent="0.3">
      <c r="A3242" t="s">
        <v>259</v>
      </c>
      <c r="B3242" t="s">
        <v>431</v>
      </c>
      <c r="C3242" t="s">
        <v>299</v>
      </c>
      <c r="D3242">
        <v>2.0291939750000001E-2</v>
      </c>
      <c r="E3242">
        <v>1.32613824679999E-2</v>
      </c>
      <c r="F3242">
        <v>1.174461806E-2</v>
      </c>
      <c r="G3242">
        <v>6.3975016599999998E-3</v>
      </c>
      <c r="H3242">
        <v>6.0690778549999996E-3</v>
      </c>
      <c r="I3242">
        <v>4.2447167311999998E-3</v>
      </c>
      <c r="J3242">
        <v>5.0359948028999898E-3</v>
      </c>
      <c r="K3242">
        <v>5.7138285342900001E-3</v>
      </c>
      <c r="L3242">
        <v>6.3389999460000002E-3</v>
      </c>
      <c r="M3242">
        <v>6.8541435139999997E-3</v>
      </c>
      <c r="N3242">
        <v>7.2018409379999999E-3</v>
      </c>
      <c r="O3242">
        <v>0</v>
      </c>
      <c r="P3242">
        <v>0</v>
      </c>
      <c r="Q3242">
        <v>0</v>
      </c>
      <c r="R3242" t="s">
        <v>243</v>
      </c>
    </row>
    <row r="3243" spans="1:18" x14ac:dyDescent="0.3">
      <c r="A3243" t="s">
        <v>259</v>
      </c>
      <c r="B3243" t="s">
        <v>431</v>
      </c>
      <c r="C3243" t="s">
        <v>300</v>
      </c>
      <c r="D3243">
        <v>2.1177502639999998E-2</v>
      </c>
      <c r="E3243">
        <v>1.46626188799999E-2</v>
      </c>
      <c r="F3243">
        <v>1.295390586E-2</v>
      </c>
      <c r="G3243">
        <v>7.2985171600000003E-3</v>
      </c>
      <c r="H3243">
        <v>6.96035307799999E-3</v>
      </c>
      <c r="I3243">
        <v>4.8719235764999999E-3</v>
      </c>
      <c r="J3243">
        <v>5.6293601434999896E-3</v>
      </c>
      <c r="K3243">
        <v>6.38877197666E-3</v>
      </c>
      <c r="L3243">
        <v>7.0407355939999996E-3</v>
      </c>
      <c r="M3243">
        <v>7.4748950660000002E-3</v>
      </c>
      <c r="N3243">
        <v>7.8052988239999902E-3</v>
      </c>
      <c r="O3243">
        <v>0</v>
      </c>
      <c r="P3243">
        <v>0</v>
      </c>
      <c r="Q3243">
        <v>0</v>
      </c>
      <c r="R3243" t="s">
        <v>243</v>
      </c>
    </row>
    <row r="3244" spans="1:18" x14ac:dyDescent="0.3">
      <c r="A3244" t="s">
        <v>259</v>
      </c>
      <c r="B3244" t="s">
        <v>431</v>
      </c>
      <c r="C3244" t="s">
        <v>301</v>
      </c>
      <c r="D3244">
        <v>2.2093249400000001E-2</v>
      </c>
      <c r="E3244">
        <v>1.6135888219999998E-2</v>
      </c>
      <c r="F3244">
        <v>1.4297321159999999E-2</v>
      </c>
      <c r="G3244">
        <v>8.3140907699999992E-3</v>
      </c>
      <c r="H3244">
        <v>7.8947858349999993E-3</v>
      </c>
      <c r="I3244">
        <v>5.6087707197E-3</v>
      </c>
      <c r="J3244">
        <v>6.4190549766999999E-3</v>
      </c>
      <c r="K3244">
        <v>7.134979996E-3</v>
      </c>
      <c r="L3244">
        <v>7.7656011079999896E-3</v>
      </c>
      <c r="M3244">
        <v>8.1681894849999891E-3</v>
      </c>
      <c r="N3244">
        <v>8.4209959829999997E-3</v>
      </c>
      <c r="O3244">
        <v>0</v>
      </c>
      <c r="P3244">
        <v>0</v>
      </c>
      <c r="Q3244">
        <v>0</v>
      </c>
      <c r="R3244" t="s">
        <v>243</v>
      </c>
    </row>
    <row r="3245" spans="1:18" x14ac:dyDescent="0.3">
      <c r="A3245" t="s">
        <v>259</v>
      </c>
      <c r="B3245" t="s">
        <v>431</v>
      </c>
      <c r="C3245" t="s">
        <v>302</v>
      </c>
      <c r="D3245">
        <v>2.3110110430000001E-2</v>
      </c>
      <c r="E3245">
        <v>1.7680680640000002E-2</v>
      </c>
      <c r="F3245">
        <v>1.6196255399999901E-2</v>
      </c>
      <c r="G3245">
        <v>9.8443937499999995E-3</v>
      </c>
      <c r="H3245">
        <v>9.1904362909999895E-3</v>
      </c>
      <c r="I3245">
        <v>6.64335628049999E-3</v>
      </c>
      <c r="J3245">
        <v>7.3895184596999997E-3</v>
      </c>
      <c r="K3245">
        <v>8.1087566767999893E-3</v>
      </c>
      <c r="L3245">
        <v>8.6607889259999894E-3</v>
      </c>
      <c r="M3245">
        <v>8.9932022919999993E-3</v>
      </c>
      <c r="N3245">
        <v>9.1359525120000007E-3</v>
      </c>
      <c r="O3245">
        <v>0</v>
      </c>
      <c r="P3245">
        <v>0</v>
      </c>
      <c r="Q3245">
        <v>0</v>
      </c>
      <c r="R3245" t="s">
        <v>243</v>
      </c>
    </row>
    <row r="3246" spans="1:18" x14ac:dyDescent="0.3">
      <c r="A3246" t="s">
        <v>259</v>
      </c>
      <c r="B3246" t="s">
        <v>431</v>
      </c>
      <c r="C3246" t="s">
        <v>303</v>
      </c>
      <c r="D3246">
        <v>2.4321138489999901E-2</v>
      </c>
      <c r="E3246">
        <v>1.9487503060000001E-2</v>
      </c>
      <c r="F3246">
        <v>1.8936023699999999E-2</v>
      </c>
      <c r="G3246">
        <v>1.253430518E-2</v>
      </c>
      <c r="H3246">
        <v>1.1555511290999999E-2</v>
      </c>
      <c r="I3246">
        <v>8.6156424789999905E-3</v>
      </c>
      <c r="J3246">
        <v>9.0520700883999893E-3</v>
      </c>
      <c r="K3246">
        <v>9.5768056236000005E-3</v>
      </c>
      <c r="L3246">
        <v>1.0007493453999899E-2</v>
      </c>
      <c r="M3246">
        <v>1.0148651692999999E-2</v>
      </c>
      <c r="N3246">
        <v>1.0149005572E-2</v>
      </c>
      <c r="O3246">
        <v>0</v>
      </c>
      <c r="P3246">
        <v>0</v>
      </c>
      <c r="Q3246">
        <v>0</v>
      </c>
      <c r="R3246" t="s">
        <v>243</v>
      </c>
    </row>
    <row r="3247" spans="1:18" x14ac:dyDescent="0.3">
      <c r="A3247" t="s">
        <v>259</v>
      </c>
      <c r="B3247" t="s">
        <v>431</v>
      </c>
      <c r="C3247" t="s">
        <v>304</v>
      </c>
      <c r="D3247">
        <v>3.4788100000000001E-3</v>
      </c>
      <c r="E3247">
        <v>4.6958299999999998E-3</v>
      </c>
      <c r="F3247">
        <v>6.7587400000000001E-3</v>
      </c>
      <c r="G3247">
        <v>6.4048300000000002E-3</v>
      </c>
      <c r="H3247">
        <v>7.6911699999999998E-3</v>
      </c>
      <c r="I3247">
        <v>5.3316919999999999E-3</v>
      </c>
      <c r="J3247">
        <v>5.6023889999999897E-3</v>
      </c>
      <c r="K3247">
        <v>6.1266339999999997E-3</v>
      </c>
      <c r="L3247">
        <v>6.5225099999999996E-3</v>
      </c>
      <c r="M3247">
        <v>6.7072499999999997E-3</v>
      </c>
      <c r="N3247">
        <v>6.8211399999999998E-3</v>
      </c>
      <c r="O3247">
        <v>0</v>
      </c>
      <c r="P3247">
        <v>0</v>
      </c>
      <c r="Q3247">
        <v>0</v>
      </c>
      <c r="R3247" t="s">
        <v>243</v>
      </c>
    </row>
    <row r="3248" spans="1:18" x14ac:dyDescent="0.3">
      <c r="A3248" t="s">
        <v>259</v>
      </c>
      <c r="B3248" t="s">
        <v>431</v>
      </c>
      <c r="C3248" t="s">
        <v>305</v>
      </c>
      <c r="D3248">
        <v>6.2860900000000003E-3</v>
      </c>
      <c r="E3248">
        <v>1.0362700000000001E-2</v>
      </c>
      <c r="F3248">
        <v>1.4902200000000001E-2</v>
      </c>
      <c r="G3248">
        <v>1.55998E-2</v>
      </c>
      <c r="H3248">
        <v>1.5369580000000001E-2</v>
      </c>
      <c r="I3248">
        <v>1.24076699999999E-2</v>
      </c>
      <c r="J3248">
        <v>1.223803E-2</v>
      </c>
      <c r="K3248">
        <v>1.2670608E-2</v>
      </c>
      <c r="L3248">
        <v>1.291803E-2</v>
      </c>
      <c r="M3248">
        <v>1.2899229999999999E-2</v>
      </c>
      <c r="N3248">
        <v>1.2828579999999999E-2</v>
      </c>
      <c r="O3248">
        <v>0</v>
      </c>
      <c r="P3248">
        <v>0</v>
      </c>
      <c r="Q3248">
        <v>0</v>
      </c>
      <c r="R3248" t="s">
        <v>243</v>
      </c>
    </row>
    <row r="3249" spans="1:18" x14ac:dyDescent="0.3">
      <c r="A3249" t="s">
        <v>259</v>
      </c>
      <c r="B3249" t="s">
        <v>431</v>
      </c>
      <c r="C3249" t="s">
        <v>306</v>
      </c>
      <c r="D3249">
        <v>4.1531299999999997E-3</v>
      </c>
      <c r="E3249">
        <v>5.9903500000000002E-3</v>
      </c>
      <c r="F3249">
        <v>8.4540699999999993E-3</v>
      </c>
      <c r="G3249">
        <v>8.4014899999999993E-3</v>
      </c>
      <c r="H3249">
        <v>8.6117199999999998E-3</v>
      </c>
      <c r="I3249">
        <v>6.7559200000000003E-3</v>
      </c>
      <c r="J3249">
        <v>6.9021159999999998E-3</v>
      </c>
      <c r="K3249">
        <v>7.3356559999999899E-3</v>
      </c>
      <c r="L3249">
        <v>7.6490199999999899E-3</v>
      </c>
      <c r="M3249">
        <v>7.8072699999999998E-3</v>
      </c>
      <c r="N3249">
        <v>7.9285299999999996E-3</v>
      </c>
      <c r="O3249">
        <v>0</v>
      </c>
      <c r="P3249">
        <v>0</v>
      </c>
      <c r="Q3249">
        <v>0</v>
      </c>
      <c r="R3249" t="s">
        <v>243</v>
      </c>
    </row>
    <row r="3250" spans="1:18" x14ac:dyDescent="0.3">
      <c r="A3250" t="s">
        <v>259</v>
      </c>
      <c r="B3250" t="s">
        <v>431</v>
      </c>
      <c r="C3250" t="s">
        <v>307</v>
      </c>
      <c r="D3250">
        <v>4.4770699999999997E-3</v>
      </c>
      <c r="E3250">
        <v>6.5677699999999997E-3</v>
      </c>
      <c r="F3250">
        <v>9.2268799999999998E-3</v>
      </c>
      <c r="G3250">
        <v>9.19384E-3</v>
      </c>
      <c r="H3250">
        <v>9.3736300000000009E-3</v>
      </c>
      <c r="I3250">
        <v>7.34871999999999E-3</v>
      </c>
      <c r="J3250">
        <v>7.4526710000000001E-3</v>
      </c>
      <c r="K3250">
        <v>7.9282659999999998E-3</v>
      </c>
      <c r="L3250">
        <v>8.2799399999999995E-3</v>
      </c>
      <c r="M3250">
        <v>8.4393000000000003E-3</v>
      </c>
      <c r="N3250">
        <v>8.5292400000000004E-3</v>
      </c>
      <c r="O3250">
        <v>0</v>
      </c>
      <c r="P3250">
        <v>0</v>
      </c>
      <c r="Q3250">
        <v>0</v>
      </c>
      <c r="R3250" t="s">
        <v>243</v>
      </c>
    </row>
    <row r="3251" spans="1:18" x14ac:dyDescent="0.3">
      <c r="A3251" t="s">
        <v>259</v>
      </c>
      <c r="B3251" t="s">
        <v>431</v>
      </c>
      <c r="C3251" t="s">
        <v>308</v>
      </c>
      <c r="D3251">
        <v>4.7199499999999997E-3</v>
      </c>
      <c r="E3251">
        <v>7.0638599999999999E-3</v>
      </c>
      <c r="F3251">
        <v>9.8331800000000004E-3</v>
      </c>
      <c r="G3251">
        <v>9.7471199999999997E-3</v>
      </c>
      <c r="H3251">
        <v>9.9270799999999996E-3</v>
      </c>
      <c r="I3251">
        <v>7.7737800000000001E-3</v>
      </c>
      <c r="J3251">
        <v>7.9371300000000006E-3</v>
      </c>
      <c r="K3251">
        <v>8.4113409999999993E-3</v>
      </c>
      <c r="L3251">
        <v>8.7463699999999998E-3</v>
      </c>
      <c r="M3251">
        <v>8.8590200000000004E-3</v>
      </c>
      <c r="N3251">
        <v>8.9405800000000001E-3</v>
      </c>
      <c r="O3251">
        <v>0</v>
      </c>
      <c r="P3251">
        <v>0</v>
      </c>
      <c r="Q3251">
        <v>0</v>
      </c>
      <c r="R3251" t="s">
        <v>243</v>
      </c>
    </row>
    <row r="3252" spans="1:18" x14ac:dyDescent="0.3">
      <c r="A3252" t="s">
        <v>259</v>
      </c>
      <c r="B3252" t="s">
        <v>431</v>
      </c>
      <c r="C3252" t="s">
        <v>309</v>
      </c>
      <c r="D3252">
        <v>4.9348700000000001E-3</v>
      </c>
      <c r="E3252">
        <v>7.4319199999999998E-3</v>
      </c>
      <c r="F3252">
        <v>1.03672E-2</v>
      </c>
      <c r="G3252">
        <v>1.02332E-2</v>
      </c>
      <c r="H3252">
        <v>1.0464599999999999E-2</v>
      </c>
      <c r="I3252">
        <v>8.1527400000000003E-3</v>
      </c>
      <c r="J3252">
        <v>8.3734429999999995E-3</v>
      </c>
      <c r="K3252">
        <v>8.8104749999999999E-3</v>
      </c>
      <c r="L3252">
        <v>9.1256600000000007E-3</v>
      </c>
      <c r="M3252">
        <v>9.2652299999999993E-3</v>
      </c>
      <c r="N3252">
        <v>9.3278200000000006E-3</v>
      </c>
      <c r="O3252">
        <v>0</v>
      </c>
      <c r="P3252">
        <v>0</v>
      </c>
      <c r="Q3252">
        <v>0</v>
      </c>
      <c r="R3252" t="s">
        <v>243</v>
      </c>
    </row>
    <row r="3253" spans="1:18" x14ac:dyDescent="0.3">
      <c r="A3253" t="s">
        <v>259</v>
      </c>
      <c r="B3253" t="s">
        <v>431</v>
      </c>
      <c r="C3253" t="s">
        <v>310</v>
      </c>
      <c r="D3253">
        <v>5.1468299999999998E-3</v>
      </c>
      <c r="E3253">
        <v>7.7948699999999998E-3</v>
      </c>
      <c r="F3253">
        <v>1.0827700000000001E-2</v>
      </c>
      <c r="G3253">
        <v>1.07902E-2</v>
      </c>
      <c r="H3253">
        <v>1.102597E-2</v>
      </c>
      <c r="I3253">
        <v>8.5905699999999901E-3</v>
      </c>
      <c r="J3253">
        <v>8.7510079999999994E-3</v>
      </c>
      <c r="K3253">
        <v>9.2269369999999993E-3</v>
      </c>
      <c r="L3253">
        <v>9.5502799999999995E-3</v>
      </c>
      <c r="M3253">
        <v>9.6421300000000005E-3</v>
      </c>
      <c r="N3253">
        <v>9.7068499999999995E-3</v>
      </c>
      <c r="O3253">
        <v>0</v>
      </c>
      <c r="P3253">
        <v>0</v>
      </c>
      <c r="Q3253">
        <v>0</v>
      </c>
      <c r="R3253" t="s">
        <v>243</v>
      </c>
    </row>
    <row r="3254" spans="1:18" x14ac:dyDescent="0.3">
      <c r="A3254" t="s">
        <v>259</v>
      </c>
      <c r="B3254" t="s">
        <v>431</v>
      </c>
      <c r="C3254" t="s">
        <v>311</v>
      </c>
      <c r="D3254">
        <v>5.3678099999999998E-3</v>
      </c>
      <c r="E3254">
        <v>8.1897099999999994E-3</v>
      </c>
      <c r="F3254">
        <v>1.13388E-2</v>
      </c>
      <c r="G3254">
        <v>1.1387100000000001E-2</v>
      </c>
      <c r="H3254">
        <v>1.15826E-2</v>
      </c>
      <c r="I3254">
        <v>9.0625700000000007E-3</v>
      </c>
      <c r="J3254">
        <v>9.2332549999999992E-3</v>
      </c>
      <c r="K3254">
        <v>9.6755479999999904E-3</v>
      </c>
      <c r="L3254">
        <v>9.9855499999999993E-3</v>
      </c>
      <c r="M3254">
        <v>1.006956E-2</v>
      </c>
      <c r="N3254">
        <v>1.010644E-2</v>
      </c>
      <c r="O3254">
        <v>0</v>
      </c>
      <c r="P3254">
        <v>0</v>
      </c>
      <c r="Q3254">
        <v>0</v>
      </c>
      <c r="R3254" t="s">
        <v>243</v>
      </c>
    </row>
    <row r="3255" spans="1:18" x14ac:dyDescent="0.3">
      <c r="A3255" t="s">
        <v>259</v>
      </c>
      <c r="B3255" t="s">
        <v>431</v>
      </c>
      <c r="C3255" t="s">
        <v>312</v>
      </c>
      <c r="D3255">
        <v>5.6141999999999997E-3</v>
      </c>
      <c r="E3255">
        <v>8.6301199999999998E-3</v>
      </c>
      <c r="F3255">
        <v>1.20789E-2</v>
      </c>
      <c r="G3255">
        <v>1.22577E-2</v>
      </c>
      <c r="H3255">
        <v>1.232085E-2</v>
      </c>
      <c r="I3255">
        <v>9.7525700000000003E-3</v>
      </c>
      <c r="J3255">
        <v>9.8045699999999899E-3</v>
      </c>
      <c r="K3255">
        <v>1.0257927E-2</v>
      </c>
      <c r="L3255">
        <v>1.053048E-2</v>
      </c>
      <c r="M3255">
        <v>1.059703E-2</v>
      </c>
      <c r="N3255">
        <v>1.059596E-2</v>
      </c>
      <c r="O3255">
        <v>0</v>
      </c>
      <c r="P3255">
        <v>0</v>
      </c>
      <c r="Q3255">
        <v>0</v>
      </c>
      <c r="R3255" t="s">
        <v>243</v>
      </c>
    </row>
    <row r="3256" spans="1:18" x14ac:dyDescent="0.3">
      <c r="A3256" t="s">
        <v>259</v>
      </c>
      <c r="B3256" t="s">
        <v>431</v>
      </c>
      <c r="C3256" t="s">
        <v>313</v>
      </c>
      <c r="D3256">
        <v>5.9081999999999997E-3</v>
      </c>
      <c r="E3256">
        <v>9.1985699999999997E-3</v>
      </c>
      <c r="F3256">
        <v>1.3237799999999999E-2</v>
      </c>
      <c r="G3256">
        <v>1.38105E-2</v>
      </c>
      <c r="H3256">
        <v>1.365418E-2</v>
      </c>
      <c r="I3256">
        <v>1.098505E-2</v>
      </c>
      <c r="J3256">
        <v>1.077649E-2</v>
      </c>
      <c r="K3256">
        <v>1.1161167E-2</v>
      </c>
      <c r="L3256">
        <v>1.1399889999999999E-2</v>
      </c>
      <c r="M3256">
        <v>1.13990599999999E-2</v>
      </c>
      <c r="N3256">
        <v>1.13625899999999E-2</v>
      </c>
      <c r="O3256">
        <v>0</v>
      </c>
      <c r="P3256">
        <v>0</v>
      </c>
      <c r="Q3256">
        <v>0</v>
      </c>
      <c r="R3256" t="s">
        <v>243</v>
      </c>
    </row>
    <row r="3257" spans="1:18" x14ac:dyDescent="0.3">
      <c r="A3257" t="s">
        <v>259</v>
      </c>
      <c r="B3257" t="s">
        <v>431</v>
      </c>
      <c r="C3257" t="s">
        <v>314</v>
      </c>
      <c r="D3257" s="8">
        <v>2.8298999999999998E-6</v>
      </c>
      <c r="E3257" s="8">
        <v>2.6616800000000002E-6</v>
      </c>
      <c r="F3257" s="8">
        <v>4.2058700000000003E-6</v>
      </c>
      <c r="G3257" s="8">
        <v>3.9373399999999998E-6</v>
      </c>
      <c r="H3257" s="8">
        <v>9.3272299999999998E-6</v>
      </c>
      <c r="I3257" s="8">
        <v>3.36135E-6</v>
      </c>
      <c r="J3257" s="8">
        <v>3.8017500000000001E-6</v>
      </c>
      <c r="K3257" s="8">
        <v>6.0308400000000002E-6</v>
      </c>
      <c r="L3257" s="8">
        <v>8.6286000000000007E-6</v>
      </c>
      <c r="M3257" s="8">
        <v>1.1331299999999999E-5</v>
      </c>
      <c r="N3257" s="8">
        <v>1.4120299999999999E-5</v>
      </c>
      <c r="O3257">
        <v>0</v>
      </c>
      <c r="P3257">
        <v>0</v>
      </c>
      <c r="Q3257">
        <v>0</v>
      </c>
      <c r="R3257" t="s">
        <v>243</v>
      </c>
    </row>
    <row r="3258" spans="1:18" x14ac:dyDescent="0.3">
      <c r="A3258" t="s">
        <v>259</v>
      </c>
      <c r="B3258" t="s">
        <v>431</v>
      </c>
      <c r="C3258" t="s">
        <v>315</v>
      </c>
      <c r="D3258" s="8">
        <v>2.43213E-5</v>
      </c>
      <c r="E3258" s="8">
        <v>5.05059E-5</v>
      </c>
      <c r="F3258" s="8">
        <v>7.2472599999999995E-5</v>
      </c>
      <c r="G3258" s="8">
        <v>7.7269900000000004E-5</v>
      </c>
      <c r="H3258" s="8">
        <v>1.26563E-4</v>
      </c>
      <c r="I3258" s="8">
        <v>7.5810700000000002E-5</v>
      </c>
      <c r="J3258" s="8">
        <v>8.5086000000000005E-5</v>
      </c>
      <c r="K3258" s="8">
        <v>1.1305400000000001E-4</v>
      </c>
      <c r="L3258" s="8">
        <v>1.4134299999999999E-4</v>
      </c>
      <c r="M3258" s="8">
        <v>1.6860700000000001E-4</v>
      </c>
      <c r="N3258" s="8">
        <v>1.9486500000000001E-4</v>
      </c>
      <c r="O3258">
        <v>0</v>
      </c>
      <c r="P3258">
        <v>0</v>
      </c>
      <c r="Q3258">
        <v>0</v>
      </c>
      <c r="R3258" t="s">
        <v>243</v>
      </c>
    </row>
    <row r="3259" spans="1:18" x14ac:dyDescent="0.3">
      <c r="A3259" t="s">
        <v>259</v>
      </c>
      <c r="B3259" t="s">
        <v>431</v>
      </c>
      <c r="C3259" t="s">
        <v>316</v>
      </c>
      <c r="D3259" s="8">
        <v>5.06045E-6</v>
      </c>
      <c r="E3259" s="8">
        <v>5.3022499999999999E-6</v>
      </c>
      <c r="F3259" s="8">
        <v>7.8711899999999994E-6</v>
      </c>
      <c r="G3259" s="8">
        <v>7.7809899999999998E-6</v>
      </c>
      <c r="H3259" s="8">
        <v>1.34586E-5</v>
      </c>
      <c r="I3259" s="8">
        <v>7.2190200000000004E-6</v>
      </c>
      <c r="J3259" s="8">
        <v>8.1605700000000007E-6</v>
      </c>
      <c r="K3259" s="8">
        <v>1.18354E-5</v>
      </c>
      <c r="L3259" s="8">
        <v>1.5886899999999999E-5</v>
      </c>
      <c r="M3259" s="8">
        <v>2.0375699999999999E-5</v>
      </c>
      <c r="N3259" s="8">
        <v>2.5317399999999999E-5</v>
      </c>
      <c r="O3259">
        <v>0</v>
      </c>
      <c r="P3259">
        <v>0</v>
      </c>
      <c r="Q3259">
        <v>0</v>
      </c>
      <c r="R3259" t="s">
        <v>243</v>
      </c>
    </row>
    <row r="3260" spans="1:18" x14ac:dyDescent="0.3">
      <c r="A3260" t="s">
        <v>259</v>
      </c>
      <c r="B3260" t="s">
        <v>431</v>
      </c>
      <c r="C3260" t="s">
        <v>317</v>
      </c>
      <c r="D3260" s="8">
        <v>6.57435E-6</v>
      </c>
      <c r="E3260" s="8">
        <v>7.3268699999999997E-6</v>
      </c>
      <c r="F3260" s="8">
        <v>1.0544600000000001E-5</v>
      </c>
      <c r="G3260" s="8">
        <v>1.02501E-5</v>
      </c>
      <c r="H3260" s="8">
        <v>1.8166099999999999E-5</v>
      </c>
      <c r="I3260" s="8">
        <v>9.6814399999999996E-6</v>
      </c>
      <c r="J3260" s="8">
        <v>1.0968800000000001E-5</v>
      </c>
      <c r="K3260" s="8">
        <v>1.6019500000000001E-5</v>
      </c>
      <c r="L3260" s="8">
        <v>2.1683199999999999E-5</v>
      </c>
      <c r="M3260" s="8">
        <v>2.7719500000000001E-5</v>
      </c>
      <c r="N3260" s="8">
        <v>3.3880000000000001E-5</v>
      </c>
      <c r="O3260">
        <v>0</v>
      </c>
      <c r="P3260">
        <v>0</v>
      </c>
      <c r="Q3260">
        <v>0</v>
      </c>
      <c r="R3260" t="s">
        <v>243</v>
      </c>
    </row>
    <row r="3261" spans="1:18" x14ac:dyDescent="0.3">
      <c r="A3261" t="s">
        <v>259</v>
      </c>
      <c r="B3261" t="s">
        <v>431</v>
      </c>
      <c r="C3261" t="s">
        <v>318</v>
      </c>
      <c r="D3261" s="8">
        <v>7.9497199999999992E-6</v>
      </c>
      <c r="E3261" s="8">
        <v>9.6733200000000008E-6</v>
      </c>
      <c r="F3261" s="8">
        <v>1.32436E-5</v>
      </c>
      <c r="G3261" s="8">
        <v>1.2425900000000001E-5</v>
      </c>
      <c r="H3261" s="8">
        <v>2.2376699999999999E-5</v>
      </c>
      <c r="I3261" s="8">
        <v>1.2188799999999999E-5</v>
      </c>
      <c r="J3261" s="8">
        <v>1.4045299999999999E-5</v>
      </c>
      <c r="K3261" s="8">
        <v>2.0230100000000001E-5</v>
      </c>
      <c r="L3261" s="8">
        <v>2.6960700000000001E-5</v>
      </c>
      <c r="M3261" s="8">
        <v>3.3685900000000002E-5</v>
      </c>
      <c r="N3261" s="8">
        <v>4.1018900000000001E-5</v>
      </c>
      <c r="O3261">
        <v>0</v>
      </c>
      <c r="P3261">
        <v>0</v>
      </c>
      <c r="Q3261">
        <v>0</v>
      </c>
      <c r="R3261" t="s">
        <v>243</v>
      </c>
    </row>
    <row r="3262" spans="1:18" x14ac:dyDescent="0.3">
      <c r="A3262" t="s">
        <v>259</v>
      </c>
      <c r="B3262" t="s">
        <v>431</v>
      </c>
      <c r="C3262" t="s">
        <v>319</v>
      </c>
      <c r="D3262" s="8">
        <v>9.3674999999999997E-6</v>
      </c>
      <c r="E3262" s="8">
        <v>1.18417E-5</v>
      </c>
      <c r="F3262" s="8">
        <v>1.613E-5</v>
      </c>
      <c r="G3262" s="8">
        <v>1.4696599999999999E-5</v>
      </c>
      <c r="H3262" s="8">
        <v>2.7221800000000001E-5</v>
      </c>
      <c r="I3262" s="8">
        <v>1.4878100000000001E-5</v>
      </c>
      <c r="J3262" s="8">
        <v>1.7368899999999999E-5</v>
      </c>
      <c r="K3262" s="8">
        <v>2.4340499999999998E-5</v>
      </c>
      <c r="L3262" s="8">
        <v>3.1977599999999997E-5</v>
      </c>
      <c r="M3262" s="8">
        <v>4.0444600000000002E-5</v>
      </c>
      <c r="N3262" s="8">
        <v>4.8835300000000003E-5</v>
      </c>
      <c r="O3262">
        <v>0</v>
      </c>
      <c r="P3262">
        <v>0</v>
      </c>
      <c r="Q3262">
        <v>0</v>
      </c>
      <c r="R3262" t="s">
        <v>243</v>
      </c>
    </row>
    <row r="3263" spans="1:18" x14ac:dyDescent="0.3">
      <c r="A3263" t="s">
        <v>259</v>
      </c>
      <c r="B3263" t="s">
        <v>431</v>
      </c>
      <c r="C3263" t="s">
        <v>320</v>
      </c>
      <c r="D3263" s="8">
        <v>1.09733E-5</v>
      </c>
      <c r="E3263" s="8">
        <v>1.4389899999999999E-5</v>
      </c>
      <c r="F3263" s="8">
        <v>1.9053299999999999E-5</v>
      </c>
      <c r="G3263" s="8">
        <v>1.7761199999999999E-5</v>
      </c>
      <c r="H3263" s="8">
        <v>3.3149199999999998E-5</v>
      </c>
      <c r="I3263" s="8">
        <v>1.8121000000000001E-5</v>
      </c>
      <c r="J3263" s="8">
        <v>2.0719700000000001E-5</v>
      </c>
      <c r="K3263" s="8">
        <v>2.9332400000000001E-5</v>
      </c>
      <c r="L3263" s="8">
        <v>3.8498499999999997E-5</v>
      </c>
      <c r="M3263" s="8">
        <v>4.7657200000000002E-5</v>
      </c>
      <c r="N3263" s="8">
        <v>5.7655899999999998E-5</v>
      </c>
      <c r="O3263">
        <v>0</v>
      </c>
      <c r="P3263">
        <v>0</v>
      </c>
      <c r="Q3263">
        <v>0</v>
      </c>
      <c r="R3263" t="s">
        <v>243</v>
      </c>
    </row>
    <row r="3264" spans="1:18" x14ac:dyDescent="0.3">
      <c r="A3264" t="s">
        <v>259</v>
      </c>
      <c r="B3264" t="s">
        <v>431</v>
      </c>
      <c r="C3264" t="s">
        <v>321</v>
      </c>
      <c r="D3264" s="8">
        <v>1.2895699999999999E-5</v>
      </c>
      <c r="E3264" s="8">
        <v>1.7692600000000001E-5</v>
      </c>
      <c r="F3264" s="8">
        <v>2.28283E-5</v>
      </c>
      <c r="G3264" s="8">
        <v>2.1662699999999998E-5</v>
      </c>
      <c r="H3264" s="8">
        <v>4.0021500000000003E-5</v>
      </c>
      <c r="I3264" s="8">
        <v>2.2350100000000001E-5</v>
      </c>
      <c r="J3264" s="8">
        <v>2.5748599999999999E-5</v>
      </c>
      <c r="K3264" s="8">
        <v>3.5596499999999997E-5</v>
      </c>
      <c r="L3264" s="8">
        <v>4.6276899999999997E-5</v>
      </c>
      <c r="M3264" s="8">
        <v>5.7130499999999998E-5</v>
      </c>
      <c r="N3264" s="8">
        <v>6.8346600000000001E-5</v>
      </c>
      <c r="O3264">
        <v>0</v>
      </c>
      <c r="P3264">
        <v>0</v>
      </c>
      <c r="Q3264">
        <v>0</v>
      </c>
      <c r="R3264" t="s">
        <v>243</v>
      </c>
    </row>
    <row r="3265" spans="1:18" x14ac:dyDescent="0.3">
      <c r="A3265" t="s">
        <v>259</v>
      </c>
      <c r="B3265" t="s">
        <v>431</v>
      </c>
      <c r="C3265" t="s">
        <v>322</v>
      </c>
      <c r="D3265" s="8">
        <v>1.5376400000000001E-5</v>
      </c>
      <c r="E3265" s="8">
        <v>2.2133600000000001E-5</v>
      </c>
      <c r="F3265" s="8">
        <v>2.94373E-5</v>
      </c>
      <c r="G3265" s="8">
        <v>2.86831E-5</v>
      </c>
      <c r="H3265" s="8">
        <v>5.08858E-5</v>
      </c>
      <c r="I3265" s="8">
        <v>2.8838300000000001E-5</v>
      </c>
      <c r="J3265" s="8">
        <v>3.2939299999999998E-5</v>
      </c>
      <c r="K3265" s="8">
        <v>4.5342100000000001E-5</v>
      </c>
      <c r="L3265" s="8">
        <v>5.7833E-5</v>
      </c>
      <c r="M3265" s="8">
        <v>7.0935500000000005E-5</v>
      </c>
      <c r="N3265" s="8">
        <v>8.3667900000000006E-5</v>
      </c>
      <c r="O3265">
        <v>0</v>
      </c>
      <c r="P3265">
        <v>0</v>
      </c>
      <c r="Q3265">
        <v>0</v>
      </c>
      <c r="R3265" t="s">
        <v>243</v>
      </c>
    </row>
    <row r="3266" spans="1:18" x14ac:dyDescent="0.3">
      <c r="A3266" t="s">
        <v>259</v>
      </c>
      <c r="B3266" t="s">
        <v>431</v>
      </c>
      <c r="C3266" t="s">
        <v>323</v>
      </c>
      <c r="D3266" s="8">
        <v>1.88636E-5</v>
      </c>
      <c r="E3266" s="8">
        <v>2.92811E-5</v>
      </c>
      <c r="F3266" s="8">
        <v>4.3127100000000003E-5</v>
      </c>
      <c r="G3266" s="8">
        <v>4.61608E-5</v>
      </c>
      <c r="H3266" s="8">
        <v>7.6864800000000003E-5</v>
      </c>
      <c r="I3266" s="8">
        <v>4.4362400000000001E-5</v>
      </c>
      <c r="J3266" s="8">
        <v>4.8944499999999999E-5</v>
      </c>
      <c r="K3266" s="8">
        <v>6.4788200000000004E-5</v>
      </c>
      <c r="L3266" s="8">
        <v>8.12611E-5</v>
      </c>
      <c r="M3266" s="8">
        <v>9.7240700000000006E-5</v>
      </c>
      <c r="N3266" s="8">
        <v>1.1340000000000001E-4</v>
      </c>
      <c r="O3266">
        <v>0</v>
      </c>
      <c r="P3266">
        <v>0</v>
      </c>
      <c r="Q3266">
        <v>0</v>
      </c>
      <c r="R326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TRN-LoadFactor-computation</vt:lpstr>
      <vt:lpstr>TRN-LoadFactor-values</vt:lpstr>
      <vt:lpstr>TRN-Modes-computation-IntAv</vt:lpstr>
      <vt:lpstr>TRN-Modes-values-IntAv</vt:lpstr>
      <vt:lpstr>TRN-Modes-computation-SW</vt:lpstr>
      <vt:lpstr>TRN-Modes-values-SW</vt:lpstr>
      <vt:lpstr>TRN-PassKM-computation</vt:lpstr>
      <vt:lpstr>TRN-PassKM-values</vt:lpstr>
      <vt:lpstr>TRN-CHECK</vt:lpstr>
      <vt:lpstr>BLD-FloorSpace-computation</vt:lpstr>
      <vt:lpstr>BLD-FloorSpace-values</vt:lpstr>
      <vt:lpstr>BLD-EnConsumption-computation</vt:lpstr>
      <vt:lpstr>BLD-EnConsumption-values</vt:lpstr>
      <vt:lpstr>BLD-RefurbishRate-computation</vt:lpstr>
      <vt:lpstr>BLD-HDD-computation</vt:lpstr>
      <vt:lpstr>BLD-HDD-values</vt:lpstr>
      <vt:lpstr>BLD-GCAMEU-FE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Clàudia Rodés</dc:creator>
  <cp:lastModifiedBy>Clàudia Rodés</cp:lastModifiedBy>
  <dcterms:created xsi:type="dcterms:W3CDTF">2025-04-23T08:01:09Z</dcterms:created>
  <dcterms:modified xsi:type="dcterms:W3CDTF">2025-04-30T10:15:37Z</dcterms:modified>
</cp:coreProperties>
</file>