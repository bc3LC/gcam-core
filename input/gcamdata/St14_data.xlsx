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.rodes\Documents\IAM_COMPACT\gcam-core-iamcompact\input\gcamdata\"/>
    </mc:Choice>
  </mc:AlternateContent>
  <xr:revisionPtr revIDLastSave="0" documentId="13_ncr:1_{96DDCCF4-B088-4221-9722-2FF43ACC93FF}" xr6:coauthVersionLast="47" xr6:coauthVersionMax="47" xr10:uidLastSave="{00000000-0000-0000-0000-000000000000}"/>
  <bookViews>
    <workbookView xWindow="-108" yWindow="-108" windowWidth="23256" windowHeight="13896" tabRatio="822" activeTab="2" xr2:uid="{BB24ACD2-C62D-45CA-BD90-8F4156D716B2}"/>
  </bookViews>
  <sheets>
    <sheet name="TRN-LoadFactor-computation" sheetId="1" r:id="rId1"/>
    <sheet name="TRN-LoadFactor-values" sheetId="2" r:id="rId2"/>
    <sheet name="TRN-Modes-computation" sheetId="4" r:id="rId3"/>
    <sheet name="TRN-Modes-values-IntAv" sheetId="6" r:id="rId4"/>
    <sheet name="TRN-Modes-values-SW" sheetId="8" r:id="rId5"/>
    <sheet name="Sheet3" sheetId="5" r:id="rId6"/>
    <sheet name="TRN-Modes-computation (2)" sheetId="7" r:id="rId7"/>
    <sheet name="BLD-FloorSpace-computation" sheetId="3" r:id="rId8"/>
  </sheets>
  <definedNames>
    <definedName name="_xlnm._FilterDatabase" localSheetId="1" hidden="1">'TRN-LoadFactor-values'!$A$1:$J$151011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0" i="4" l="1"/>
  <c r="O321" i="4"/>
  <c r="O322" i="4"/>
  <c r="O323" i="4"/>
  <c r="O324" i="4"/>
  <c r="O325" i="4"/>
  <c r="O326" i="4"/>
  <c r="O327" i="4"/>
  <c r="O305" i="4"/>
  <c r="O306" i="4"/>
  <c r="O307" i="4"/>
  <c r="O308" i="4"/>
  <c r="O309" i="4"/>
  <c r="O310" i="4"/>
  <c r="O311" i="4"/>
  <c r="O304" i="4"/>
  <c r="B1" i="6" a="1"/>
  <c r="B1" i="6" s="1"/>
  <c r="E295" i="4"/>
  <c r="E294" i="4"/>
  <c r="L248" i="4"/>
  <c r="F290" i="4" s="1"/>
  <c r="L247" i="4"/>
  <c r="F286" i="4" s="1"/>
  <c r="D291" i="4"/>
  <c r="C291" i="4"/>
  <c r="B291" i="4"/>
  <c r="B290" i="4"/>
  <c r="D287" i="4"/>
  <c r="D286" i="4"/>
  <c r="C286" i="4"/>
  <c r="C287" i="4"/>
  <c r="B287" i="4"/>
  <c r="D290" i="4"/>
  <c r="C290" i="4"/>
  <c r="P327" i="4"/>
  <c r="P326" i="4"/>
  <c r="P325" i="4"/>
  <c r="P324" i="4"/>
  <c r="P323" i="4"/>
  <c r="P322" i="4"/>
  <c r="P321" i="4"/>
  <c r="P320" i="4"/>
  <c r="P308" i="4"/>
  <c r="P307" i="4"/>
  <c r="P306" i="4"/>
  <c r="P305" i="4"/>
  <c r="P304" i="4"/>
  <c r="P309" i="4"/>
  <c r="P310" i="4"/>
  <c r="P311" i="4"/>
  <c r="K332" i="4"/>
  <c r="K331" i="4"/>
  <c r="K330" i="4"/>
  <c r="K329" i="4"/>
  <c r="K316" i="4"/>
  <c r="K315" i="4"/>
  <c r="K314" i="4"/>
  <c r="K313" i="4"/>
  <c r="C320" i="4"/>
  <c r="D320" i="4"/>
  <c r="E320" i="4"/>
  <c r="F320" i="4"/>
  <c r="G320" i="4"/>
  <c r="H320" i="4"/>
  <c r="I320" i="4"/>
  <c r="C321" i="4"/>
  <c r="D321" i="4"/>
  <c r="E321" i="4"/>
  <c r="F321" i="4"/>
  <c r="G321" i="4"/>
  <c r="H321" i="4"/>
  <c r="I321" i="4"/>
  <c r="C322" i="4"/>
  <c r="D322" i="4"/>
  <c r="E322" i="4"/>
  <c r="F322" i="4"/>
  <c r="G322" i="4"/>
  <c r="H322" i="4"/>
  <c r="I322" i="4"/>
  <c r="C323" i="4"/>
  <c r="D323" i="4"/>
  <c r="E323" i="4"/>
  <c r="F323" i="4"/>
  <c r="G323" i="4"/>
  <c r="H323" i="4"/>
  <c r="I323" i="4"/>
  <c r="C324" i="4"/>
  <c r="D324" i="4"/>
  <c r="E324" i="4"/>
  <c r="F324" i="4"/>
  <c r="G324" i="4"/>
  <c r="H324" i="4"/>
  <c r="I324" i="4"/>
  <c r="C325" i="4"/>
  <c r="D325" i="4"/>
  <c r="E325" i="4"/>
  <c r="F325" i="4"/>
  <c r="G325" i="4"/>
  <c r="H325" i="4"/>
  <c r="I325" i="4"/>
  <c r="C326" i="4"/>
  <c r="D326" i="4"/>
  <c r="E326" i="4"/>
  <c r="F326" i="4"/>
  <c r="G326" i="4"/>
  <c r="H326" i="4"/>
  <c r="I326" i="4"/>
  <c r="C327" i="4"/>
  <c r="C332" i="4" s="1"/>
  <c r="D327" i="4"/>
  <c r="D332" i="4" s="1"/>
  <c r="E327" i="4"/>
  <c r="E332" i="4" s="1"/>
  <c r="F327" i="4"/>
  <c r="F332" i="4" s="1"/>
  <c r="G327" i="4"/>
  <c r="G332" i="4" s="1"/>
  <c r="H327" i="4"/>
  <c r="H332" i="4" s="1"/>
  <c r="I327" i="4"/>
  <c r="I332" i="4" s="1"/>
  <c r="B327" i="4"/>
  <c r="B332" i="4" s="1"/>
  <c r="B326" i="4"/>
  <c r="B325" i="4"/>
  <c r="B324" i="4"/>
  <c r="B323" i="4"/>
  <c r="B322" i="4"/>
  <c r="B321" i="4"/>
  <c r="B320" i="4"/>
  <c r="C304" i="4"/>
  <c r="D304" i="4"/>
  <c r="E304" i="4"/>
  <c r="F304" i="4"/>
  <c r="G304" i="4"/>
  <c r="H304" i="4"/>
  <c r="I304" i="4"/>
  <c r="C305" i="4"/>
  <c r="D305" i="4"/>
  <c r="E305" i="4"/>
  <c r="F305" i="4"/>
  <c r="G305" i="4"/>
  <c r="H305" i="4"/>
  <c r="I305" i="4"/>
  <c r="C306" i="4"/>
  <c r="D306" i="4"/>
  <c r="E306" i="4"/>
  <c r="F306" i="4"/>
  <c r="G306" i="4"/>
  <c r="H306" i="4"/>
  <c r="I306" i="4"/>
  <c r="C307" i="4"/>
  <c r="D307" i="4"/>
  <c r="E307" i="4"/>
  <c r="F307" i="4"/>
  <c r="G307" i="4"/>
  <c r="H307" i="4"/>
  <c r="I307" i="4"/>
  <c r="C308" i="4"/>
  <c r="D308" i="4"/>
  <c r="E308" i="4"/>
  <c r="F308" i="4"/>
  <c r="G308" i="4"/>
  <c r="H308" i="4"/>
  <c r="I308" i="4"/>
  <c r="C309" i="4"/>
  <c r="D309" i="4"/>
  <c r="E309" i="4"/>
  <c r="F309" i="4"/>
  <c r="G309" i="4"/>
  <c r="H309" i="4"/>
  <c r="I309" i="4"/>
  <c r="C310" i="4"/>
  <c r="D310" i="4"/>
  <c r="E310" i="4"/>
  <c r="F310" i="4"/>
  <c r="G310" i="4"/>
  <c r="H310" i="4"/>
  <c r="I310" i="4"/>
  <c r="C311" i="4"/>
  <c r="C316" i="4" s="1"/>
  <c r="D311" i="4"/>
  <c r="D316" i="4" s="1"/>
  <c r="E311" i="4"/>
  <c r="E316" i="4" s="1"/>
  <c r="F311" i="4"/>
  <c r="F316" i="4" s="1"/>
  <c r="G311" i="4"/>
  <c r="G316" i="4" s="1"/>
  <c r="H311" i="4"/>
  <c r="H316" i="4" s="1"/>
  <c r="I311" i="4"/>
  <c r="I316" i="4" s="1"/>
  <c r="B311" i="4"/>
  <c r="B316" i="4" s="1"/>
  <c r="B310" i="4"/>
  <c r="B309" i="4"/>
  <c r="B308" i="4"/>
  <c r="B307" i="4"/>
  <c r="B306" i="4"/>
  <c r="B305" i="4"/>
  <c r="B304" i="4"/>
  <c r="D393" i="7"/>
  <c r="I397" i="7" s="1"/>
  <c r="C393" i="7"/>
  <c r="C397" i="7" s="1"/>
  <c r="D390" i="7"/>
  <c r="C390" i="7"/>
  <c r="D389" i="7"/>
  <c r="D392" i="7" s="1"/>
  <c r="I396" i="7" s="1"/>
  <c r="C389" i="7"/>
  <c r="C392" i="7" s="1"/>
  <c r="C396" i="7" s="1"/>
  <c r="D384" i="7"/>
  <c r="I384" i="7" s="1"/>
  <c r="C384" i="7"/>
  <c r="H384" i="7" s="1"/>
  <c r="B384" i="7"/>
  <c r="D383" i="7"/>
  <c r="I383" i="7" s="1"/>
  <c r="C383" i="7"/>
  <c r="H383" i="7" s="1"/>
  <c r="B383" i="7"/>
  <c r="D381" i="7"/>
  <c r="C381" i="7"/>
  <c r="B381" i="7"/>
  <c r="I381" i="7" s="1"/>
  <c r="D380" i="7"/>
  <c r="I380" i="7" s="1"/>
  <c r="C380" i="7"/>
  <c r="H380" i="7" s="1"/>
  <c r="B380" i="7"/>
  <c r="D378" i="7"/>
  <c r="I378" i="7" s="1"/>
  <c r="C378" i="7"/>
  <c r="H378" i="7" s="1"/>
  <c r="B378" i="7"/>
  <c r="I377" i="7"/>
  <c r="H377" i="7"/>
  <c r="D377" i="7"/>
  <c r="C377" i="7"/>
  <c r="B377" i="7"/>
  <c r="D375" i="7"/>
  <c r="I375" i="7" s="1"/>
  <c r="C375" i="7"/>
  <c r="H375" i="7" s="1"/>
  <c r="B375" i="7"/>
  <c r="D374" i="7"/>
  <c r="I374" i="7" s="1"/>
  <c r="C374" i="7"/>
  <c r="H374" i="7" s="1"/>
  <c r="B374" i="7"/>
  <c r="I369" i="7"/>
  <c r="H369" i="7"/>
  <c r="G369" i="7"/>
  <c r="F369" i="7"/>
  <c r="E369" i="7"/>
  <c r="D369" i="7"/>
  <c r="C369" i="7"/>
  <c r="B369" i="7"/>
  <c r="I368" i="7"/>
  <c r="H368" i="7"/>
  <c r="G368" i="7"/>
  <c r="F368" i="7"/>
  <c r="E368" i="7"/>
  <c r="D368" i="7"/>
  <c r="C368" i="7"/>
  <c r="B368" i="7"/>
  <c r="I366" i="7"/>
  <c r="H366" i="7"/>
  <c r="G366" i="7"/>
  <c r="F366" i="7"/>
  <c r="E366" i="7"/>
  <c r="D366" i="7"/>
  <c r="C366" i="7"/>
  <c r="B366" i="7"/>
  <c r="I365" i="7"/>
  <c r="H365" i="7"/>
  <c r="G365" i="7"/>
  <c r="F365" i="7"/>
  <c r="E365" i="7"/>
  <c r="D365" i="7"/>
  <c r="C365" i="7"/>
  <c r="B365" i="7"/>
  <c r="I363" i="7"/>
  <c r="H363" i="7"/>
  <c r="G363" i="7"/>
  <c r="F363" i="7"/>
  <c r="E363" i="7"/>
  <c r="D363" i="7"/>
  <c r="C363" i="7"/>
  <c r="B363" i="7"/>
  <c r="I362" i="7"/>
  <c r="H362" i="7"/>
  <c r="G362" i="7"/>
  <c r="F362" i="7"/>
  <c r="E362" i="7"/>
  <c r="D362" i="7"/>
  <c r="C362" i="7"/>
  <c r="B362" i="7"/>
  <c r="I360" i="7"/>
  <c r="H360" i="7"/>
  <c r="G360" i="7"/>
  <c r="F360" i="7"/>
  <c r="E360" i="7"/>
  <c r="D360" i="7"/>
  <c r="C360" i="7"/>
  <c r="B360" i="7"/>
  <c r="I359" i="7"/>
  <c r="H359" i="7"/>
  <c r="G359" i="7"/>
  <c r="F359" i="7"/>
  <c r="E359" i="7"/>
  <c r="D359" i="7"/>
  <c r="C359" i="7"/>
  <c r="B359" i="7"/>
  <c r="I357" i="7"/>
  <c r="H357" i="7"/>
  <c r="G357" i="7"/>
  <c r="F357" i="7"/>
  <c r="E357" i="7"/>
  <c r="D357" i="7"/>
  <c r="C357" i="7"/>
  <c r="B357" i="7"/>
  <c r="I356" i="7"/>
  <c r="H356" i="7"/>
  <c r="G356" i="7"/>
  <c r="F356" i="7"/>
  <c r="E356" i="7"/>
  <c r="D356" i="7"/>
  <c r="C356" i="7"/>
  <c r="B356" i="7"/>
  <c r="I354" i="7"/>
  <c r="H354" i="7"/>
  <c r="G354" i="7"/>
  <c r="F354" i="7"/>
  <c r="E354" i="7"/>
  <c r="D354" i="7"/>
  <c r="C354" i="7"/>
  <c r="B354" i="7"/>
  <c r="I353" i="7"/>
  <c r="H353" i="7"/>
  <c r="G353" i="7"/>
  <c r="F353" i="7"/>
  <c r="E353" i="7"/>
  <c r="D353" i="7"/>
  <c r="C353" i="7"/>
  <c r="B353" i="7"/>
  <c r="I351" i="7"/>
  <c r="H351" i="7"/>
  <c r="G351" i="7"/>
  <c r="F351" i="7"/>
  <c r="E351" i="7"/>
  <c r="D351" i="7"/>
  <c r="C351" i="7"/>
  <c r="B351" i="7"/>
  <c r="I350" i="7"/>
  <c r="H350" i="7"/>
  <c r="G350" i="7"/>
  <c r="F350" i="7"/>
  <c r="E350" i="7"/>
  <c r="D350" i="7"/>
  <c r="C350" i="7"/>
  <c r="B350" i="7"/>
  <c r="I347" i="7"/>
  <c r="H347" i="7"/>
  <c r="G347" i="7"/>
  <c r="F347" i="7"/>
  <c r="E347" i="7"/>
  <c r="D347" i="7"/>
  <c r="C347" i="7"/>
  <c r="B347" i="7"/>
  <c r="I346" i="7"/>
  <c r="H346" i="7"/>
  <c r="G346" i="7"/>
  <c r="F346" i="7"/>
  <c r="E346" i="7"/>
  <c r="D346" i="7"/>
  <c r="C346" i="7"/>
  <c r="B346" i="7"/>
  <c r="S344" i="7"/>
  <c r="R344" i="7"/>
  <c r="I344" i="7"/>
  <c r="H344" i="7"/>
  <c r="G344" i="7"/>
  <c r="Q344" i="7" s="1"/>
  <c r="F344" i="7"/>
  <c r="P344" i="7" s="1"/>
  <c r="E344" i="7"/>
  <c r="O344" i="7" s="1"/>
  <c r="D344" i="7"/>
  <c r="N344" i="7" s="1"/>
  <c r="C344" i="7"/>
  <c r="M344" i="7" s="1"/>
  <c r="B344" i="7"/>
  <c r="L344" i="7" s="1"/>
  <c r="S343" i="7"/>
  <c r="R343" i="7"/>
  <c r="I343" i="7"/>
  <c r="H343" i="7"/>
  <c r="G343" i="7"/>
  <c r="Q343" i="7" s="1"/>
  <c r="F343" i="7"/>
  <c r="P343" i="7" s="1"/>
  <c r="E343" i="7"/>
  <c r="O343" i="7" s="1"/>
  <c r="D343" i="7"/>
  <c r="N343" i="7" s="1"/>
  <c r="C343" i="7"/>
  <c r="M343" i="7" s="1"/>
  <c r="B343" i="7"/>
  <c r="L343" i="7" s="1"/>
  <c r="S341" i="7"/>
  <c r="R341" i="7"/>
  <c r="I341" i="7"/>
  <c r="H341" i="7"/>
  <c r="G341" i="7"/>
  <c r="Q341" i="7" s="1"/>
  <c r="F341" i="7"/>
  <c r="P341" i="7" s="1"/>
  <c r="E341" i="7"/>
  <c r="O341" i="7" s="1"/>
  <c r="D341" i="7"/>
  <c r="N341" i="7" s="1"/>
  <c r="C341" i="7"/>
  <c r="M341" i="7" s="1"/>
  <c r="B341" i="7"/>
  <c r="L341" i="7" s="1"/>
  <c r="S340" i="7"/>
  <c r="R340" i="7"/>
  <c r="I340" i="7"/>
  <c r="H340" i="7"/>
  <c r="G340" i="7"/>
  <c r="Q340" i="7" s="1"/>
  <c r="F340" i="7"/>
  <c r="P340" i="7" s="1"/>
  <c r="E340" i="7"/>
  <c r="O340" i="7" s="1"/>
  <c r="D340" i="7"/>
  <c r="N340" i="7" s="1"/>
  <c r="C340" i="7"/>
  <c r="M340" i="7" s="1"/>
  <c r="B340" i="7"/>
  <c r="L340" i="7" s="1"/>
  <c r="S338" i="7"/>
  <c r="R338" i="7"/>
  <c r="I338" i="7"/>
  <c r="H338" i="7"/>
  <c r="G338" i="7"/>
  <c r="Q338" i="7" s="1"/>
  <c r="F338" i="7"/>
  <c r="P338" i="7" s="1"/>
  <c r="E338" i="7"/>
  <c r="O338" i="7" s="1"/>
  <c r="D338" i="7"/>
  <c r="N338" i="7" s="1"/>
  <c r="C338" i="7"/>
  <c r="M338" i="7" s="1"/>
  <c r="B338" i="7"/>
  <c r="L338" i="7" s="1"/>
  <c r="S337" i="7"/>
  <c r="R337" i="7"/>
  <c r="I337" i="7"/>
  <c r="H337" i="7"/>
  <c r="G337" i="7"/>
  <c r="Q337" i="7" s="1"/>
  <c r="F337" i="7"/>
  <c r="P337" i="7" s="1"/>
  <c r="E337" i="7"/>
  <c r="O337" i="7" s="1"/>
  <c r="D337" i="7"/>
  <c r="N337" i="7" s="1"/>
  <c r="C337" i="7"/>
  <c r="M337" i="7" s="1"/>
  <c r="B337" i="7"/>
  <c r="L337" i="7" s="1"/>
  <c r="S335" i="7"/>
  <c r="R335" i="7"/>
  <c r="I335" i="7"/>
  <c r="H335" i="7"/>
  <c r="G335" i="7"/>
  <c r="Q335" i="7" s="1"/>
  <c r="F335" i="7"/>
  <c r="P335" i="7" s="1"/>
  <c r="E335" i="7"/>
  <c r="O335" i="7" s="1"/>
  <c r="D335" i="7"/>
  <c r="N335" i="7" s="1"/>
  <c r="C335" i="7"/>
  <c r="M335" i="7" s="1"/>
  <c r="B335" i="7"/>
  <c r="L335" i="7" s="1"/>
  <c r="S334" i="7"/>
  <c r="R334" i="7"/>
  <c r="I334" i="7"/>
  <c r="H334" i="7"/>
  <c r="G334" i="7"/>
  <c r="Q334" i="7" s="1"/>
  <c r="F334" i="7"/>
  <c r="P334" i="7" s="1"/>
  <c r="E334" i="7"/>
  <c r="O334" i="7" s="1"/>
  <c r="D334" i="7"/>
  <c r="N334" i="7" s="1"/>
  <c r="C334" i="7"/>
  <c r="M334" i="7" s="1"/>
  <c r="B334" i="7"/>
  <c r="L334" i="7" s="1"/>
  <c r="S332" i="7"/>
  <c r="R332" i="7"/>
  <c r="I332" i="7"/>
  <c r="H332" i="7"/>
  <c r="G332" i="7"/>
  <c r="Q332" i="7" s="1"/>
  <c r="F332" i="7"/>
  <c r="P332" i="7" s="1"/>
  <c r="E332" i="7"/>
  <c r="O332" i="7" s="1"/>
  <c r="D332" i="7"/>
  <c r="N332" i="7" s="1"/>
  <c r="C332" i="7"/>
  <c r="M332" i="7" s="1"/>
  <c r="B332" i="7"/>
  <c r="L332" i="7" s="1"/>
  <c r="S331" i="7"/>
  <c r="R331" i="7"/>
  <c r="I331" i="7"/>
  <c r="H331" i="7"/>
  <c r="G331" i="7"/>
  <c r="Q331" i="7" s="1"/>
  <c r="F331" i="7"/>
  <c r="P331" i="7" s="1"/>
  <c r="E331" i="7"/>
  <c r="O331" i="7" s="1"/>
  <c r="D331" i="7"/>
  <c r="N331" i="7" s="1"/>
  <c r="C331" i="7"/>
  <c r="M331" i="7" s="1"/>
  <c r="B331" i="7"/>
  <c r="L331" i="7" s="1"/>
  <c r="S329" i="7"/>
  <c r="R329" i="7"/>
  <c r="I329" i="7"/>
  <c r="H329" i="7"/>
  <c r="G329" i="7"/>
  <c r="Q329" i="7" s="1"/>
  <c r="F329" i="7"/>
  <c r="P329" i="7" s="1"/>
  <c r="E329" i="7"/>
  <c r="O329" i="7" s="1"/>
  <c r="D329" i="7"/>
  <c r="N329" i="7" s="1"/>
  <c r="C329" i="7"/>
  <c r="M329" i="7" s="1"/>
  <c r="B329" i="7"/>
  <c r="L329" i="7" s="1"/>
  <c r="S328" i="7"/>
  <c r="R328" i="7"/>
  <c r="I328" i="7"/>
  <c r="H328" i="7"/>
  <c r="G328" i="7"/>
  <c r="Q328" i="7" s="1"/>
  <c r="F328" i="7"/>
  <c r="P328" i="7" s="1"/>
  <c r="E328" i="7"/>
  <c r="O328" i="7" s="1"/>
  <c r="D328" i="7"/>
  <c r="N328" i="7" s="1"/>
  <c r="C328" i="7"/>
  <c r="M328" i="7" s="1"/>
  <c r="B328" i="7"/>
  <c r="L328" i="7" s="1"/>
  <c r="S326" i="7"/>
  <c r="R326" i="7"/>
  <c r="I326" i="7"/>
  <c r="H326" i="7"/>
  <c r="G326" i="7"/>
  <c r="Q326" i="7" s="1"/>
  <c r="F326" i="7"/>
  <c r="P326" i="7" s="1"/>
  <c r="E326" i="7"/>
  <c r="O326" i="7" s="1"/>
  <c r="D326" i="7"/>
  <c r="N326" i="7" s="1"/>
  <c r="C326" i="7"/>
  <c r="M326" i="7" s="1"/>
  <c r="B326" i="7"/>
  <c r="L326" i="7" s="1"/>
  <c r="S325" i="7"/>
  <c r="R325" i="7"/>
  <c r="I325" i="7"/>
  <c r="H325" i="7"/>
  <c r="G325" i="7"/>
  <c r="Q325" i="7" s="1"/>
  <c r="F325" i="7"/>
  <c r="P325" i="7" s="1"/>
  <c r="E325" i="7"/>
  <c r="O325" i="7" s="1"/>
  <c r="D325" i="7"/>
  <c r="N325" i="7" s="1"/>
  <c r="C325" i="7"/>
  <c r="M325" i="7" s="1"/>
  <c r="B325" i="7"/>
  <c r="L325" i="7" s="1"/>
  <c r="S323" i="7"/>
  <c r="S347" i="7" s="1"/>
  <c r="R323" i="7"/>
  <c r="R347" i="7" s="1"/>
  <c r="I323" i="7"/>
  <c r="H323" i="7"/>
  <c r="G323" i="7"/>
  <c r="Q323" i="7" s="1"/>
  <c r="F323" i="7"/>
  <c r="P323" i="7" s="1"/>
  <c r="E323" i="7"/>
  <c r="O323" i="7" s="1"/>
  <c r="D323" i="7"/>
  <c r="N323" i="7" s="1"/>
  <c r="C323" i="7"/>
  <c r="M323" i="7" s="1"/>
  <c r="B323" i="7"/>
  <c r="L323" i="7" s="1"/>
  <c r="S322" i="7"/>
  <c r="S346" i="7" s="1"/>
  <c r="R322" i="7"/>
  <c r="R346" i="7" s="1"/>
  <c r="I322" i="7"/>
  <c r="H322" i="7"/>
  <c r="G322" i="7"/>
  <c r="Q322" i="7" s="1"/>
  <c r="F322" i="7"/>
  <c r="P322" i="7" s="1"/>
  <c r="E322" i="7"/>
  <c r="O322" i="7" s="1"/>
  <c r="O346" i="7" s="1"/>
  <c r="D322" i="7"/>
  <c r="N322" i="7" s="1"/>
  <c r="N346" i="7" s="1"/>
  <c r="C322" i="7"/>
  <c r="M322" i="7" s="1"/>
  <c r="M346" i="7" s="1"/>
  <c r="B322" i="7"/>
  <c r="L322" i="7" s="1"/>
  <c r="L346" i="7" s="1"/>
  <c r="D299" i="7"/>
  <c r="D302" i="7" s="1"/>
  <c r="C299" i="7"/>
  <c r="C302" i="7" s="1"/>
  <c r="B299" i="7"/>
  <c r="D298" i="7"/>
  <c r="D301" i="7" s="1"/>
  <c r="C298" i="7"/>
  <c r="C301" i="7" s="1"/>
  <c r="B298" i="7"/>
  <c r="D291" i="7"/>
  <c r="C291" i="7"/>
  <c r="D288" i="7"/>
  <c r="C288" i="7"/>
  <c r="B288" i="7"/>
  <c r="D287" i="7"/>
  <c r="C287" i="7"/>
  <c r="B287" i="7"/>
  <c r="D286" i="7"/>
  <c r="C286" i="7"/>
  <c r="B286" i="7"/>
  <c r="D307" i="7" s="1"/>
  <c r="D310" i="7" s="1"/>
  <c r="I314" i="7" s="1"/>
  <c r="D285" i="7"/>
  <c r="D290" i="7" s="1"/>
  <c r="C285" i="7"/>
  <c r="C290" i="7" s="1"/>
  <c r="B285" i="7"/>
  <c r="D306" i="7" s="1"/>
  <c r="D309" i="7" s="1"/>
  <c r="I313" i="7" s="1"/>
  <c r="B286" i="4"/>
  <c r="D88" i="3"/>
  <c r="E88" i="3"/>
  <c r="C88" i="3"/>
  <c r="E89" i="3"/>
  <c r="D89" i="3"/>
  <c r="C89" i="3"/>
  <c r="A65" i="1" a="1"/>
  <c r="A65" i="1" s="1"/>
  <c r="B65" i="1" a="1"/>
  <c r="B65" i="1"/>
  <c r="B51" i="1" a="1"/>
  <c r="B51" i="1" s="1"/>
  <c r="A64" i="1" a="1"/>
  <c r="A64" i="1" s="1"/>
  <c r="B64" i="1" a="1"/>
  <c r="B64" i="1"/>
  <c r="A52" i="1" a="1"/>
  <c r="A52" i="1" s="1"/>
  <c r="B52" i="1" a="1"/>
  <c r="B52" i="1" s="1"/>
  <c r="A53" i="1" a="1"/>
  <c r="A53" i="1" s="1"/>
  <c r="B53" i="1" a="1"/>
  <c r="B53" i="1" s="1"/>
  <c r="A54" i="1" a="1"/>
  <c r="A54" i="1" s="1"/>
  <c r="B54" i="1" a="1"/>
  <c r="B54" i="1" s="1"/>
  <c r="A55" i="1" a="1"/>
  <c r="A55" i="1" s="1"/>
  <c r="B55" i="1" a="1"/>
  <c r="B55" i="1"/>
  <c r="A56" i="1" a="1"/>
  <c r="A56" i="1" s="1"/>
  <c r="B56" i="1" a="1"/>
  <c r="B56" i="1"/>
  <c r="A57" i="1" a="1"/>
  <c r="A57" i="1"/>
  <c r="B57" i="1" a="1"/>
  <c r="B57" i="1" s="1"/>
  <c r="A58" i="1" a="1"/>
  <c r="A58" i="1"/>
  <c r="B58" i="1" a="1"/>
  <c r="B58" i="1" s="1"/>
  <c r="A59" i="1" a="1"/>
  <c r="A59" i="1" s="1"/>
  <c r="B59" i="1" a="1"/>
  <c r="B59" i="1" s="1"/>
  <c r="A60" i="1" a="1"/>
  <c r="A60" i="1"/>
  <c r="B60" i="1" a="1"/>
  <c r="B60" i="1"/>
  <c r="A61" i="1" a="1"/>
  <c r="A61" i="1" s="1"/>
  <c r="B61" i="1" a="1"/>
  <c r="B61" i="1"/>
  <c r="A62" i="1" a="1"/>
  <c r="A62" i="1" s="1"/>
  <c r="B62" i="1" a="1"/>
  <c r="B62" i="1"/>
  <c r="A63" i="1" a="1"/>
  <c r="A63" i="1" s="1"/>
  <c r="B63" i="1" a="1"/>
  <c r="B63" i="1"/>
  <c r="A51" i="1" a="1"/>
  <c r="A51" i="1" s="1"/>
  <c r="F39" i="1"/>
  <c r="F45" i="1" s="1"/>
  <c r="G39" i="1"/>
  <c r="G45" i="1" s="1"/>
  <c r="H39" i="1"/>
  <c r="H45" i="1" s="1"/>
  <c r="C53" i="1" s="1" a="1"/>
  <c r="C53" i="1" s="1"/>
  <c r="I39" i="1"/>
  <c r="I45" i="1" s="1"/>
  <c r="J39" i="1"/>
  <c r="J45" i="1" s="1"/>
  <c r="C55" i="1" s="1" a="1"/>
  <c r="C55" i="1" s="1"/>
  <c r="K39" i="1"/>
  <c r="K45" i="1" s="1"/>
  <c r="L39" i="1"/>
  <c r="L45" i="1" s="1"/>
  <c r="C57" i="1" s="1" a="1"/>
  <c r="C57" i="1" s="1"/>
  <c r="F40" i="1"/>
  <c r="G40" i="1"/>
  <c r="G46" i="1" s="1"/>
  <c r="H40" i="1"/>
  <c r="H46" i="1" s="1"/>
  <c r="I40" i="1"/>
  <c r="I46" i="1" s="1"/>
  <c r="J40" i="1"/>
  <c r="J46" i="1" s="1"/>
  <c r="K40" i="1"/>
  <c r="L40" i="1"/>
  <c r="E40" i="1"/>
  <c r="E39" i="1"/>
  <c r="B315" i="4" l="1"/>
  <c r="B331" i="4"/>
  <c r="E290" i="4"/>
  <c r="E286" i="4"/>
  <c r="G286" i="4" s="1"/>
  <c r="H286" i="4" s="1"/>
  <c r="B313" i="4"/>
  <c r="B329" i="4"/>
  <c r="G290" i="4"/>
  <c r="H290" i="4"/>
  <c r="C329" i="4"/>
  <c r="B330" i="4"/>
  <c r="B333" i="4" s="1"/>
  <c r="K317" i="4"/>
  <c r="B314" i="4"/>
  <c r="B317" i="4" s="1"/>
  <c r="K333" i="4"/>
  <c r="D331" i="4"/>
  <c r="I330" i="4"/>
  <c r="C331" i="4"/>
  <c r="H330" i="4"/>
  <c r="I331" i="4"/>
  <c r="G330" i="4"/>
  <c r="H331" i="4"/>
  <c r="F330" i="4"/>
  <c r="C315" i="4"/>
  <c r="H314" i="4"/>
  <c r="F313" i="4"/>
  <c r="G331" i="4"/>
  <c r="E330" i="4"/>
  <c r="G314" i="4"/>
  <c r="E313" i="4"/>
  <c r="F331" i="4"/>
  <c r="D330" i="4"/>
  <c r="I329" i="4"/>
  <c r="F314" i="4"/>
  <c r="D313" i="4"/>
  <c r="E331" i="4"/>
  <c r="C330" i="4"/>
  <c r="H329" i="4"/>
  <c r="I315" i="4"/>
  <c r="E314" i="4"/>
  <c r="C313" i="4"/>
  <c r="G329" i="4"/>
  <c r="H315" i="4"/>
  <c r="D314" i="4"/>
  <c r="F329" i="4"/>
  <c r="G315" i="4"/>
  <c r="C314" i="4"/>
  <c r="E329" i="4"/>
  <c r="F315" i="4"/>
  <c r="D329" i="4"/>
  <c r="I313" i="4"/>
  <c r="E315" i="4"/>
  <c r="H313" i="4"/>
  <c r="D315" i="4"/>
  <c r="I314" i="4"/>
  <c r="G313" i="4"/>
  <c r="P346" i="7"/>
  <c r="Q346" i="7"/>
  <c r="L347" i="7"/>
  <c r="F396" i="7"/>
  <c r="D396" i="7"/>
  <c r="H396" i="7"/>
  <c r="G396" i="7"/>
  <c r="E396" i="7"/>
  <c r="N347" i="7"/>
  <c r="M347" i="7"/>
  <c r="O347" i="7"/>
  <c r="P347" i="7"/>
  <c r="H397" i="7"/>
  <c r="D397" i="7"/>
  <c r="G397" i="7"/>
  <c r="F397" i="7"/>
  <c r="E397" i="7"/>
  <c r="Q347" i="7"/>
  <c r="B290" i="7"/>
  <c r="C306" i="7"/>
  <c r="C309" i="7" s="1"/>
  <c r="C313" i="7" s="1"/>
  <c r="C307" i="7"/>
  <c r="C310" i="7" s="1"/>
  <c r="C314" i="7" s="1"/>
  <c r="H381" i="7"/>
  <c r="B291" i="7"/>
  <c r="L46" i="1"/>
  <c r="C65" i="1" s="1" a="1"/>
  <c r="C65" i="1" s="1"/>
  <c r="F46" i="1"/>
  <c r="C54" i="1" a="1"/>
  <c r="C54" i="1" s="1"/>
  <c r="C52" i="1" a="1"/>
  <c r="C52" i="1" s="1"/>
  <c r="C56" i="1" a="1"/>
  <c r="C56" i="1" s="1"/>
  <c r="C51" i="1" a="1"/>
  <c r="C51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K46" i="1"/>
  <c r="C64" i="1" s="1" a="1"/>
  <c r="C64" i="1" s="1"/>
  <c r="M285" i="4" l="1"/>
  <c r="N285" i="4"/>
  <c r="P285" i="4"/>
  <c r="L285" i="4"/>
  <c r="O285" i="4"/>
  <c r="Q285" i="4"/>
  <c r="C333" i="4"/>
  <c r="M289" i="4"/>
  <c r="N289" i="4"/>
  <c r="O289" i="4"/>
  <c r="P289" i="4"/>
  <c r="Q289" i="4"/>
  <c r="L289" i="4"/>
  <c r="A3" i="6" s="1" a="1"/>
  <c r="A3" i="6" s="1"/>
  <c r="F333" i="4"/>
  <c r="D317" i="4"/>
  <c r="H317" i="4"/>
  <c r="H333" i="4"/>
  <c r="I333" i="4"/>
  <c r="J332" i="4" s="1"/>
  <c r="G333" i="4"/>
  <c r="J331" i="4"/>
  <c r="L331" i="4" s="1"/>
  <c r="F317" i="4"/>
  <c r="E333" i="4"/>
  <c r="D333" i="4"/>
  <c r="C317" i="4"/>
  <c r="I317" i="4"/>
  <c r="E317" i="4"/>
  <c r="G317" i="4"/>
  <c r="G314" i="7"/>
  <c r="F314" i="7"/>
  <c r="H314" i="7"/>
  <c r="E314" i="7"/>
  <c r="D314" i="7"/>
  <c r="F313" i="7"/>
  <c r="G313" i="7"/>
  <c r="E313" i="7"/>
  <c r="H313" i="7"/>
  <c r="D313" i="7"/>
  <c r="C63" i="1" a="1"/>
  <c r="C63" i="1" s="1"/>
  <c r="A1" i="2" s="1" a="1"/>
  <c r="A1" i="2" s="1"/>
  <c r="A2" i="6" l="1" a="1"/>
  <c r="A2" i="6" s="1"/>
  <c r="J329" i="4"/>
  <c r="L329" i="4" s="1"/>
  <c r="S320" i="4" s="1"/>
  <c r="J330" i="4"/>
  <c r="L330" i="4" s="1"/>
  <c r="V323" i="4" s="1"/>
  <c r="W323" i="4" s="1"/>
  <c r="R322" i="4"/>
  <c r="T322" i="4"/>
  <c r="U322" i="4"/>
  <c r="V322" i="4"/>
  <c r="W322" i="4" s="1"/>
  <c r="R323" i="4"/>
  <c r="Q324" i="4"/>
  <c r="T323" i="4"/>
  <c r="T324" i="4"/>
  <c r="S322" i="4"/>
  <c r="S324" i="4"/>
  <c r="Q322" i="4"/>
  <c r="Q323" i="4"/>
  <c r="U323" i="4"/>
  <c r="L332" i="4"/>
  <c r="Q320" i="4"/>
  <c r="U320" i="4"/>
  <c r="Q321" i="4"/>
  <c r="V321" i="4"/>
  <c r="W321" i="4" s="1"/>
  <c r="T320" i="4"/>
  <c r="U321" i="4"/>
  <c r="T321" i="4"/>
  <c r="S321" i="4"/>
  <c r="V320" i="4"/>
  <c r="W320" i="4" s="1"/>
  <c r="R321" i="4"/>
  <c r="R320" i="4"/>
  <c r="S325" i="4"/>
  <c r="V325" i="4"/>
  <c r="W325" i="4" s="1"/>
  <c r="S326" i="4"/>
  <c r="T326" i="4"/>
  <c r="T325" i="4"/>
  <c r="U325" i="4"/>
  <c r="R326" i="4"/>
  <c r="V326" i="4"/>
  <c r="W326" i="4" s="1"/>
  <c r="Q325" i="4"/>
  <c r="Q326" i="4"/>
  <c r="R325" i="4"/>
  <c r="U326" i="4"/>
  <c r="J314" i="4"/>
  <c r="L314" i="4" s="1"/>
  <c r="J315" i="4"/>
  <c r="L315" i="4" s="1"/>
  <c r="J313" i="4"/>
  <c r="L313" i="4" s="1"/>
  <c r="J316" i="4"/>
  <c r="L316" i="4" s="1"/>
  <c r="J333" i="4" l="1"/>
  <c r="R324" i="4"/>
  <c r="V324" i="4"/>
  <c r="W324" i="4" s="1"/>
  <c r="U324" i="4"/>
  <c r="S323" i="4"/>
  <c r="S307" i="4"/>
  <c r="V306" i="4"/>
  <c r="W306" i="4" s="1"/>
  <c r="R306" i="4"/>
  <c r="Q307" i="4"/>
  <c r="T307" i="4"/>
  <c r="T306" i="4"/>
  <c r="R307" i="4"/>
  <c r="R308" i="4"/>
  <c r="Q306" i="4"/>
  <c r="Q308" i="4"/>
  <c r="S306" i="4"/>
  <c r="U306" i="4"/>
  <c r="S308" i="4"/>
  <c r="V308" i="4"/>
  <c r="W308" i="4" s="1"/>
  <c r="T308" i="4"/>
  <c r="V307" i="4"/>
  <c r="W307" i="4" s="1"/>
  <c r="U307" i="4"/>
  <c r="U308" i="4"/>
  <c r="S309" i="4"/>
  <c r="T309" i="4"/>
  <c r="U309" i="4"/>
  <c r="S310" i="4"/>
  <c r="T310" i="4"/>
  <c r="R310" i="4"/>
  <c r="U310" i="4"/>
  <c r="V310" i="4"/>
  <c r="W310" i="4" s="1"/>
  <c r="Q310" i="4"/>
  <c r="R309" i="4"/>
  <c r="Q309" i="4"/>
  <c r="V309" i="4"/>
  <c r="W309" i="4" s="1"/>
  <c r="R327" i="4"/>
  <c r="V327" i="4"/>
  <c r="W327" i="4" s="1"/>
  <c r="Q327" i="4"/>
  <c r="S327" i="4"/>
  <c r="T327" i="4"/>
  <c r="U327" i="4"/>
  <c r="T311" i="4"/>
  <c r="U311" i="4"/>
  <c r="V311" i="4"/>
  <c r="W311" i="4" s="1"/>
  <c r="Q311" i="4"/>
  <c r="R311" i="4"/>
  <c r="S311" i="4"/>
  <c r="V304" i="4"/>
  <c r="W304" i="4" s="1"/>
  <c r="R305" i="4"/>
  <c r="S305" i="4"/>
  <c r="T305" i="4"/>
  <c r="U305" i="4"/>
  <c r="Q305" i="4"/>
  <c r="R304" i="4"/>
  <c r="U304" i="4"/>
  <c r="V305" i="4"/>
  <c r="W305" i="4" s="1"/>
  <c r="Q304" i="4"/>
  <c r="S304" i="4"/>
  <c r="T304" i="4"/>
  <c r="J317" i="4"/>
  <c r="B10" i="8" l="1" a="1"/>
  <c r="B10" i="8" s="1"/>
  <c r="B2" i="8" a="1"/>
  <c r="B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<sst xmlns="http://schemas.openxmlformats.org/spreadsheetml/2006/main" count="2486" uniqueCount="222">
  <si>
    <t>Country</t>
  </si>
  <si>
    <t>Abreviation</t>
  </si>
  <si>
    <t>Vehicle occupancy rate</t>
  </si>
  <si>
    <t xml:space="preserve">Austria </t>
  </si>
  <si>
    <t>AT</t>
  </si>
  <si>
    <t>Average number of people per vehicle</t>
  </si>
  <si>
    <t>Belgium</t>
  </si>
  <si>
    <t>BE</t>
  </si>
  <si>
    <t>Bulgaria</t>
  </si>
  <si>
    <t>BG</t>
  </si>
  <si>
    <t>Switzerland</t>
  </si>
  <si>
    <t>CH</t>
  </si>
  <si>
    <t>Cyprus</t>
  </si>
  <si>
    <t>CY</t>
  </si>
  <si>
    <t>Czech Republic</t>
  </si>
  <si>
    <t>CZ</t>
  </si>
  <si>
    <t>Germany</t>
  </si>
  <si>
    <t>DE</t>
  </si>
  <si>
    <t>Denmark</t>
  </si>
  <si>
    <t>DK</t>
  </si>
  <si>
    <t>Estonia</t>
  </si>
  <si>
    <t>EE</t>
  </si>
  <si>
    <t>Greece</t>
  </si>
  <si>
    <t>EL</t>
  </si>
  <si>
    <t>Spain</t>
  </si>
  <si>
    <t>ES</t>
  </si>
  <si>
    <t>Finland</t>
  </si>
  <si>
    <t>FI</t>
  </si>
  <si>
    <t>France</t>
  </si>
  <si>
    <t>FR</t>
  </si>
  <si>
    <t>Croatia</t>
  </si>
  <si>
    <t>HR</t>
  </si>
  <si>
    <t>Hungary</t>
  </si>
  <si>
    <t>HU</t>
  </si>
  <si>
    <t>Ireland</t>
  </si>
  <si>
    <t>IE</t>
  </si>
  <si>
    <t>Italy</t>
  </si>
  <si>
    <t>IT</t>
  </si>
  <si>
    <t xml:space="preserve">Lithuania </t>
  </si>
  <si>
    <t>LT</t>
  </si>
  <si>
    <t>Luxembourg</t>
  </si>
  <si>
    <t>LU</t>
  </si>
  <si>
    <t>Latvia</t>
  </si>
  <si>
    <t>LV</t>
  </si>
  <si>
    <t>Malta</t>
  </si>
  <si>
    <t>MT</t>
  </si>
  <si>
    <t>Netherlands</t>
  </si>
  <si>
    <t>NL</t>
  </si>
  <si>
    <t>Norway</t>
  </si>
  <si>
    <t>NO</t>
  </si>
  <si>
    <t>Poland</t>
  </si>
  <si>
    <t>PL</t>
  </si>
  <si>
    <t>Portugal</t>
  </si>
  <si>
    <t>PT</t>
  </si>
  <si>
    <t>Romania</t>
  </si>
  <si>
    <t>RO</t>
  </si>
  <si>
    <t>Sweden</t>
  </si>
  <si>
    <t>SE</t>
  </si>
  <si>
    <t>Slovenia</t>
  </si>
  <si>
    <t>SI</t>
  </si>
  <si>
    <t>Slovakia</t>
  </si>
  <si>
    <t>SK</t>
  </si>
  <si>
    <t>United Kingdom</t>
  </si>
  <si>
    <t>UK</t>
  </si>
  <si>
    <t>EU-12</t>
  </si>
  <si>
    <t>EU-15</t>
  </si>
  <si>
    <t>GCAM_region_name</t>
  </si>
  <si>
    <t>LOAD FACTOR COMPUTATION</t>
  </si>
  <si>
    <t>1. Data to be applied</t>
  </si>
  <si>
    <t>2. Average values by GCAM region</t>
  </si>
  <si>
    <t>3. Load factor change by period</t>
  </si>
  <si>
    <t>year</t>
  </si>
  <si>
    <t>4. Reshape</t>
  </si>
  <si>
    <t>region</t>
  </si>
  <si>
    <t>changeRate</t>
  </si>
  <si>
    <t>AUSTRIA</t>
  </si>
  <si>
    <t>BELGIUM</t>
  </si>
  <si>
    <t>BULGARIA</t>
  </si>
  <si>
    <t>CROATIA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</si>
  <si>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</si>
  <si>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</si>
  <si>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</si>
  <si>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</si>
  <si>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</si>
  <si>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</si>
  <si>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</si>
  <si>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</si>
  <si>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</si>
  <si>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</si>
  <si>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</si>
  <si>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</si>
  <si>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</si>
  <si>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</si>
  <si>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</si>
  <si>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</si>
  <si>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</si>
  <si>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</si>
  <si>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</si>
  <si>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</si>
  <si>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</si>
  <si>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</si>
  <si>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</si>
  <si>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ctry</t>
  </si>
  <si>
    <t>unit</t>
  </si>
  <si>
    <t>scenario</t>
  </si>
  <si>
    <t>Units</t>
  </si>
  <si>
    <t>m2.person</t>
  </si>
  <si>
    <t>person</t>
  </si>
  <si>
    <t>bnm2</t>
  </si>
  <si>
    <t>Austria</t>
  </si>
  <si>
    <t>Lithuania</t>
  </si>
  <si>
    <t>Unit</t>
  </si>
  <si>
    <t>bn m2</t>
  </si>
  <si>
    <t>sector</t>
  </si>
  <si>
    <t>Calib_LoadFactor,date=2025-23-4T12:31:16+02:00</t>
  </si>
  <si>
    <t>trn_aviation_intl</t>
  </si>
  <si>
    <t>trn_freight</t>
  </si>
  <si>
    <t>trn_pass</t>
  </si>
  <si>
    <t>trn_shipping_intl</t>
  </si>
  <si>
    <t>mode</t>
  </si>
  <si>
    <t>International Aviation</t>
  </si>
  <si>
    <t>Domestic Ship</t>
  </si>
  <si>
    <t>Freight Rail</t>
  </si>
  <si>
    <t>trn_freight_road</t>
  </si>
  <si>
    <t>Heavy truck</t>
  </si>
  <si>
    <t>Light truck</t>
  </si>
  <si>
    <t>Medium truck</t>
  </si>
  <si>
    <t>Domestic Aviation</t>
  </si>
  <si>
    <t>HSR</t>
  </si>
  <si>
    <t>Passenger Rail</t>
  </si>
  <si>
    <t>trn_pass_road</t>
  </si>
  <si>
    <t>Bus</t>
  </si>
  <si>
    <t>trn_pass_road_LDV</t>
  </si>
  <si>
    <t>2W and 3W</t>
  </si>
  <si>
    <t>trn_pass_road_LDV_4W</t>
  </si>
  <si>
    <t>Car</t>
  </si>
  <si>
    <t>Large Car and Truck</t>
  </si>
  <si>
    <t>International Ship</t>
  </si>
  <si>
    <t>income.elasticity</t>
  </si>
  <si>
    <t>unitless</t>
  </si>
  <si>
    <t>MODES COMPUTATION</t>
  </si>
  <si>
    <t>1. Data from GCAM (LoadFactor Hscen)</t>
  </si>
  <si>
    <t>2. Data to be applied</t>
  </si>
  <si>
    <t>NMT</t>
  </si>
  <si>
    <t>trains</t>
  </si>
  <si>
    <t>road (bus + LDV)</t>
  </si>
  <si>
    <t>domestic aviation</t>
  </si>
  <si>
    <t>international aviation</t>
  </si>
  <si>
    <t>GCAM_region_ID</t>
  </si>
  <si>
    <t>Perc</t>
  </si>
  <si>
    <t>3. Average data by GCAM_region</t>
  </si>
  <si>
    <t>4. Rescale modes (not considering international aviation)</t>
  </si>
  <si>
    <t>value-rescaled</t>
  </si>
  <si>
    <t>perc</t>
  </si>
  <si>
    <t>5. Int Av income elasticity</t>
  </si>
  <si>
    <t>GCAM data</t>
  </si>
  <si>
    <t>GOAL data</t>
  </si>
  <si>
    <t>COMPUTATION</t>
  </si>
  <si>
    <t>6. Trn modes - share weights</t>
  </si>
  <si>
    <t>transport subsector share-weights</t>
  </si>
  <si>
    <t>subsector</t>
  </si>
  <si>
    <t>none</t>
  </si>
  <si>
    <t>road</t>
  </si>
  <si>
    <t>Cycle</t>
  </si>
  <si>
    <t>Walk</t>
  </si>
  <si>
    <t>LDV</t>
  </si>
  <si>
    <t>4W</t>
  </si>
  <si>
    <t>Service Output</t>
  </si>
  <si>
    <t>Income Elasticity</t>
  </si>
  <si>
    <t>Percentage</t>
  </si>
  <si>
    <t>Change rate with respect 2015</t>
  </si>
  <si>
    <t>new Service Output</t>
  </si>
  <si>
    <t>new Income Elasticity</t>
  </si>
  <si>
    <t>new Income Elasticity - extrapolation all years</t>
  </si>
  <si>
    <t>Share Weights</t>
  </si>
  <si>
    <t>Road - Bus</t>
  </si>
  <si>
    <t>Road - LDV</t>
  </si>
  <si>
    <t>NMT - Cycling</t>
  </si>
  <si>
    <t>NMT - Walking</t>
  </si>
  <si>
    <t>Train - HSR</t>
  </si>
  <si>
    <t>Train - Pass Rail</t>
  </si>
  <si>
    <t>Dom Av</t>
  </si>
  <si>
    <t>transport service output by mode</t>
  </si>
  <si>
    <t>Calib_LoadFactor2,date=2025-23-4T15:03:25+02:00</t>
  </si>
  <si>
    <t>million pass-km</t>
  </si>
  <si>
    <t>million ton-km</t>
  </si>
  <si>
    <t>Service Output - percentage</t>
  </si>
  <si>
    <t>EU-12 - Int Av</t>
  </si>
  <si>
    <t>EU-15 - Int Av</t>
  </si>
  <si>
    <t>EU-12 - Total</t>
  </si>
  <si>
    <t>EU-15 - Total</t>
  </si>
  <si>
    <t>Road - 4W</t>
  </si>
  <si>
    <t>Road - 2-3W</t>
  </si>
  <si>
    <t>Total (Pass, no Int Av)</t>
  </si>
  <si>
    <t>Road - LDV + Bus</t>
  </si>
  <si>
    <t>NMT - Cycling + Walking</t>
  </si>
  <si>
    <t>Train - HSR + Pass Rail</t>
  </si>
  <si>
    <t>road - 4W</t>
  </si>
  <si>
    <t>road - 2-3W</t>
  </si>
  <si>
    <t>road - bus</t>
  </si>
  <si>
    <t>trains - HSR</t>
  </si>
  <si>
    <t>trains - Pass Rail</t>
  </si>
  <si>
    <t>av - Dom Av</t>
  </si>
  <si>
    <t>NMT - total</t>
  </si>
  <si>
    <t>road - total</t>
  </si>
  <si>
    <t>trains - total</t>
  </si>
  <si>
    <t>av - total</t>
  </si>
  <si>
    <t>TOTAL</t>
  </si>
  <si>
    <t>Percentage 2050</t>
  </si>
  <si>
    <t>Factor computation</t>
  </si>
  <si>
    <t>Target diff</t>
  </si>
  <si>
    <t>check</t>
  </si>
  <si>
    <t>Int Av</t>
  </si>
  <si>
    <t>Total</t>
  </si>
  <si>
    <t>total</t>
  </si>
  <si>
    <t>int av</t>
  </si>
  <si>
    <t>pass km/year</t>
  </si>
  <si>
    <t>porcentual change with respect 2015</t>
  </si>
  <si>
    <t>GDP - million 1990$</t>
  </si>
  <si>
    <t>Target diff accounting for GDP</t>
  </si>
  <si>
    <t>tranSubsector</t>
  </si>
  <si>
    <t>energy.final.demand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</si>
</sst>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2424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2" fillId="0" borderId="0" xfId="0" applyFont="1" applyBorder="1"/>
    <xf numFmtId="0" fontId="0" fillId="3" borderId="0" xfId="0" applyFont="1" applyFill="1" applyBorder="1"/>
    <xf numFmtId="0" fontId="0" fillId="0" borderId="0" xfId="0" applyFont="1" applyFill="1" applyBorder="1"/>
    <xf numFmtId="0" fontId="5" fillId="0" borderId="0" xfId="0" applyFont="1"/>
    <xf numFmtId="11" fontId="0" fillId="0" borderId="0" xfId="0" applyNumberFormat="1"/>
    <xf numFmtId="0" fontId="0" fillId="0" borderId="0" xfId="0" applyFill="1"/>
    <xf numFmtId="0" fontId="0" fillId="4" borderId="0" xfId="0" applyFill="1"/>
    <xf numFmtId="0" fontId="4" fillId="0" borderId="0" xfId="0" applyFont="1"/>
    <xf numFmtId="0" fontId="8" fillId="0" borderId="0" xfId="0" applyFont="1"/>
    <xf numFmtId="0" fontId="0" fillId="0" borderId="0" xfId="0" applyNumberFormat="1"/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7" fillId="0" borderId="0" xfId="0" applyNumberFormat="1" applyFont="1" applyBorder="1"/>
    <xf numFmtId="0" fontId="1" fillId="0" borderId="0" xfId="0" applyNumberFormat="1" applyFont="1" applyBorder="1"/>
    <xf numFmtId="11" fontId="1" fillId="0" borderId="0" xfId="0" applyNumberFormat="1" applyFont="1" applyBorder="1"/>
    <xf numFmtId="11" fontId="0" fillId="0" borderId="0" xfId="0" applyNumberForma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ont="1" applyFill="1"/>
    <xf numFmtId="0" fontId="4" fillId="0" borderId="0" xfId="0" applyFont="1" applyFill="1" applyBorder="1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6" borderId="0" xfId="0" applyFill="1"/>
    <xf numFmtId="0" fontId="0" fillId="4" borderId="0" xfId="0" applyFill="1" applyBorder="1"/>
    <xf numFmtId="0" fontId="1" fillId="4" borderId="0" xfId="0" applyFont="1" applyFill="1" applyBorder="1" applyAlignment="1">
      <alignment horizontal="left" vertical="top"/>
    </xf>
    <xf numFmtId="0" fontId="7" fillId="4" borderId="0" xfId="0" applyNumberFormat="1" applyFont="1" applyFill="1" applyBorder="1"/>
    <xf numFmtId="11" fontId="1" fillId="4" borderId="0" xfId="0" applyNumberFormat="1" applyFont="1" applyFill="1" applyBorder="1"/>
    <xf numFmtId="0" fontId="1" fillId="4" borderId="0" xfId="0" applyNumberFormat="1" applyFont="1" applyFill="1" applyBorder="1"/>
    <xf numFmtId="0" fontId="0" fillId="4" borderId="0" xfId="0" applyFill="1" applyBorder="1" applyAlignment="1">
      <alignment horizontal="left"/>
    </xf>
    <xf numFmtId="11" fontId="0" fillId="4" borderId="0" xfId="0" applyNumberFormat="1" applyFill="1" applyBorder="1"/>
    <xf numFmtId="0" fontId="0" fillId="0" borderId="0" xfId="0" applyNumberFormat="1" applyBorder="1"/>
    <xf numFmtId="0" fontId="0" fillId="4" borderId="0" xfId="0" applyNumberFormat="1" applyFill="1" applyBorder="1"/>
    <xf numFmtId="0" fontId="0" fillId="5" borderId="0" xfId="0" applyNumberFormat="1" applyFill="1"/>
    <xf numFmtId="0" fontId="4" fillId="0" borderId="0" xfId="0" applyNumberFormat="1" applyFont="1"/>
    <xf numFmtId="0" fontId="5" fillId="7" borderId="0" xfId="0" applyFont="1" applyFill="1"/>
    <xf numFmtId="0" fontId="5" fillId="9" borderId="0" xfId="0" applyFont="1" applyFill="1"/>
    <xf numFmtId="0" fontId="5" fillId="9" borderId="0" xfId="0" applyFont="1" applyFill="1" applyAlignment="1">
      <alignment wrapText="1"/>
    </xf>
    <xf numFmtId="0" fontId="5" fillId="10" borderId="0" xfId="0" applyFont="1" applyFill="1"/>
    <xf numFmtId="0" fontId="9" fillId="0" borderId="0" xfId="0" applyFont="1"/>
    <xf numFmtId="0" fontId="6" fillId="8" borderId="1" xfId="0" applyFont="1" applyFill="1" applyBorder="1" applyAlignment="1">
      <alignment horizontal="center" vertical="center"/>
    </xf>
    <xf numFmtId="0" fontId="5" fillId="9" borderId="2" xfId="0" applyFont="1" applyFill="1" applyBorder="1"/>
    <xf numFmtId="0" fontId="10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BE72-D6A5-4D29-8DD5-3FC51DDDEB04}">
  <dimension ref="A1:L67"/>
  <sheetViews>
    <sheetView workbookViewId="0">
      <selection activeCell="A3" sqref="A1:XFD3"/>
    </sheetView>
  </sheetViews>
  <sheetFormatPr defaultRowHeight="14.4" x14ac:dyDescent="0.3"/>
  <cols>
    <col min="1" max="1" width="14" style="2" bestFit="1" customWidth="1"/>
    <col min="2" max="2" width="18" style="2" bestFit="1" customWidth="1"/>
    <col min="3" max="16384" width="8.88671875" style="2"/>
  </cols>
  <sheetData>
    <row r="1" spans="1:12" x14ac:dyDescent="0.3">
      <c r="A1" s="2" t="s">
        <v>67</v>
      </c>
    </row>
    <row r="3" spans="1:12" s="5" customFormat="1" x14ac:dyDescent="0.3">
      <c r="A3" s="5" t="s">
        <v>68</v>
      </c>
    </row>
    <row r="4" spans="1:12" x14ac:dyDescent="0.3">
      <c r="A4" s="1" t="s">
        <v>0</v>
      </c>
      <c r="B4" s="1" t="s">
        <v>66</v>
      </c>
      <c r="C4" s="1" t="s">
        <v>1</v>
      </c>
      <c r="D4" s="1" t="s">
        <v>2</v>
      </c>
      <c r="E4" s="1">
        <v>2015</v>
      </c>
      <c r="F4" s="1">
        <v>2020</v>
      </c>
      <c r="G4" s="1">
        <v>2025</v>
      </c>
      <c r="H4" s="1">
        <v>2030</v>
      </c>
      <c r="I4" s="1">
        <v>2035</v>
      </c>
      <c r="J4" s="1">
        <v>2040</v>
      </c>
      <c r="K4" s="1">
        <v>2045</v>
      </c>
      <c r="L4" s="1">
        <v>2050</v>
      </c>
    </row>
    <row r="5" spans="1:12" x14ac:dyDescent="0.3">
      <c r="A5" s="1" t="s">
        <v>3</v>
      </c>
      <c r="B5" s="1" t="s">
        <v>65</v>
      </c>
      <c r="C5" s="3" t="s">
        <v>4</v>
      </c>
      <c r="D5" s="1" t="s">
        <v>5</v>
      </c>
      <c r="E5" s="1">
        <v>1.54</v>
      </c>
      <c r="F5" s="1">
        <v>1.58</v>
      </c>
      <c r="G5" s="1">
        <v>1.68</v>
      </c>
      <c r="H5" s="1">
        <v>1.77</v>
      </c>
      <c r="I5" s="1">
        <v>1.87</v>
      </c>
      <c r="J5" s="1">
        <v>1.91</v>
      </c>
      <c r="K5" s="1">
        <v>1.93</v>
      </c>
      <c r="L5" s="1">
        <v>1.95</v>
      </c>
    </row>
    <row r="6" spans="1:12" x14ac:dyDescent="0.3">
      <c r="A6" s="1" t="s">
        <v>6</v>
      </c>
      <c r="B6" s="1" t="s">
        <v>65</v>
      </c>
      <c r="C6" s="3" t="s">
        <v>7</v>
      </c>
      <c r="D6" s="1" t="s">
        <v>5</v>
      </c>
      <c r="E6" s="1">
        <v>1.1599999999999999</v>
      </c>
      <c r="F6" s="1">
        <v>1.25</v>
      </c>
      <c r="G6" s="1">
        <v>1.4</v>
      </c>
      <c r="H6" s="1">
        <v>1.72</v>
      </c>
      <c r="I6" s="1">
        <v>1.82</v>
      </c>
      <c r="J6" s="1">
        <v>1.9</v>
      </c>
      <c r="K6" s="1">
        <v>1.95</v>
      </c>
      <c r="L6" s="1">
        <v>2</v>
      </c>
    </row>
    <row r="7" spans="1:12" x14ac:dyDescent="0.3">
      <c r="A7" s="4" t="s">
        <v>8</v>
      </c>
      <c r="B7" s="4" t="s">
        <v>64</v>
      </c>
      <c r="C7" s="3" t="s">
        <v>9</v>
      </c>
      <c r="D7" s="1" t="s">
        <v>5</v>
      </c>
      <c r="E7" s="1">
        <v>1.54</v>
      </c>
      <c r="F7" s="1">
        <v>1.58</v>
      </c>
      <c r="G7" s="1">
        <v>1.68</v>
      </c>
      <c r="H7" s="1">
        <v>1.77</v>
      </c>
      <c r="I7" s="1">
        <v>1.87</v>
      </c>
      <c r="J7" s="1">
        <v>1.91</v>
      </c>
      <c r="K7" s="1">
        <v>1.93</v>
      </c>
      <c r="L7" s="1">
        <v>1.95</v>
      </c>
    </row>
    <row r="8" spans="1:12" x14ac:dyDescent="0.3">
      <c r="A8" s="1" t="s">
        <v>10</v>
      </c>
      <c r="B8" s="1"/>
      <c r="C8" s="1" t="s">
        <v>11</v>
      </c>
      <c r="D8" s="1" t="s">
        <v>5</v>
      </c>
      <c r="E8" s="1">
        <v>1.54</v>
      </c>
      <c r="F8" s="1">
        <v>1.58</v>
      </c>
      <c r="G8" s="1">
        <v>1.68</v>
      </c>
      <c r="H8" s="1">
        <v>1.77</v>
      </c>
      <c r="I8" s="1">
        <v>1.87</v>
      </c>
      <c r="J8" s="1">
        <v>1.91</v>
      </c>
      <c r="K8" s="1">
        <v>1.93</v>
      </c>
      <c r="L8" s="1">
        <v>1.95</v>
      </c>
    </row>
    <row r="9" spans="1:12" x14ac:dyDescent="0.3">
      <c r="A9" s="4" t="s">
        <v>12</v>
      </c>
      <c r="B9" s="4" t="s">
        <v>64</v>
      </c>
      <c r="C9" s="3" t="s">
        <v>13</v>
      </c>
      <c r="D9" s="1" t="s">
        <v>5</v>
      </c>
      <c r="E9" s="1">
        <v>1.54</v>
      </c>
      <c r="F9" s="1">
        <v>1.58</v>
      </c>
      <c r="G9" s="1">
        <v>1.68</v>
      </c>
      <c r="H9" s="1">
        <v>1.77</v>
      </c>
      <c r="I9" s="1">
        <v>1.87</v>
      </c>
      <c r="J9" s="1">
        <v>1.91</v>
      </c>
      <c r="K9" s="1">
        <v>1.93</v>
      </c>
      <c r="L9" s="1">
        <v>1.95</v>
      </c>
    </row>
    <row r="10" spans="1:12" x14ac:dyDescent="0.3">
      <c r="A10" s="4" t="s">
        <v>14</v>
      </c>
      <c r="B10" s="4" t="s">
        <v>64</v>
      </c>
      <c r="C10" s="3" t="s">
        <v>15</v>
      </c>
      <c r="D10" s="1" t="s">
        <v>5</v>
      </c>
      <c r="E10" s="1">
        <v>1.54</v>
      </c>
      <c r="F10" s="1">
        <v>1.58</v>
      </c>
      <c r="G10" s="1">
        <v>1.68</v>
      </c>
      <c r="H10" s="1">
        <v>1.77</v>
      </c>
      <c r="I10" s="1">
        <v>1.87</v>
      </c>
      <c r="J10" s="1">
        <v>1.91</v>
      </c>
      <c r="K10" s="1">
        <v>1.93</v>
      </c>
      <c r="L10" s="1">
        <v>1.95</v>
      </c>
    </row>
    <row r="11" spans="1:12" x14ac:dyDescent="0.3">
      <c r="A11" s="1" t="s">
        <v>16</v>
      </c>
      <c r="B11" s="1" t="s">
        <v>65</v>
      </c>
      <c r="C11" s="3" t="s">
        <v>17</v>
      </c>
      <c r="D11" s="1" t="s">
        <v>5</v>
      </c>
      <c r="E11" s="1">
        <v>1.5</v>
      </c>
      <c r="F11" s="1">
        <v>1.58</v>
      </c>
      <c r="G11" s="1">
        <v>1.69</v>
      </c>
      <c r="H11" s="1">
        <v>1.8</v>
      </c>
      <c r="I11" s="1">
        <v>1.88</v>
      </c>
      <c r="J11" s="1">
        <v>1.91</v>
      </c>
      <c r="K11" s="1">
        <v>1.93</v>
      </c>
      <c r="L11" s="1">
        <v>1.95</v>
      </c>
    </row>
    <row r="12" spans="1:12" x14ac:dyDescent="0.3">
      <c r="A12" s="1" t="s">
        <v>18</v>
      </c>
      <c r="B12" s="1" t="s">
        <v>65</v>
      </c>
      <c r="C12" s="3" t="s">
        <v>19</v>
      </c>
      <c r="D12" s="1" t="s">
        <v>5</v>
      </c>
      <c r="E12" s="1">
        <v>1.49</v>
      </c>
      <c r="F12" s="1">
        <v>1.5</v>
      </c>
      <c r="G12" s="1">
        <v>1.5</v>
      </c>
      <c r="H12" s="1">
        <v>1.5</v>
      </c>
      <c r="I12" s="1">
        <v>1.58</v>
      </c>
      <c r="J12" s="1">
        <v>1.65</v>
      </c>
      <c r="K12" s="1">
        <v>1.72</v>
      </c>
      <c r="L12" s="1">
        <v>1.8</v>
      </c>
    </row>
    <row r="13" spans="1:12" x14ac:dyDescent="0.3">
      <c r="A13" s="4" t="s">
        <v>20</v>
      </c>
      <c r="B13" s="4" t="s">
        <v>64</v>
      </c>
      <c r="C13" s="3" t="s">
        <v>21</v>
      </c>
      <c r="D13" s="1" t="s">
        <v>5</v>
      </c>
      <c r="E13" s="1">
        <v>1.54</v>
      </c>
      <c r="F13" s="1">
        <v>1.58</v>
      </c>
      <c r="G13" s="1">
        <v>1.68</v>
      </c>
      <c r="H13" s="1">
        <v>1.77</v>
      </c>
      <c r="I13" s="1">
        <v>1.87</v>
      </c>
      <c r="J13" s="1">
        <v>1.91</v>
      </c>
      <c r="K13" s="1">
        <v>1.93</v>
      </c>
      <c r="L13" s="1">
        <v>1.95</v>
      </c>
    </row>
    <row r="14" spans="1:12" x14ac:dyDescent="0.3">
      <c r="A14" s="1" t="s">
        <v>22</v>
      </c>
      <c r="B14" s="1" t="s">
        <v>65</v>
      </c>
      <c r="C14" s="3" t="s">
        <v>23</v>
      </c>
      <c r="D14" s="1" t="s">
        <v>5</v>
      </c>
      <c r="E14" s="1">
        <v>2.1</v>
      </c>
      <c r="F14" s="1">
        <v>2.1</v>
      </c>
      <c r="G14" s="1">
        <v>2.1</v>
      </c>
      <c r="H14" s="1">
        <v>2.1</v>
      </c>
      <c r="I14" s="1">
        <v>2.1</v>
      </c>
      <c r="J14" s="1">
        <v>2.1</v>
      </c>
      <c r="K14" s="1">
        <v>2.1</v>
      </c>
      <c r="L14" s="1">
        <v>2.1</v>
      </c>
    </row>
    <row r="15" spans="1:12" x14ac:dyDescent="0.3">
      <c r="A15" s="1" t="s">
        <v>24</v>
      </c>
      <c r="B15" s="1" t="s">
        <v>65</v>
      </c>
      <c r="C15" s="3" t="s">
        <v>25</v>
      </c>
      <c r="D15" s="1" t="s">
        <v>5</v>
      </c>
      <c r="E15" s="1">
        <v>1.45</v>
      </c>
      <c r="F15" s="1">
        <v>1.45</v>
      </c>
      <c r="G15" s="1">
        <v>1.61</v>
      </c>
      <c r="H15" s="1">
        <v>1.72</v>
      </c>
      <c r="I15" s="1">
        <v>1.83</v>
      </c>
      <c r="J15" s="1">
        <v>1.88</v>
      </c>
      <c r="K15" s="1">
        <v>1.9</v>
      </c>
      <c r="L15" s="1">
        <v>1.9</v>
      </c>
    </row>
    <row r="16" spans="1:12" x14ac:dyDescent="0.3">
      <c r="A16" s="1" t="s">
        <v>26</v>
      </c>
      <c r="B16" s="1" t="s">
        <v>65</v>
      </c>
      <c r="C16" s="3" t="s">
        <v>27</v>
      </c>
      <c r="D16" s="1" t="s">
        <v>5</v>
      </c>
      <c r="E16" s="1">
        <v>1.54</v>
      </c>
      <c r="F16" s="1">
        <v>1.58</v>
      </c>
      <c r="G16" s="1">
        <v>1.68</v>
      </c>
      <c r="H16" s="1">
        <v>1.77</v>
      </c>
      <c r="I16" s="1">
        <v>1.87</v>
      </c>
      <c r="J16" s="1">
        <v>1.91</v>
      </c>
      <c r="K16" s="1">
        <v>1.93</v>
      </c>
      <c r="L16" s="1">
        <v>1.95</v>
      </c>
    </row>
    <row r="17" spans="1:12" x14ac:dyDescent="0.3">
      <c r="A17" s="1" t="s">
        <v>28</v>
      </c>
      <c r="B17" s="1" t="s">
        <v>65</v>
      </c>
      <c r="C17" s="3" t="s">
        <v>29</v>
      </c>
      <c r="D17" s="1" t="s">
        <v>5</v>
      </c>
      <c r="E17" s="1">
        <v>1.58</v>
      </c>
      <c r="F17" s="1">
        <v>1.69</v>
      </c>
      <c r="G17" s="1">
        <v>1.83</v>
      </c>
      <c r="H17" s="1">
        <v>1.94</v>
      </c>
      <c r="I17" s="1">
        <v>2.0099999999999998</v>
      </c>
      <c r="J17" s="1">
        <v>2.08</v>
      </c>
      <c r="K17" s="1">
        <v>2.04</v>
      </c>
      <c r="L17" s="1">
        <v>2.0299999999999998</v>
      </c>
    </row>
    <row r="18" spans="1:12" x14ac:dyDescent="0.3">
      <c r="A18" s="4" t="s">
        <v>30</v>
      </c>
      <c r="B18" s="4" t="s">
        <v>64</v>
      </c>
      <c r="C18" s="3" t="s">
        <v>31</v>
      </c>
      <c r="D18" s="1" t="s">
        <v>5</v>
      </c>
      <c r="E18" s="1">
        <v>1.54</v>
      </c>
      <c r="F18" s="1">
        <v>1.58</v>
      </c>
      <c r="G18" s="1">
        <v>1.68</v>
      </c>
      <c r="H18" s="1">
        <v>1.77</v>
      </c>
      <c r="I18" s="1">
        <v>1.87</v>
      </c>
      <c r="J18" s="1">
        <v>1.91</v>
      </c>
      <c r="K18" s="1">
        <v>1.93</v>
      </c>
      <c r="L18" s="1">
        <v>1.95</v>
      </c>
    </row>
    <row r="19" spans="1:12" x14ac:dyDescent="0.3">
      <c r="A19" s="4" t="s">
        <v>32</v>
      </c>
      <c r="B19" s="4" t="s">
        <v>64</v>
      </c>
      <c r="C19" s="3" t="s">
        <v>33</v>
      </c>
      <c r="D19" s="1" t="s">
        <v>5</v>
      </c>
      <c r="E19" s="1">
        <v>1.54</v>
      </c>
      <c r="F19" s="1">
        <v>1.58</v>
      </c>
      <c r="G19" s="1">
        <v>1.68</v>
      </c>
      <c r="H19" s="1">
        <v>1.77</v>
      </c>
      <c r="I19" s="1">
        <v>1.87</v>
      </c>
      <c r="J19" s="1">
        <v>1.91</v>
      </c>
      <c r="K19" s="1">
        <v>1.93</v>
      </c>
      <c r="L19" s="1">
        <v>1.95</v>
      </c>
    </row>
    <row r="20" spans="1:12" x14ac:dyDescent="0.3">
      <c r="A20" s="1" t="s">
        <v>34</v>
      </c>
      <c r="B20" s="1" t="s">
        <v>65</v>
      </c>
      <c r="C20" s="3" t="s">
        <v>35</v>
      </c>
      <c r="D20" s="1" t="s">
        <v>5</v>
      </c>
      <c r="E20" s="1">
        <v>1.54</v>
      </c>
      <c r="F20" s="1">
        <v>1.58</v>
      </c>
      <c r="G20" s="1">
        <v>1.68</v>
      </c>
      <c r="H20" s="1">
        <v>1.77</v>
      </c>
      <c r="I20" s="1">
        <v>1.87</v>
      </c>
      <c r="J20" s="1">
        <v>1.91</v>
      </c>
      <c r="K20" s="1">
        <v>1.93</v>
      </c>
      <c r="L20" s="1">
        <v>1.95</v>
      </c>
    </row>
    <row r="21" spans="1:12" x14ac:dyDescent="0.3">
      <c r="A21" s="1" t="s">
        <v>36</v>
      </c>
      <c r="B21" s="1" t="s">
        <v>65</v>
      </c>
      <c r="C21" s="3" t="s">
        <v>37</v>
      </c>
      <c r="D21" s="1" t="s">
        <v>5</v>
      </c>
      <c r="E21" s="1">
        <v>1.54</v>
      </c>
      <c r="F21" s="1">
        <v>1.58</v>
      </c>
      <c r="G21" s="1">
        <v>1.68</v>
      </c>
      <c r="H21" s="1">
        <v>1.77</v>
      </c>
      <c r="I21" s="1">
        <v>1.87</v>
      </c>
      <c r="J21" s="1">
        <v>1.91</v>
      </c>
      <c r="K21" s="1">
        <v>1.93</v>
      </c>
      <c r="L21" s="1">
        <v>1.95</v>
      </c>
    </row>
    <row r="22" spans="1:12" x14ac:dyDescent="0.3">
      <c r="A22" s="4" t="s">
        <v>38</v>
      </c>
      <c r="B22" s="4" t="s">
        <v>64</v>
      </c>
      <c r="C22" s="3" t="s">
        <v>39</v>
      </c>
      <c r="D22" s="1" t="s">
        <v>5</v>
      </c>
      <c r="E22" s="1">
        <v>1.65</v>
      </c>
      <c r="F22" s="1">
        <v>1.65</v>
      </c>
      <c r="G22" s="1">
        <v>1.71</v>
      </c>
      <c r="H22" s="1">
        <v>1.8</v>
      </c>
      <c r="I22" s="1">
        <v>1.86</v>
      </c>
      <c r="J22" s="1">
        <v>1.89</v>
      </c>
      <c r="K22" s="1">
        <v>1.9</v>
      </c>
      <c r="L22" s="1">
        <v>1.9</v>
      </c>
    </row>
    <row r="23" spans="1:12" x14ac:dyDescent="0.3">
      <c r="A23" s="1" t="s">
        <v>40</v>
      </c>
      <c r="B23" s="1" t="s">
        <v>65</v>
      </c>
      <c r="C23" s="3" t="s">
        <v>41</v>
      </c>
      <c r="D23" s="1" t="s">
        <v>5</v>
      </c>
      <c r="E23" s="1">
        <v>1.54</v>
      </c>
      <c r="F23" s="1">
        <v>1.58</v>
      </c>
      <c r="G23" s="1">
        <v>1.68</v>
      </c>
      <c r="H23" s="1">
        <v>1.77</v>
      </c>
      <c r="I23" s="1">
        <v>1.87</v>
      </c>
      <c r="J23" s="1">
        <v>1.91</v>
      </c>
      <c r="K23" s="1">
        <v>1.93</v>
      </c>
      <c r="L23" s="1">
        <v>1.95</v>
      </c>
    </row>
    <row r="24" spans="1:12" x14ac:dyDescent="0.3">
      <c r="A24" s="4" t="s">
        <v>42</v>
      </c>
      <c r="B24" s="4" t="s">
        <v>64</v>
      </c>
      <c r="C24" s="3" t="s">
        <v>43</v>
      </c>
      <c r="D24" s="1" t="s">
        <v>5</v>
      </c>
      <c r="E24" s="1">
        <v>1.54</v>
      </c>
      <c r="F24" s="1">
        <v>1.58</v>
      </c>
      <c r="G24" s="1">
        <v>1.68</v>
      </c>
      <c r="H24" s="1">
        <v>1.77</v>
      </c>
      <c r="I24" s="1">
        <v>1.87</v>
      </c>
      <c r="J24" s="1">
        <v>1.91</v>
      </c>
      <c r="K24" s="1">
        <v>1.93</v>
      </c>
      <c r="L24" s="1">
        <v>1.95</v>
      </c>
    </row>
    <row r="25" spans="1:12" x14ac:dyDescent="0.3">
      <c r="A25" s="4" t="s">
        <v>44</v>
      </c>
      <c r="B25" s="4" t="s">
        <v>64</v>
      </c>
      <c r="C25" s="3" t="s">
        <v>45</v>
      </c>
      <c r="D25" s="1" t="s">
        <v>5</v>
      </c>
      <c r="E25" s="1">
        <v>1.54</v>
      </c>
      <c r="F25" s="1">
        <v>1.58</v>
      </c>
      <c r="G25" s="1">
        <v>1.68</v>
      </c>
      <c r="H25" s="1">
        <v>1.77</v>
      </c>
      <c r="I25" s="1">
        <v>1.87</v>
      </c>
      <c r="J25" s="1">
        <v>1.91</v>
      </c>
      <c r="K25" s="1">
        <v>1.93</v>
      </c>
      <c r="L25" s="1">
        <v>1.95</v>
      </c>
    </row>
    <row r="26" spans="1:12" x14ac:dyDescent="0.3">
      <c r="A26" s="1" t="s">
        <v>46</v>
      </c>
      <c r="B26" s="1" t="s">
        <v>65</v>
      </c>
      <c r="C26" s="3" t="s">
        <v>47</v>
      </c>
      <c r="D26" s="1" t="s">
        <v>5</v>
      </c>
      <c r="E26" s="1">
        <v>1.54</v>
      </c>
      <c r="F26" s="1">
        <v>1.58</v>
      </c>
      <c r="G26" s="1">
        <v>1.68</v>
      </c>
      <c r="H26" s="1">
        <v>1.77</v>
      </c>
      <c r="I26" s="1">
        <v>1.87</v>
      </c>
      <c r="J26" s="1">
        <v>1.91</v>
      </c>
      <c r="K26" s="1">
        <v>1.93</v>
      </c>
      <c r="L26" s="1">
        <v>1.95</v>
      </c>
    </row>
    <row r="27" spans="1:12" x14ac:dyDescent="0.3">
      <c r="A27" s="1" t="s">
        <v>48</v>
      </c>
      <c r="B27" s="4"/>
      <c r="C27" s="1" t="s">
        <v>49</v>
      </c>
      <c r="D27" s="1" t="s">
        <v>5</v>
      </c>
      <c r="E27" s="1">
        <v>1.54</v>
      </c>
      <c r="F27" s="1">
        <v>1.58</v>
      </c>
      <c r="G27" s="1">
        <v>1.68</v>
      </c>
      <c r="H27" s="1">
        <v>1.77</v>
      </c>
      <c r="I27" s="1">
        <v>1.87</v>
      </c>
      <c r="J27" s="1">
        <v>1.91</v>
      </c>
      <c r="K27" s="1">
        <v>1.93</v>
      </c>
      <c r="L27" s="1">
        <v>1.95</v>
      </c>
    </row>
    <row r="28" spans="1:12" x14ac:dyDescent="0.3">
      <c r="A28" s="4" t="s">
        <v>50</v>
      </c>
      <c r="B28" s="4" t="s">
        <v>64</v>
      </c>
      <c r="C28" s="3" t="s">
        <v>51</v>
      </c>
      <c r="D28" s="1" t="s">
        <v>5</v>
      </c>
      <c r="E28" s="1">
        <v>1.54</v>
      </c>
      <c r="F28" s="1">
        <v>1.58</v>
      </c>
      <c r="G28" s="1">
        <v>1.68</v>
      </c>
      <c r="H28" s="1">
        <v>1.77</v>
      </c>
      <c r="I28" s="1">
        <v>1.87</v>
      </c>
      <c r="J28" s="1">
        <v>1.91</v>
      </c>
      <c r="K28" s="1">
        <v>1.93</v>
      </c>
      <c r="L28" s="1">
        <v>1.95</v>
      </c>
    </row>
    <row r="29" spans="1:12" x14ac:dyDescent="0.3">
      <c r="A29" s="1" t="s">
        <v>52</v>
      </c>
      <c r="B29" s="1" t="s">
        <v>65</v>
      </c>
      <c r="C29" s="3" t="s">
        <v>53</v>
      </c>
      <c r="D29" s="1" t="s">
        <v>5</v>
      </c>
      <c r="E29" s="1">
        <v>1.54</v>
      </c>
      <c r="F29" s="1">
        <v>1.58</v>
      </c>
      <c r="G29" s="1">
        <v>1.68</v>
      </c>
      <c r="H29" s="1">
        <v>1.77</v>
      </c>
      <c r="I29" s="1">
        <v>1.87</v>
      </c>
      <c r="J29" s="1">
        <v>1.91</v>
      </c>
      <c r="K29" s="1">
        <v>1.93</v>
      </c>
      <c r="L29" s="1">
        <v>1.95</v>
      </c>
    </row>
    <row r="30" spans="1:12" x14ac:dyDescent="0.3">
      <c r="A30" s="4" t="s">
        <v>54</v>
      </c>
      <c r="B30" s="4" t="s">
        <v>64</v>
      </c>
      <c r="C30" s="3" t="s">
        <v>55</v>
      </c>
      <c r="D30" s="1" t="s">
        <v>5</v>
      </c>
      <c r="E30" s="1">
        <v>1.54</v>
      </c>
      <c r="F30" s="1">
        <v>1.58</v>
      </c>
      <c r="G30" s="1">
        <v>1.68</v>
      </c>
      <c r="H30" s="1">
        <v>1.77</v>
      </c>
      <c r="I30" s="1">
        <v>1.87</v>
      </c>
      <c r="J30" s="1">
        <v>1.91</v>
      </c>
      <c r="K30" s="1">
        <v>1.93</v>
      </c>
      <c r="L30" s="1">
        <v>1.95</v>
      </c>
    </row>
    <row r="31" spans="1:12" x14ac:dyDescent="0.3">
      <c r="A31" s="1" t="s">
        <v>56</v>
      </c>
      <c r="B31" s="1" t="s">
        <v>65</v>
      </c>
      <c r="C31" s="3" t="s">
        <v>57</v>
      </c>
      <c r="D31" s="1" t="s">
        <v>5</v>
      </c>
      <c r="E31" s="1">
        <v>1.39</v>
      </c>
      <c r="F31" s="1">
        <v>1.41</v>
      </c>
      <c r="G31" s="1">
        <v>1.56</v>
      </c>
      <c r="H31" s="1">
        <v>1.75</v>
      </c>
      <c r="I31" s="1">
        <v>1.85</v>
      </c>
      <c r="J31" s="1">
        <v>1.9</v>
      </c>
      <c r="K31" s="1">
        <v>1.9</v>
      </c>
      <c r="L31" s="1">
        <v>1.9</v>
      </c>
    </row>
    <row r="32" spans="1:12" x14ac:dyDescent="0.3">
      <c r="A32" s="4" t="s">
        <v>58</v>
      </c>
      <c r="B32" s="4" t="s">
        <v>64</v>
      </c>
      <c r="C32" s="3" t="s">
        <v>59</v>
      </c>
      <c r="D32" s="1" t="s">
        <v>5</v>
      </c>
      <c r="E32" s="1">
        <v>1.54</v>
      </c>
      <c r="F32" s="1">
        <v>1.58</v>
      </c>
      <c r="G32" s="1">
        <v>1.68</v>
      </c>
      <c r="H32" s="1">
        <v>1.77</v>
      </c>
      <c r="I32" s="1">
        <v>1.87</v>
      </c>
      <c r="J32" s="1">
        <v>1.91</v>
      </c>
      <c r="K32" s="1">
        <v>1.93</v>
      </c>
      <c r="L32" s="1">
        <v>1.95</v>
      </c>
    </row>
    <row r="33" spans="1:12" x14ac:dyDescent="0.3">
      <c r="A33" s="4" t="s">
        <v>60</v>
      </c>
      <c r="B33" s="4" t="s">
        <v>64</v>
      </c>
      <c r="C33" s="3" t="s">
        <v>61</v>
      </c>
      <c r="D33" s="1" t="s">
        <v>5</v>
      </c>
      <c r="E33" s="1">
        <v>1.54</v>
      </c>
      <c r="F33" s="1">
        <v>1.58</v>
      </c>
      <c r="G33" s="1">
        <v>1.68</v>
      </c>
      <c r="H33" s="1">
        <v>1.77</v>
      </c>
      <c r="I33" s="1">
        <v>1.87</v>
      </c>
      <c r="J33" s="1">
        <v>1.91</v>
      </c>
      <c r="K33" s="1">
        <v>1.93</v>
      </c>
      <c r="L33" s="1">
        <v>1.95</v>
      </c>
    </row>
    <row r="34" spans="1:12" x14ac:dyDescent="0.3">
      <c r="A34" s="1" t="s">
        <v>62</v>
      </c>
      <c r="B34" s="4"/>
      <c r="C34" s="1" t="s">
        <v>63</v>
      </c>
      <c r="D34" s="1" t="s">
        <v>5</v>
      </c>
      <c r="E34" s="1">
        <v>1.54</v>
      </c>
      <c r="F34" s="1">
        <v>1.58</v>
      </c>
      <c r="G34" s="1">
        <v>1.68</v>
      </c>
      <c r="H34" s="1">
        <v>1.77</v>
      </c>
      <c r="I34" s="1">
        <v>1.87</v>
      </c>
      <c r="J34" s="1">
        <v>1.91</v>
      </c>
      <c r="K34" s="1">
        <v>1.93</v>
      </c>
      <c r="L34" s="1">
        <v>1.95</v>
      </c>
    </row>
    <row r="37" spans="1:12" s="5" customFormat="1" x14ac:dyDescent="0.3">
      <c r="A37" s="5" t="s">
        <v>69</v>
      </c>
    </row>
    <row r="38" spans="1:12" x14ac:dyDescent="0.3">
      <c r="A38" s="2" t="s">
        <v>66</v>
      </c>
      <c r="E38" s="1">
        <v>2015</v>
      </c>
      <c r="F38" s="1">
        <v>2020</v>
      </c>
      <c r="G38" s="1">
        <v>2025</v>
      </c>
      <c r="H38" s="1">
        <v>2030</v>
      </c>
      <c r="I38" s="1">
        <v>2035</v>
      </c>
      <c r="J38" s="1">
        <v>2040</v>
      </c>
      <c r="K38" s="1">
        <v>2045</v>
      </c>
      <c r="L38" s="1">
        <v>2050</v>
      </c>
    </row>
    <row r="39" spans="1:12" x14ac:dyDescent="0.3">
      <c r="A39" s="6" t="s">
        <v>64</v>
      </c>
      <c r="E39" s="2">
        <f>SUMIF($B$5:$B$34, $A$39, E5:E34)/ COUNTIF($B$5:$B$34, $A$39)</f>
        <v>1.5484615384615381</v>
      </c>
      <c r="F39" s="2">
        <f t="shared" ref="F39:L39" si="0">SUMIF($B$5:$B$34, $A$39, F5:F34)/ COUNTIF($B$5:$B$34, $A$39)</f>
        <v>1.5853846153846154</v>
      </c>
      <c r="G39" s="2">
        <f t="shared" si="0"/>
        <v>1.6823076923076921</v>
      </c>
      <c r="H39" s="2">
        <f t="shared" si="0"/>
        <v>1.7723076923076921</v>
      </c>
      <c r="I39" s="2">
        <f t="shared" si="0"/>
        <v>1.8692307692307699</v>
      </c>
      <c r="J39" s="2">
        <f t="shared" si="0"/>
        <v>1.9084615384615384</v>
      </c>
      <c r="K39" s="2">
        <f t="shared" si="0"/>
        <v>1.9276923076923076</v>
      </c>
      <c r="L39" s="2">
        <f t="shared" si="0"/>
        <v>1.9461538461538459</v>
      </c>
    </row>
    <row r="40" spans="1:12" x14ac:dyDescent="0.3">
      <c r="A40" s="6" t="s">
        <v>65</v>
      </c>
      <c r="E40" s="2">
        <f>SUMIF($B$5:$B$34, $A$40, E6:E35)/COUNTIF($B$5:$B$34, $A$40)</f>
        <v>1.5135714285714283</v>
      </c>
      <c r="F40" s="2">
        <f t="shared" ref="F40:L40" si="1">SUMIF($B$5:$B$34, $A$40, F6:F35)/COUNTIF($B$5:$B$34, $A$40)</f>
        <v>1.554285714285714</v>
      </c>
      <c r="G40" s="2">
        <f t="shared" si="1"/>
        <v>1.6549999999999998</v>
      </c>
      <c r="H40" s="2">
        <f t="shared" si="1"/>
        <v>1.7578571428571426</v>
      </c>
      <c r="I40" s="2">
        <f t="shared" si="1"/>
        <v>1.8521428571428573</v>
      </c>
      <c r="J40" s="2">
        <f t="shared" si="1"/>
        <v>1.8992857142857142</v>
      </c>
      <c r="K40" s="2">
        <f t="shared" si="1"/>
        <v>1.9199999999999997</v>
      </c>
      <c r="L40" s="2">
        <f t="shared" si="1"/>
        <v>1.9414285714285708</v>
      </c>
    </row>
    <row r="43" spans="1:12" s="5" customFormat="1" x14ac:dyDescent="0.3">
      <c r="A43" s="5" t="s">
        <v>70</v>
      </c>
    </row>
    <row r="44" spans="1:12" x14ac:dyDescent="0.3">
      <c r="A44" s="2" t="s">
        <v>66</v>
      </c>
      <c r="E44" s="1">
        <v>2015</v>
      </c>
      <c r="F44" s="1">
        <v>2020</v>
      </c>
      <c r="G44" s="1">
        <v>2025</v>
      </c>
      <c r="H44" s="1">
        <v>2030</v>
      </c>
      <c r="I44" s="1">
        <v>2035</v>
      </c>
      <c r="J44" s="1">
        <v>2040</v>
      </c>
      <c r="K44" s="1">
        <v>2045</v>
      </c>
      <c r="L44" s="1">
        <v>2050</v>
      </c>
    </row>
    <row r="45" spans="1:12" x14ac:dyDescent="0.3">
      <c r="A45" s="6" t="s">
        <v>64</v>
      </c>
      <c r="E45" s="2">
        <v>1</v>
      </c>
      <c r="F45" s="2">
        <f>100*(F39-E39)/E39</f>
        <v>2.3845007451565063</v>
      </c>
      <c r="G45" s="2">
        <f t="shared" ref="G45:L45" si="2">100*(G39-F39)/F39</f>
        <v>6.1135371179039142</v>
      </c>
      <c r="H45" s="2">
        <f t="shared" si="2"/>
        <v>5.349794238683133</v>
      </c>
      <c r="I45" s="2">
        <f t="shared" si="2"/>
        <v>5.4687500000000488</v>
      </c>
      <c r="J45" s="2">
        <f t="shared" si="2"/>
        <v>2.0987654320987263</v>
      </c>
      <c r="K45" s="2">
        <f t="shared" si="2"/>
        <v>1.0076582023377634</v>
      </c>
      <c r="L45" s="2">
        <f t="shared" si="2"/>
        <v>0.95770151636072631</v>
      </c>
    </row>
    <row r="46" spans="1:12" x14ac:dyDescent="0.3">
      <c r="A46" s="6" t="s">
        <v>65</v>
      </c>
      <c r="E46" s="2">
        <v>1</v>
      </c>
      <c r="F46" s="2">
        <f>100*(F40-E40)/E40</f>
        <v>2.6899480887210947</v>
      </c>
      <c r="G46" s="2">
        <f t="shared" ref="G46:L46" si="3">100*(G40-F40)/F40</f>
        <v>6.4797794117647101</v>
      </c>
      <c r="H46" s="2">
        <f>100*(H40-G40)/G40</f>
        <v>6.2149331031506208</v>
      </c>
      <c r="I46" s="2">
        <f t="shared" si="3"/>
        <v>5.363673303535176</v>
      </c>
      <c r="J46" s="2">
        <f t="shared" si="3"/>
        <v>2.5453143077516271</v>
      </c>
      <c r="K46" s="2">
        <f t="shared" si="3"/>
        <v>1.0906355772846803</v>
      </c>
      <c r="L46" s="2">
        <f t="shared" si="3"/>
        <v>1.1160714285714133</v>
      </c>
    </row>
    <row r="49" spans="1:12" s="5" customFormat="1" x14ac:dyDescent="0.3">
      <c r="A49" s="5" t="s">
        <v>72</v>
      </c>
    </row>
    <row r="50" spans="1:12" x14ac:dyDescent="0.3">
      <c r="A50" s="2" t="s">
        <v>73</v>
      </c>
      <c r="B50" s="2" t="s">
        <v>71</v>
      </c>
      <c r="C50" s="2" t="s">
        <v>74</v>
      </c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6" t="str" cm="1">
        <f t="array" ref="A51">INDEX($A$45:$A$46, INT((ROW()-ROW($A$50))/8)+1)</f>
        <v>EU-12</v>
      </c>
      <c r="B51" s="2" cm="1">
        <f t="array" ref="B51">INDEX($E$44:L$44, MOD(ROW()-ROW($B$50), 8)+1)</f>
        <v>2020</v>
      </c>
      <c r="C51" s="2" cm="1">
        <f t="array" ref="C51">INDEX($E$45:$L$46, INT((ROW()-ROW($C$50))/8)+1, MOD(ROW()-ROW($C$50), 8)+1)</f>
        <v>2.3845007451565063</v>
      </c>
    </row>
    <row r="52" spans="1:12" x14ac:dyDescent="0.3">
      <c r="A52" s="6" t="str" cm="1">
        <f t="array" ref="A52">INDEX($A$45:$A$46, INT((ROW()-ROW($A$50))/8)+1)</f>
        <v>EU-12</v>
      </c>
      <c r="B52" s="2" cm="1">
        <f t="array" ref="B52">INDEX($E$44:L$44, MOD(ROW()-ROW($B$50), 8)+1)</f>
        <v>2025</v>
      </c>
      <c r="C52" s="2" cm="1">
        <f t="array" ref="C52">INDEX($E$45:$L$46, INT((ROW()-ROW($C$50))/8)+1, MOD(ROW()-ROW($C$50), 8)+1)</f>
        <v>6.1135371179039142</v>
      </c>
    </row>
    <row r="53" spans="1:12" x14ac:dyDescent="0.3">
      <c r="A53" s="6" t="str" cm="1">
        <f t="array" ref="A53">INDEX($A$45:$A$46, INT((ROW()-ROW($A$50))/8)+1)</f>
        <v>EU-12</v>
      </c>
      <c r="B53" s="2" cm="1">
        <f t="array" ref="B53">INDEX($E$44:L$44, MOD(ROW()-ROW($B$50), 8)+1)</f>
        <v>2030</v>
      </c>
      <c r="C53" s="2" cm="1">
        <f t="array" ref="C53">INDEX($E$45:$L$46, INT((ROW()-ROW($C$50))/8)+1, MOD(ROW()-ROW($C$50), 8)+1)</f>
        <v>5.349794238683133</v>
      </c>
    </row>
    <row r="54" spans="1:12" x14ac:dyDescent="0.3">
      <c r="A54" s="6" t="str" cm="1">
        <f t="array" ref="A54">INDEX($A$45:$A$46, INT((ROW()-ROW($A$50))/8)+1)</f>
        <v>EU-12</v>
      </c>
      <c r="B54" s="2" cm="1">
        <f t="array" ref="B54">INDEX($E$44:L$44, MOD(ROW()-ROW($B$50), 8)+1)</f>
        <v>2035</v>
      </c>
      <c r="C54" s="2" cm="1">
        <f t="array" ref="C54">INDEX($E$45:$L$46, INT((ROW()-ROW($C$50))/8)+1, MOD(ROW()-ROW($C$50), 8)+1)</f>
        <v>5.4687500000000488</v>
      </c>
    </row>
    <row r="55" spans="1:12" x14ac:dyDescent="0.3">
      <c r="A55" s="6" t="str" cm="1">
        <f t="array" ref="A55">INDEX($A$45:$A$46, INT((ROW()-ROW($A$50))/8)+1)</f>
        <v>EU-12</v>
      </c>
      <c r="B55" s="2" cm="1">
        <f t="array" ref="B55">INDEX($E$44:L$44, MOD(ROW()-ROW($B$50), 8)+1)</f>
        <v>2040</v>
      </c>
      <c r="C55" s="2" cm="1">
        <f t="array" ref="C55">INDEX($E$45:$L$46, INT((ROW()-ROW($C$50))/8)+1, MOD(ROW()-ROW($C$50), 8)+1)</f>
        <v>2.0987654320987263</v>
      </c>
    </row>
    <row r="56" spans="1:12" x14ac:dyDescent="0.3">
      <c r="A56" s="6" t="str" cm="1">
        <f t="array" ref="A56">INDEX($A$45:$A$46, INT((ROW()-ROW($A$50))/8)+1)</f>
        <v>EU-12</v>
      </c>
      <c r="B56" s="2" cm="1">
        <f t="array" ref="B56">INDEX($E$44:L$44, MOD(ROW()-ROW($B$50), 8)+1)</f>
        <v>2045</v>
      </c>
      <c r="C56" s="2" cm="1">
        <f t="array" ref="C56">INDEX($E$45:$L$46, INT((ROW()-ROW($C$50))/8)+1, MOD(ROW()-ROW($C$50), 8)+1)</f>
        <v>1.0076582023377634</v>
      </c>
    </row>
    <row r="57" spans="1:12" x14ac:dyDescent="0.3">
      <c r="A57" s="6" t="str" cm="1">
        <f t="array" ref="A57">INDEX($A$45:$A$46, INT((ROW()-ROW($A$50))/8)+1)</f>
        <v>EU-12</v>
      </c>
      <c r="B57" s="2" cm="1">
        <f t="array" ref="B57">INDEX($E$44:L$44, MOD(ROW()-ROW($B$50), 8)+1)</f>
        <v>2050</v>
      </c>
      <c r="C57" s="2" cm="1">
        <f t="array" ref="C57">INDEX($E$45:$L$46, INT((ROW()-ROW($C$50))/8)+1, MOD(ROW()-ROW($C$50), 8)+1)</f>
        <v>0.95770151636072631</v>
      </c>
    </row>
    <row r="58" spans="1:12" x14ac:dyDescent="0.3">
      <c r="A58" s="6" t="str" cm="1">
        <f t="array" ref="A58">INDEX($A$45:$A$46, INT((ROW()-ROW($A$50))/8)+1)</f>
        <v>EU-15</v>
      </c>
      <c r="B58" s="2" cm="1">
        <f t="array" ref="B58">INDEX($E$44:L$44, MOD(ROW()-ROW($B$50), 8)+1)</f>
        <v>2015</v>
      </c>
      <c r="C58" s="2" cm="1">
        <f t="array" ref="C58">INDEX($E$45:$L$46, INT((ROW()-ROW($C$50))/8)+1, MOD(ROW()-ROW($C$50), 8)+1)</f>
        <v>1</v>
      </c>
    </row>
    <row r="59" spans="1:12" x14ac:dyDescent="0.3">
      <c r="A59" s="6" t="str" cm="1">
        <f t="array" ref="A59">INDEX($A$45:$A$46, INT((ROW()-ROW($A$50))/8)+1)</f>
        <v>EU-15</v>
      </c>
      <c r="B59" s="2" cm="1">
        <f t="array" ref="B59">INDEX($E$44:L$44, MOD(ROW()-ROW($B$50), 8)+1)</f>
        <v>2020</v>
      </c>
      <c r="C59" s="2" cm="1">
        <f t="array" ref="C59">INDEX($E$45:$L$46, INT((ROW()-ROW($C$50))/8)+1, MOD(ROW()-ROW($C$50), 8)+1)</f>
        <v>2.6899480887210947</v>
      </c>
    </row>
    <row r="60" spans="1:12" x14ac:dyDescent="0.3">
      <c r="A60" s="6" t="str" cm="1">
        <f t="array" ref="A60">INDEX($A$45:$A$46, INT((ROW()-ROW($A$50))/8)+1)</f>
        <v>EU-15</v>
      </c>
      <c r="B60" s="2" cm="1">
        <f t="array" ref="B60">INDEX($E$44:L$44, MOD(ROW()-ROW($B$50), 8)+1)</f>
        <v>2025</v>
      </c>
      <c r="C60" s="2" cm="1">
        <f t="array" ref="C60">INDEX($E$45:$L$46, INT((ROW()-ROW($C$50))/8)+1, MOD(ROW()-ROW($C$50), 8)+1)</f>
        <v>6.4797794117647101</v>
      </c>
    </row>
    <row r="61" spans="1:12" x14ac:dyDescent="0.3">
      <c r="A61" s="6" t="str" cm="1">
        <f t="array" ref="A61">INDEX($A$45:$A$46, INT((ROW()-ROW($A$50))/8)+1)</f>
        <v>EU-15</v>
      </c>
      <c r="B61" s="2" cm="1">
        <f t="array" ref="B61">INDEX($E$44:L$44, MOD(ROW()-ROW($B$50), 8)+1)</f>
        <v>2030</v>
      </c>
      <c r="C61" s="2" cm="1">
        <f t="array" ref="C61">INDEX($E$45:$L$46, INT((ROW()-ROW($C$50))/8)+1, MOD(ROW()-ROW($C$50), 8)+1)</f>
        <v>6.2149331031506208</v>
      </c>
    </row>
    <row r="62" spans="1:12" x14ac:dyDescent="0.3">
      <c r="A62" s="6" t="str" cm="1">
        <f t="array" ref="A62">INDEX($A$45:$A$46, INT((ROW()-ROW($A$50))/8)+1)</f>
        <v>EU-15</v>
      </c>
      <c r="B62" s="2" cm="1">
        <f t="array" ref="B62">INDEX($E$44:L$44, MOD(ROW()-ROW($B$50), 8)+1)</f>
        <v>2035</v>
      </c>
      <c r="C62" s="2" cm="1">
        <f t="array" ref="C62">INDEX($E$45:$L$46, INT((ROW()-ROW($C$50))/8)+1, MOD(ROW()-ROW($C$50), 8)+1)</f>
        <v>5.363673303535176</v>
      </c>
    </row>
    <row r="63" spans="1:12" x14ac:dyDescent="0.3">
      <c r="A63" s="6" t="str" cm="1">
        <f t="array" ref="A63">INDEX($A$45:$A$46, INT((ROW()-ROW($A$50))/8)+1)</f>
        <v>EU-15</v>
      </c>
      <c r="B63" s="2" cm="1">
        <f t="array" ref="B63">INDEX($E$44:L$44, MOD(ROW()-ROW($B$50), 8)+1)</f>
        <v>2040</v>
      </c>
      <c r="C63" s="2" cm="1">
        <f t="array" ref="C63">INDEX($E$45:$L$46, INT((ROW()-ROW($C$50))/8)+1, MOD(ROW()-ROW($C$50), 8)+1)</f>
        <v>2.5453143077516271</v>
      </c>
    </row>
    <row r="64" spans="1:12" x14ac:dyDescent="0.3">
      <c r="A64" s="6" t="str" cm="1">
        <f t="array" ref="A64">INDEX($A$45:$A$46, INT((ROW()-ROW($A$50))/8)+1)</f>
        <v>EU-15</v>
      </c>
      <c r="B64" s="2" cm="1">
        <f t="array" ref="B64">INDEX($E$44:L$44, MOD(ROW()-ROW($B$50), 8)+1)</f>
        <v>2045</v>
      </c>
      <c r="C64" s="2" cm="1">
        <f t="array" ref="C64">INDEX($E$45:$L$46, INT((ROW()-ROW($C$50))/8)+1, MOD(ROW()-ROW($C$50), 8)+1)</f>
        <v>1.0906355772846803</v>
      </c>
    </row>
    <row r="65" spans="1:3" x14ac:dyDescent="0.3">
      <c r="A65" s="6" t="str" cm="1">
        <f t="array" ref="A65">INDEX($A$45:$A$46, INT((ROW()-ROW($A$50))/8)+1)</f>
        <v>EU-15</v>
      </c>
      <c r="B65" s="2" cm="1">
        <f t="array" ref="B65">INDEX($E$44:L$44, MOD(ROW()-ROW($B$50), 8)+1)</f>
        <v>2050</v>
      </c>
      <c r="C65" s="2" cm="1">
        <f t="array" ref="C65">INDEX($E$45:$L$46, INT((ROW()-ROW($C$50))/8)+1, MOD(ROW()-ROW($C$50), 8)+1)</f>
        <v>1.1160714285714133</v>
      </c>
    </row>
    <row r="66" spans="1:3" x14ac:dyDescent="0.3">
      <c r="A66" s="6"/>
    </row>
    <row r="67" spans="1:3" x14ac:dyDescent="0.3">
      <c r="A67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EA32-00F0-483D-9357-425E0714EBED}">
  <sheetPr>
    <tabColor theme="9" tint="0.79998168889431442"/>
  </sheetPr>
  <dimension ref="A1:C16"/>
  <sheetViews>
    <sheetView workbookViewId="0">
      <selection activeCell="D32" sqref="D32"/>
    </sheetView>
  </sheetViews>
  <sheetFormatPr defaultRowHeight="14.4" x14ac:dyDescent="0.3"/>
  <cols>
    <col min="1" max="1" width="18" bestFit="1" customWidth="1"/>
    <col min="2" max="2" width="20.88671875" bestFit="1" customWidth="1"/>
    <col min="3" max="3" width="18.88671875" bestFit="1" customWidth="1"/>
    <col min="4" max="4" width="14.109375" bestFit="1" customWidth="1"/>
    <col min="5" max="5" width="11.6640625" customWidth="1"/>
    <col min="6" max="6" width="9.77734375" bestFit="1" customWidth="1"/>
    <col min="7" max="7" width="5.5546875" bestFit="1" customWidth="1"/>
  </cols>
  <sheetData>
    <row r="1" spans="1:3" x14ac:dyDescent="0.3">
      <c r="A1" t="str" cm="1">
        <f t="array" ref="A1:C16">'TRN-LoadFactor-computation'!A50:C65</f>
        <v>region</v>
      </c>
      <c r="B1" t="str">
        <v>year</v>
      </c>
      <c r="C1" t="str">
        <v>changeRate</v>
      </c>
    </row>
    <row r="2" spans="1:3" x14ac:dyDescent="0.3">
      <c r="A2" t="str">
        <v>EU-12</v>
      </c>
      <c r="B2">
        <v>2020</v>
      </c>
      <c r="C2">
        <v>2.3845007451565063</v>
      </c>
    </row>
    <row r="3" spans="1:3" x14ac:dyDescent="0.3">
      <c r="A3" t="str">
        <v>EU-12</v>
      </c>
      <c r="B3">
        <v>2025</v>
      </c>
      <c r="C3">
        <v>6.1135371179039142</v>
      </c>
    </row>
    <row r="4" spans="1:3" x14ac:dyDescent="0.3">
      <c r="A4" t="str">
        <v>EU-12</v>
      </c>
      <c r="B4">
        <v>2030</v>
      </c>
      <c r="C4">
        <v>5.349794238683133</v>
      </c>
    </row>
    <row r="5" spans="1:3" x14ac:dyDescent="0.3">
      <c r="A5" t="str">
        <v>EU-12</v>
      </c>
      <c r="B5">
        <v>2035</v>
      </c>
      <c r="C5">
        <v>5.4687500000000488</v>
      </c>
    </row>
    <row r="6" spans="1:3" x14ac:dyDescent="0.3">
      <c r="A6" t="str">
        <v>EU-12</v>
      </c>
      <c r="B6">
        <v>2040</v>
      </c>
      <c r="C6">
        <v>2.0987654320987263</v>
      </c>
    </row>
    <row r="7" spans="1:3" x14ac:dyDescent="0.3">
      <c r="A7" t="str">
        <v>EU-12</v>
      </c>
      <c r="B7">
        <v>2045</v>
      </c>
      <c r="C7">
        <v>1.0076582023377634</v>
      </c>
    </row>
    <row r="8" spans="1:3" x14ac:dyDescent="0.3">
      <c r="A8" t="str">
        <v>EU-12</v>
      </c>
      <c r="B8">
        <v>2050</v>
      </c>
      <c r="C8">
        <v>0.95770151636072631</v>
      </c>
    </row>
    <row r="9" spans="1:3" x14ac:dyDescent="0.3">
      <c r="A9" t="str">
        <v>EU-15</v>
      </c>
      <c r="B9">
        <v>2015</v>
      </c>
      <c r="C9">
        <v>1</v>
      </c>
    </row>
    <row r="10" spans="1:3" x14ac:dyDescent="0.3">
      <c r="A10" t="str">
        <v>EU-15</v>
      </c>
      <c r="B10">
        <v>2020</v>
      </c>
      <c r="C10">
        <v>2.6899480887210947</v>
      </c>
    </row>
    <row r="11" spans="1:3" x14ac:dyDescent="0.3">
      <c r="A11" t="str">
        <v>EU-15</v>
      </c>
      <c r="B11">
        <v>2025</v>
      </c>
      <c r="C11">
        <v>6.4797794117647101</v>
      </c>
    </row>
    <row r="12" spans="1:3" x14ac:dyDescent="0.3">
      <c r="A12" t="str">
        <v>EU-15</v>
      </c>
      <c r="B12">
        <v>2030</v>
      </c>
      <c r="C12">
        <v>6.2149331031506208</v>
      </c>
    </row>
    <row r="13" spans="1:3" x14ac:dyDescent="0.3">
      <c r="A13" t="str">
        <v>EU-15</v>
      </c>
      <c r="B13">
        <v>2035</v>
      </c>
      <c r="C13">
        <v>5.363673303535176</v>
      </c>
    </row>
    <row r="14" spans="1:3" x14ac:dyDescent="0.3">
      <c r="A14" t="str">
        <v>EU-15</v>
      </c>
      <c r="B14">
        <v>2040</v>
      </c>
      <c r="C14">
        <v>2.5453143077516271</v>
      </c>
    </row>
    <row r="15" spans="1:3" x14ac:dyDescent="0.3">
      <c r="A15" t="str">
        <v>EU-15</v>
      </c>
      <c r="B15">
        <v>2045</v>
      </c>
      <c r="C15">
        <v>1.0906355772846803</v>
      </c>
    </row>
    <row r="16" spans="1:3" x14ac:dyDescent="0.3">
      <c r="A16" t="str">
        <v>EU-15</v>
      </c>
      <c r="B16">
        <v>2050</v>
      </c>
      <c r="C16">
        <v>1.1160714285714133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F629-471C-4615-9490-522A722B073D}">
  <dimension ref="A1:AC342"/>
  <sheetViews>
    <sheetView tabSelected="1" topLeftCell="A252" workbookViewId="0">
      <selection activeCell="I294" activeCellId="1" sqref="I293 I294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140</v>
      </c>
    </row>
    <row r="2" spans="1:29" s="2" customFormat="1" x14ac:dyDescent="0.3"/>
    <row r="3" spans="1:29" s="5" customFormat="1" x14ac:dyDescent="0.3">
      <c r="A3" s="5" t="s">
        <v>141</v>
      </c>
    </row>
    <row r="4" spans="1:29" s="14" customFormat="1" ht="17.399999999999999" x14ac:dyDescent="0.3">
      <c r="A4" s="26" t="s">
        <v>182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113</v>
      </c>
      <c r="D5" s="19" t="s">
        <v>119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183</v>
      </c>
      <c r="B6" s="27" t="s">
        <v>64</v>
      </c>
      <c r="C6" s="19" t="s">
        <v>115</v>
      </c>
      <c r="D6" s="19" t="s">
        <v>120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51256.800000000003</v>
      </c>
      <c r="J6" s="20">
        <v>64214.1</v>
      </c>
      <c r="K6" s="20">
        <v>74527.600000000006</v>
      </c>
      <c r="L6" s="20">
        <v>80476.645538500001</v>
      </c>
      <c r="M6" s="20">
        <v>84871.662714000006</v>
      </c>
      <c r="N6" s="20">
        <v>87862.979579999999</v>
      </c>
      <c r="O6" s="20">
        <v>90269.441420000003</v>
      </c>
      <c r="P6" s="20">
        <v>0</v>
      </c>
      <c r="Q6" s="20">
        <v>0</v>
      </c>
      <c r="R6" s="20">
        <v>0</v>
      </c>
      <c r="S6" s="20" t="s">
        <v>184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183</v>
      </c>
      <c r="B7" s="27" t="s">
        <v>64</v>
      </c>
      <c r="C7" s="19" t="s">
        <v>116</v>
      </c>
      <c r="D7" s="19" t="s">
        <v>121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18039.82</v>
      </c>
      <c r="J7" s="20">
        <v>21663.79</v>
      </c>
      <c r="K7" s="20">
        <v>26479.9</v>
      </c>
      <c r="L7" s="20">
        <v>32708.9833</v>
      </c>
      <c r="M7" s="20">
        <v>36356.352500000001</v>
      </c>
      <c r="N7" s="20">
        <v>38252.451999999997</v>
      </c>
      <c r="O7" s="20">
        <v>39725.383999999998</v>
      </c>
      <c r="P7" s="21">
        <v>0</v>
      </c>
      <c r="Q7" s="21">
        <v>0</v>
      </c>
      <c r="R7" s="21">
        <v>0</v>
      </c>
      <c r="S7" s="21" t="s">
        <v>185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183</v>
      </c>
      <c r="B8" s="28" t="s">
        <v>64</v>
      </c>
      <c r="C8" s="17" t="s">
        <v>116</v>
      </c>
      <c r="D8" s="17" t="s">
        <v>122</v>
      </c>
      <c r="E8" s="37">
        <v>262042.36</v>
      </c>
      <c r="F8" s="37">
        <v>198205.21400000001</v>
      </c>
      <c r="G8" s="37">
        <v>175160.2</v>
      </c>
      <c r="H8" s="37">
        <v>164781.043799999</v>
      </c>
      <c r="I8" s="37">
        <v>183274.3</v>
      </c>
      <c r="J8" s="37">
        <v>203259.25</v>
      </c>
      <c r="K8" s="37">
        <v>200243.09999999899</v>
      </c>
      <c r="L8" s="37">
        <v>178406.399999999</v>
      </c>
      <c r="M8" s="37">
        <v>171659.4</v>
      </c>
      <c r="N8" s="37">
        <v>175512.3</v>
      </c>
      <c r="O8" s="37">
        <v>181836.79999999999</v>
      </c>
      <c r="P8" s="17">
        <v>0</v>
      </c>
      <c r="Q8" s="17">
        <v>0</v>
      </c>
      <c r="R8" s="17">
        <v>0</v>
      </c>
      <c r="S8" s="17" t="s">
        <v>185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183</v>
      </c>
      <c r="B9" s="28" t="s">
        <v>64</v>
      </c>
      <c r="C9" s="17" t="s">
        <v>116</v>
      </c>
      <c r="D9" s="17" t="s">
        <v>162</v>
      </c>
      <c r="E9" s="37">
        <v>263310</v>
      </c>
      <c r="F9" s="37">
        <v>397360</v>
      </c>
      <c r="G9" s="37">
        <v>479298</v>
      </c>
      <c r="H9" s="37">
        <v>494165</v>
      </c>
      <c r="I9" s="37">
        <v>545552</v>
      </c>
      <c r="J9" s="37">
        <v>614375</v>
      </c>
      <c r="K9" s="37">
        <v>688784</v>
      </c>
      <c r="L9" s="37">
        <v>758104</v>
      </c>
      <c r="M9" s="37">
        <v>809231</v>
      </c>
      <c r="N9" s="37">
        <v>841914</v>
      </c>
      <c r="O9" s="37">
        <v>866222</v>
      </c>
      <c r="P9" s="17">
        <v>0</v>
      </c>
      <c r="Q9" s="17">
        <v>0</v>
      </c>
      <c r="R9" s="17">
        <v>0</v>
      </c>
      <c r="S9" s="17" t="s">
        <v>185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183</v>
      </c>
      <c r="B10" s="28" t="s">
        <v>64</v>
      </c>
      <c r="C10" s="17" t="s">
        <v>123</v>
      </c>
      <c r="D10" s="17" t="s">
        <v>124</v>
      </c>
      <c r="E10" s="37">
        <v>233530</v>
      </c>
      <c r="F10" s="37">
        <v>354422</v>
      </c>
      <c r="G10" s="37">
        <v>427651</v>
      </c>
      <c r="H10" s="37">
        <v>440708</v>
      </c>
      <c r="I10" s="37">
        <v>486585.21</v>
      </c>
      <c r="J10" s="37">
        <v>547583.21304459998</v>
      </c>
      <c r="K10" s="37">
        <v>613347.85728717002</v>
      </c>
      <c r="L10" s="37">
        <v>674826.57943628996</v>
      </c>
      <c r="M10" s="37">
        <v>720337.52413339994</v>
      </c>
      <c r="N10" s="37">
        <v>749169.94235399901</v>
      </c>
      <c r="O10" s="37">
        <v>770004.83274999994</v>
      </c>
      <c r="P10" s="17">
        <v>0</v>
      </c>
      <c r="Q10" s="17">
        <v>0</v>
      </c>
      <c r="R10" s="17">
        <v>0</v>
      </c>
      <c r="S10" s="17" t="s">
        <v>185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183</v>
      </c>
      <c r="B11" s="27" t="s">
        <v>64</v>
      </c>
      <c r="C11" s="19" t="s">
        <v>123</v>
      </c>
      <c r="D11" s="19" t="s">
        <v>125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12126.703</v>
      </c>
      <c r="J11" s="20">
        <v>13721.919099999999</v>
      </c>
      <c r="K11" s="20">
        <v>15470.392249999901</v>
      </c>
      <c r="L11" s="20">
        <v>17081.813999999998</v>
      </c>
      <c r="M11" s="20">
        <v>18235.023450000001</v>
      </c>
      <c r="N11" s="20">
        <v>18968.250400000001</v>
      </c>
      <c r="O11" s="20">
        <v>19542.9189999999</v>
      </c>
      <c r="P11" s="20">
        <v>0</v>
      </c>
      <c r="Q11" s="20">
        <v>0</v>
      </c>
      <c r="R11" s="20">
        <v>0</v>
      </c>
      <c r="S11" s="20" t="s">
        <v>185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183</v>
      </c>
      <c r="B12" s="27" t="s">
        <v>64</v>
      </c>
      <c r="C12" s="19" t="s">
        <v>123</v>
      </c>
      <c r="D12" s="19" t="s">
        <v>126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46839.48</v>
      </c>
      <c r="J12" s="20">
        <v>53072.465399999899</v>
      </c>
      <c r="K12" s="20">
        <v>59976.177100000001</v>
      </c>
      <c r="L12" s="20">
        <v>66215.461500000005</v>
      </c>
      <c r="M12" s="20">
        <v>70689.365900000004</v>
      </c>
      <c r="N12" s="20">
        <v>73812.971999999994</v>
      </c>
      <c r="O12" s="20">
        <v>76719.62</v>
      </c>
      <c r="P12" s="20">
        <v>0</v>
      </c>
      <c r="Q12" s="20">
        <v>0</v>
      </c>
      <c r="R12" s="20">
        <v>0</v>
      </c>
      <c r="S12" s="20" t="s">
        <v>185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30" customFormat="1" x14ac:dyDescent="0.3">
      <c r="A13" s="30" t="s">
        <v>183</v>
      </c>
      <c r="B13" s="31" t="s">
        <v>64</v>
      </c>
      <c r="C13" s="32" t="s">
        <v>117</v>
      </c>
      <c r="D13" s="32" t="s">
        <v>163</v>
      </c>
      <c r="E13" s="34">
        <v>17265.8</v>
      </c>
      <c r="F13" s="34">
        <v>16531.900000000001</v>
      </c>
      <c r="G13" s="34">
        <v>16277.9</v>
      </c>
      <c r="H13" s="34">
        <v>16023.9</v>
      </c>
      <c r="I13" s="34">
        <v>14467.3</v>
      </c>
      <c r="J13" s="34">
        <v>12908.4</v>
      </c>
      <c r="K13" s="34">
        <v>11555.2</v>
      </c>
      <c r="L13" s="34">
        <v>10533.8</v>
      </c>
      <c r="M13" s="34">
        <v>9884.5300000000007</v>
      </c>
      <c r="N13" s="34">
        <v>9341.42</v>
      </c>
      <c r="O13" s="34">
        <v>8867.4699999999993</v>
      </c>
      <c r="P13" s="33">
        <v>0</v>
      </c>
      <c r="Q13" s="33">
        <v>0</v>
      </c>
      <c r="R13" s="33">
        <v>0</v>
      </c>
      <c r="S13" s="33" t="s">
        <v>184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s="30" customFormat="1" x14ac:dyDescent="0.3">
      <c r="A14" s="30" t="s">
        <v>183</v>
      </c>
      <c r="B14" s="31" t="s">
        <v>64</v>
      </c>
      <c r="C14" s="32" t="s">
        <v>117</v>
      </c>
      <c r="D14" s="32" t="s">
        <v>127</v>
      </c>
      <c r="E14" s="34">
        <v>5331.03</v>
      </c>
      <c r="F14" s="34">
        <v>5193.26</v>
      </c>
      <c r="G14" s="34">
        <v>5821.69</v>
      </c>
      <c r="H14" s="34">
        <v>6241.59</v>
      </c>
      <c r="I14" s="34">
        <v>7592.54</v>
      </c>
      <c r="J14" s="34">
        <v>10863.3</v>
      </c>
      <c r="K14" s="34">
        <v>13870.3</v>
      </c>
      <c r="L14" s="34">
        <v>15597.6482</v>
      </c>
      <c r="M14" s="34">
        <v>17104.3207</v>
      </c>
      <c r="N14" s="34">
        <v>18098.761999999999</v>
      </c>
      <c r="O14" s="34">
        <v>18826.929</v>
      </c>
      <c r="P14" s="34">
        <v>0</v>
      </c>
      <c r="Q14" s="34">
        <v>0</v>
      </c>
      <c r="R14" s="34">
        <v>0</v>
      </c>
      <c r="S14" s="34" t="s">
        <v>184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s="30" customFormat="1" x14ac:dyDescent="0.3">
      <c r="A15" s="30" t="s">
        <v>183</v>
      </c>
      <c r="B15" s="31" t="s">
        <v>64</v>
      </c>
      <c r="C15" s="32" t="s">
        <v>117</v>
      </c>
      <c r="D15" s="32" t="s">
        <v>128</v>
      </c>
      <c r="E15" s="34">
        <v>0</v>
      </c>
      <c r="F15" s="34">
        <v>0</v>
      </c>
      <c r="G15" s="34">
        <v>0</v>
      </c>
      <c r="H15" s="34">
        <v>0</v>
      </c>
      <c r="I15" s="34">
        <v>332.38499999999999</v>
      </c>
      <c r="J15" s="34">
        <v>872.17499999999995</v>
      </c>
      <c r="K15" s="34">
        <v>1538.51</v>
      </c>
      <c r="L15" s="34">
        <v>2331.1</v>
      </c>
      <c r="M15" s="34">
        <v>3182.59</v>
      </c>
      <c r="N15" s="34">
        <v>4189.79</v>
      </c>
      <c r="O15" s="34">
        <v>5365.01</v>
      </c>
      <c r="P15" s="34">
        <v>0</v>
      </c>
      <c r="Q15" s="34">
        <v>0</v>
      </c>
      <c r="R15" s="34">
        <v>0</v>
      </c>
      <c r="S15" s="34" t="s">
        <v>184</v>
      </c>
      <c r="T15" s="33"/>
      <c r="U15" s="33"/>
      <c r="V15" s="33"/>
      <c r="W15" s="33"/>
      <c r="X15" s="33"/>
      <c r="Y15" s="34"/>
      <c r="Z15" s="34"/>
      <c r="AA15" s="34"/>
      <c r="AB15" s="34"/>
      <c r="AC15" s="34"/>
    </row>
    <row r="16" spans="1:29" s="30" customFormat="1" x14ac:dyDescent="0.3">
      <c r="A16" s="30" t="s">
        <v>183</v>
      </c>
      <c r="B16" s="31" t="s">
        <v>64</v>
      </c>
      <c r="C16" s="32" t="s">
        <v>117</v>
      </c>
      <c r="D16" s="32" t="s">
        <v>129</v>
      </c>
      <c r="E16" s="34">
        <v>88848.87</v>
      </c>
      <c r="F16" s="34">
        <v>70151.399999999994</v>
      </c>
      <c r="G16" s="34">
        <v>61930.3</v>
      </c>
      <c r="H16" s="34">
        <v>57839.1</v>
      </c>
      <c r="I16" s="34">
        <v>61252.1</v>
      </c>
      <c r="J16" s="34">
        <v>65091.5</v>
      </c>
      <c r="K16" s="34">
        <v>65146.9</v>
      </c>
      <c r="L16" s="34">
        <v>64534</v>
      </c>
      <c r="M16" s="34">
        <v>63134.1</v>
      </c>
      <c r="N16" s="34">
        <v>62053.8999999999</v>
      </c>
      <c r="O16" s="34">
        <v>61115.7</v>
      </c>
      <c r="P16" s="34">
        <v>0</v>
      </c>
      <c r="Q16" s="34">
        <v>0</v>
      </c>
      <c r="R16" s="34">
        <v>0</v>
      </c>
      <c r="S16" s="34" t="s">
        <v>184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s="17" customFormat="1" x14ac:dyDescent="0.3">
      <c r="A17" s="17" t="s">
        <v>183</v>
      </c>
      <c r="B17" s="28" t="s">
        <v>64</v>
      </c>
      <c r="C17" s="17" t="s">
        <v>117</v>
      </c>
      <c r="D17" s="17" t="s">
        <v>162</v>
      </c>
      <c r="E17" s="37">
        <v>583892</v>
      </c>
      <c r="F17" s="37">
        <v>863587</v>
      </c>
      <c r="G17" s="37">
        <v>1063160</v>
      </c>
      <c r="H17" s="37">
        <v>1126550</v>
      </c>
      <c r="I17" s="37">
        <v>1216640</v>
      </c>
      <c r="J17" s="37">
        <v>1332020</v>
      </c>
      <c r="K17" s="37">
        <v>1387010</v>
      </c>
      <c r="L17" s="37">
        <v>1421940</v>
      </c>
      <c r="M17" s="37">
        <v>1398090</v>
      </c>
      <c r="N17" s="37">
        <v>1382210</v>
      </c>
      <c r="O17" s="37">
        <v>1372190</v>
      </c>
      <c r="P17" s="17">
        <v>0</v>
      </c>
      <c r="Q17" s="17">
        <v>0</v>
      </c>
      <c r="R17" s="17">
        <v>0</v>
      </c>
      <c r="S17" s="17" t="s">
        <v>184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s="30" customFormat="1" x14ac:dyDescent="0.3">
      <c r="A18" s="30" t="s">
        <v>183</v>
      </c>
      <c r="B18" s="31" t="s">
        <v>64</v>
      </c>
      <c r="C18" s="32" t="s">
        <v>117</v>
      </c>
      <c r="D18" s="32" t="s">
        <v>164</v>
      </c>
      <c r="E18" s="34">
        <v>51798.400000000001</v>
      </c>
      <c r="F18" s="34">
        <v>49595.6</v>
      </c>
      <c r="G18" s="34">
        <v>48833.7</v>
      </c>
      <c r="H18" s="34">
        <v>48072.800000000003</v>
      </c>
      <c r="I18" s="34">
        <v>43402.9</v>
      </c>
      <c r="J18" s="34">
        <v>38725.9</v>
      </c>
      <c r="K18" s="34">
        <v>34666.400000000001</v>
      </c>
      <c r="L18" s="34">
        <v>31602.1</v>
      </c>
      <c r="M18" s="34">
        <v>29654.2</v>
      </c>
      <c r="N18" s="34">
        <v>28024.799999999999</v>
      </c>
      <c r="O18" s="34">
        <v>26602.9</v>
      </c>
      <c r="P18" s="34">
        <v>0</v>
      </c>
      <c r="Q18" s="34">
        <v>0</v>
      </c>
      <c r="R18" s="34">
        <v>0</v>
      </c>
      <c r="S18" s="34" t="s">
        <v>184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s="30" customFormat="1" x14ac:dyDescent="0.3">
      <c r="A19" s="30" t="s">
        <v>183</v>
      </c>
      <c r="B19" s="35" t="s">
        <v>64</v>
      </c>
      <c r="C19" s="30" t="s">
        <v>130</v>
      </c>
      <c r="D19" s="30" t="s">
        <v>131</v>
      </c>
      <c r="E19" s="38">
        <v>130827.109</v>
      </c>
      <c r="F19" s="38">
        <v>193847.13</v>
      </c>
      <c r="G19" s="38">
        <v>234020.79</v>
      </c>
      <c r="H19" s="38">
        <v>244407.8</v>
      </c>
      <c r="I19" s="38">
        <v>262509.03000000003</v>
      </c>
      <c r="J19" s="38">
        <v>289702.09999999998</v>
      </c>
      <c r="K19" s="38">
        <v>295108.57</v>
      </c>
      <c r="L19" s="38">
        <v>301370.46000000002</v>
      </c>
      <c r="M19" s="38">
        <v>308050.61</v>
      </c>
      <c r="N19" s="38">
        <v>317425.73</v>
      </c>
      <c r="O19" s="38">
        <v>330794.84999999998</v>
      </c>
      <c r="P19" s="30">
        <v>0</v>
      </c>
      <c r="Q19" s="30">
        <v>0</v>
      </c>
      <c r="R19" s="30">
        <v>0</v>
      </c>
      <c r="S19" s="30" t="s">
        <v>184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s="17" customFormat="1" x14ac:dyDescent="0.3">
      <c r="A20" s="17" t="s">
        <v>183</v>
      </c>
      <c r="B20" s="28" t="s">
        <v>64</v>
      </c>
      <c r="C20" s="17" t="s">
        <v>130</v>
      </c>
      <c r="D20" s="17" t="s">
        <v>165</v>
      </c>
      <c r="E20" s="37">
        <v>453065</v>
      </c>
      <c r="F20" s="37">
        <v>669740</v>
      </c>
      <c r="G20" s="37">
        <v>829140</v>
      </c>
      <c r="H20" s="37">
        <v>882142</v>
      </c>
      <c r="I20" s="37">
        <v>954132</v>
      </c>
      <c r="J20" s="37">
        <v>1042310</v>
      </c>
      <c r="K20" s="37">
        <v>1091900</v>
      </c>
      <c r="L20" s="37">
        <v>1120570</v>
      </c>
      <c r="M20" s="37">
        <v>1090040</v>
      </c>
      <c r="N20" s="37">
        <v>1064780</v>
      </c>
      <c r="O20" s="37">
        <v>1041400</v>
      </c>
      <c r="P20" s="17">
        <v>0</v>
      </c>
      <c r="Q20" s="17">
        <v>0</v>
      </c>
      <c r="R20" s="17">
        <v>0</v>
      </c>
      <c r="S20" s="17" t="s">
        <v>184</v>
      </c>
    </row>
    <row r="21" spans="1:29" s="30" customFormat="1" x14ac:dyDescent="0.3">
      <c r="A21" s="30" t="s">
        <v>183</v>
      </c>
      <c r="B21" s="31" t="s">
        <v>64</v>
      </c>
      <c r="C21" s="32" t="s">
        <v>132</v>
      </c>
      <c r="D21" s="32" t="s">
        <v>133</v>
      </c>
      <c r="E21" s="34">
        <v>22360.7</v>
      </c>
      <c r="F21" s="34">
        <v>31155.7</v>
      </c>
      <c r="G21" s="34">
        <v>38297.300000000003</v>
      </c>
      <c r="H21" s="34">
        <v>40976.699999999997</v>
      </c>
      <c r="I21" s="34">
        <v>41033</v>
      </c>
      <c r="J21" s="34">
        <v>42091.4</v>
      </c>
      <c r="K21" s="34">
        <v>39974.699999999997</v>
      </c>
      <c r="L21" s="34">
        <v>37613.300000000003</v>
      </c>
      <c r="M21" s="34">
        <v>35369.4</v>
      </c>
      <c r="N21" s="34">
        <v>33551</v>
      </c>
      <c r="O21" s="34">
        <v>31908.5</v>
      </c>
      <c r="P21" s="34">
        <v>0</v>
      </c>
      <c r="Q21" s="34">
        <v>0</v>
      </c>
      <c r="R21" s="34">
        <v>0</v>
      </c>
      <c r="S21" s="34" t="s">
        <v>184</v>
      </c>
    </row>
    <row r="22" spans="1:29" s="30" customFormat="1" x14ac:dyDescent="0.3">
      <c r="A22" s="30" t="s">
        <v>183</v>
      </c>
      <c r="B22" s="35" t="s">
        <v>64</v>
      </c>
      <c r="C22" s="30" t="s">
        <v>132</v>
      </c>
      <c r="D22" s="30" t="s">
        <v>166</v>
      </c>
      <c r="E22" s="38">
        <v>430704</v>
      </c>
      <c r="F22" s="38">
        <v>638584</v>
      </c>
      <c r="G22" s="38">
        <v>790843</v>
      </c>
      <c r="H22" s="38">
        <v>841165</v>
      </c>
      <c r="I22" s="38">
        <v>913099</v>
      </c>
      <c r="J22" s="38">
        <v>1000220</v>
      </c>
      <c r="K22" s="38">
        <v>1051920</v>
      </c>
      <c r="L22" s="38">
        <v>1082960</v>
      </c>
      <c r="M22" s="38">
        <v>1054670</v>
      </c>
      <c r="N22" s="38">
        <v>1031230</v>
      </c>
      <c r="O22" s="38">
        <v>1009490</v>
      </c>
      <c r="P22" s="30">
        <v>0</v>
      </c>
      <c r="Q22" s="30">
        <v>0</v>
      </c>
      <c r="R22" s="30">
        <v>0</v>
      </c>
      <c r="S22" s="30" t="s">
        <v>184</v>
      </c>
    </row>
    <row r="23" spans="1:29" s="17" customFormat="1" x14ac:dyDescent="0.3">
      <c r="A23" s="17" t="s">
        <v>183</v>
      </c>
      <c r="B23" s="28" t="s">
        <v>64</v>
      </c>
      <c r="C23" s="17" t="s">
        <v>134</v>
      </c>
      <c r="D23" s="17" t="s">
        <v>135</v>
      </c>
      <c r="E23" s="37">
        <v>423194.69020000001</v>
      </c>
      <c r="F23" s="37">
        <v>630800.50026</v>
      </c>
      <c r="G23" s="37">
        <v>782030.37889000005</v>
      </c>
      <c r="H23" s="37">
        <v>832141.27720000001</v>
      </c>
      <c r="I23" s="37">
        <v>902827.872299999</v>
      </c>
      <c r="J23" s="37">
        <v>987910.43579999998</v>
      </c>
      <c r="K23" s="37">
        <v>1037230.22050999</v>
      </c>
      <c r="L23" s="37">
        <v>1066036.5930299901</v>
      </c>
      <c r="M23" s="37">
        <v>1036901.40499</v>
      </c>
      <c r="N23" s="37">
        <v>1013175.12373</v>
      </c>
      <c r="O23" s="37">
        <v>991038.44267000002</v>
      </c>
      <c r="P23" s="17">
        <v>0</v>
      </c>
      <c r="Q23" s="17">
        <v>0</v>
      </c>
      <c r="R23" s="17">
        <v>0</v>
      </c>
      <c r="S23" s="17" t="s">
        <v>184</v>
      </c>
    </row>
    <row r="24" spans="1:29" s="17" customFormat="1" x14ac:dyDescent="0.3">
      <c r="A24" s="17" t="s">
        <v>183</v>
      </c>
      <c r="B24" s="27" t="s">
        <v>64</v>
      </c>
      <c r="C24" s="19" t="s">
        <v>134</v>
      </c>
      <c r="D24" s="19" t="s">
        <v>136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10270.826859999999</v>
      </c>
      <c r="J24" s="20">
        <v>12312.51873</v>
      </c>
      <c r="K24" s="20">
        <v>14691.450316</v>
      </c>
      <c r="L24" s="20">
        <v>16920.8296449999</v>
      </c>
      <c r="M24" s="20">
        <v>17771.375110000001</v>
      </c>
      <c r="N24" s="20">
        <v>18053.676106999999</v>
      </c>
      <c r="O24" s="20">
        <v>18449.645885999998</v>
      </c>
      <c r="P24" s="20">
        <v>0</v>
      </c>
      <c r="Q24" s="20">
        <v>0</v>
      </c>
      <c r="R24" s="20">
        <v>0</v>
      </c>
      <c r="S24" s="20" t="s">
        <v>184</v>
      </c>
    </row>
    <row r="25" spans="1:29" s="17" customFormat="1" x14ac:dyDescent="0.3">
      <c r="A25" s="17" t="s">
        <v>183</v>
      </c>
      <c r="B25" s="28" t="s">
        <v>64</v>
      </c>
      <c r="C25" s="17" t="s">
        <v>118</v>
      </c>
      <c r="D25" s="17" t="s">
        <v>137</v>
      </c>
      <c r="E25" s="37">
        <v>318546</v>
      </c>
      <c r="F25" s="37">
        <v>629335</v>
      </c>
      <c r="G25" s="37">
        <v>1326250</v>
      </c>
      <c r="H25" s="37">
        <v>1324840</v>
      </c>
      <c r="I25" s="37">
        <v>1413956.9</v>
      </c>
      <c r="J25" s="37">
        <v>1515182</v>
      </c>
      <c r="K25" s="37">
        <v>1616524</v>
      </c>
      <c r="L25" s="37">
        <v>1742954.395</v>
      </c>
      <c r="M25" s="37">
        <v>1817789.55</v>
      </c>
      <c r="N25" s="37">
        <v>1866831.861</v>
      </c>
      <c r="O25" s="37">
        <v>1909283.8400000001</v>
      </c>
      <c r="P25" s="17">
        <v>0</v>
      </c>
      <c r="Q25" s="17">
        <v>0</v>
      </c>
      <c r="R25" s="17">
        <v>0</v>
      </c>
      <c r="S25" s="17" t="s">
        <v>185</v>
      </c>
    </row>
    <row r="26" spans="1:29" s="17" customFormat="1" x14ac:dyDescent="0.3">
      <c r="A26" s="17" t="s">
        <v>183</v>
      </c>
      <c r="B26" s="28" t="s">
        <v>65</v>
      </c>
      <c r="C26" s="17" t="s">
        <v>115</v>
      </c>
      <c r="D26" s="17" t="s">
        <v>120</v>
      </c>
      <c r="E26" s="37">
        <v>212576</v>
      </c>
      <c r="F26" s="37">
        <v>353555</v>
      </c>
      <c r="G26" s="37">
        <v>368359</v>
      </c>
      <c r="H26" s="37">
        <v>399505</v>
      </c>
      <c r="I26" s="37">
        <v>411219</v>
      </c>
      <c r="J26" s="37">
        <v>489648</v>
      </c>
      <c r="K26" s="37">
        <v>535402</v>
      </c>
      <c r="L26" s="37">
        <v>564937.310466</v>
      </c>
      <c r="M26" s="37">
        <v>593852.57394999999</v>
      </c>
      <c r="N26" s="37">
        <v>621315.45430999994</v>
      </c>
      <c r="O26" s="37">
        <v>648272.47320000001</v>
      </c>
      <c r="P26" s="17">
        <v>0</v>
      </c>
      <c r="Q26" s="17">
        <v>0</v>
      </c>
      <c r="R26" s="17">
        <v>0</v>
      </c>
      <c r="S26" s="17" t="s">
        <v>184</v>
      </c>
    </row>
    <row r="27" spans="1:29" s="17" customFormat="1" x14ac:dyDescent="0.3">
      <c r="A27" s="17" t="s">
        <v>183</v>
      </c>
      <c r="B27" s="28" t="s">
        <v>65</v>
      </c>
      <c r="C27" s="17" t="s">
        <v>116</v>
      </c>
      <c r="D27" s="17" t="s">
        <v>121</v>
      </c>
      <c r="E27" s="37">
        <v>568313</v>
      </c>
      <c r="F27" s="37">
        <v>667205</v>
      </c>
      <c r="G27" s="37">
        <v>602977</v>
      </c>
      <c r="H27" s="37">
        <v>455554</v>
      </c>
      <c r="I27" s="37">
        <v>462211</v>
      </c>
      <c r="J27" s="37">
        <v>535128.30000000005</v>
      </c>
      <c r="K27" s="37">
        <v>611202</v>
      </c>
      <c r="L27" s="37">
        <v>724650.95</v>
      </c>
      <c r="M27" s="37">
        <v>802434.84699999995</v>
      </c>
      <c r="N27" s="37">
        <v>852939.41</v>
      </c>
      <c r="O27" s="37">
        <v>901658.46</v>
      </c>
      <c r="P27" s="17">
        <v>0</v>
      </c>
      <c r="Q27" s="17">
        <v>0</v>
      </c>
      <c r="R27" s="17">
        <v>0</v>
      </c>
      <c r="S27" s="17" t="s">
        <v>185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183</v>
      </c>
      <c r="B28" s="28" t="s">
        <v>65</v>
      </c>
      <c r="C28" s="17" t="s">
        <v>116</v>
      </c>
      <c r="D28" s="17" t="s">
        <v>122</v>
      </c>
      <c r="E28" s="37">
        <v>250445.02100000001</v>
      </c>
      <c r="F28" s="37">
        <v>306181.59999999998</v>
      </c>
      <c r="G28" s="37">
        <v>294236.7</v>
      </c>
      <c r="H28" s="37">
        <v>303575.09999999998</v>
      </c>
      <c r="I28" s="37">
        <v>311918.5</v>
      </c>
      <c r="J28" s="37">
        <v>339875.04</v>
      </c>
      <c r="K28" s="37">
        <v>326950.40000000002</v>
      </c>
      <c r="L28" s="37">
        <v>294552.59999999998</v>
      </c>
      <c r="M28" s="37">
        <v>288758.19999999902</v>
      </c>
      <c r="N28" s="37">
        <v>302088.8</v>
      </c>
      <c r="O28" s="37">
        <v>320250.90000000002</v>
      </c>
      <c r="P28" s="17">
        <v>0</v>
      </c>
      <c r="Q28" s="17">
        <v>0</v>
      </c>
      <c r="R28" s="17">
        <v>0</v>
      </c>
      <c r="S28" s="17" t="s">
        <v>185</v>
      </c>
    </row>
    <row r="29" spans="1:29" s="17" customFormat="1" x14ac:dyDescent="0.3">
      <c r="A29" s="17" t="s">
        <v>183</v>
      </c>
      <c r="B29" s="28" t="s">
        <v>65</v>
      </c>
      <c r="C29" s="17" t="s">
        <v>116</v>
      </c>
      <c r="D29" s="17" t="s">
        <v>162</v>
      </c>
      <c r="E29" s="37">
        <v>1112710</v>
      </c>
      <c r="F29" s="37">
        <v>1402240</v>
      </c>
      <c r="G29" s="37">
        <v>1362490</v>
      </c>
      <c r="H29" s="37">
        <v>1331530</v>
      </c>
      <c r="I29" s="37">
        <v>1340410</v>
      </c>
      <c r="J29" s="37">
        <v>1470350</v>
      </c>
      <c r="K29" s="37">
        <v>1544390</v>
      </c>
      <c r="L29" s="37">
        <v>1620540</v>
      </c>
      <c r="M29" s="37">
        <v>1702000</v>
      </c>
      <c r="N29" s="37">
        <v>1783500</v>
      </c>
      <c r="O29" s="37">
        <v>1861110</v>
      </c>
      <c r="P29" s="17">
        <v>0</v>
      </c>
      <c r="Q29" s="17">
        <v>0</v>
      </c>
      <c r="R29" s="17">
        <v>0</v>
      </c>
      <c r="S29" s="17" t="s">
        <v>185</v>
      </c>
    </row>
    <row r="30" spans="1:29" s="17" customFormat="1" x14ac:dyDescent="0.3">
      <c r="A30" s="17" t="s">
        <v>183</v>
      </c>
      <c r="B30" s="28" t="s">
        <v>65</v>
      </c>
      <c r="C30" s="17" t="s">
        <v>123</v>
      </c>
      <c r="D30" s="17" t="s">
        <v>124</v>
      </c>
      <c r="E30" s="37">
        <v>1024130</v>
      </c>
      <c r="F30" s="37">
        <v>1290600</v>
      </c>
      <c r="G30" s="37">
        <v>1253810</v>
      </c>
      <c r="H30" s="37">
        <v>1225120</v>
      </c>
      <c r="I30" s="37">
        <v>1233300.46</v>
      </c>
      <c r="J30" s="37">
        <v>1352544.1373167399</v>
      </c>
      <c r="K30" s="37">
        <v>1420149.38172378</v>
      </c>
      <c r="L30" s="37">
        <v>1490126.3994010701</v>
      </c>
      <c r="M30" s="37">
        <v>1565299.76211936</v>
      </c>
      <c r="N30" s="37">
        <v>1640159.1890781</v>
      </c>
      <c r="O30" s="37">
        <v>1710771.88903</v>
      </c>
      <c r="P30" s="17">
        <v>0</v>
      </c>
      <c r="Q30" s="17">
        <v>0</v>
      </c>
      <c r="R30" s="17">
        <v>0</v>
      </c>
      <c r="S30" s="17" t="s">
        <v>185</v>
      </c>
    </row>
    <row r="31" spans="1:29" s="17" customFormat="1" x14ac:dyDescent="0.3">
      <c r="A31" s="17" t="s">
        <v>183</v>
      </c>
      <c r="B31" s="27" t="s">
        <v>65</v>
      </c>
      <c r="C31" s="19" t="s">
        <v>123</v>
      </c>
      <c r="D31" s="19" t="s">
        <v>125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36476.119999999901</v>
      </c>
      <c r="J31" s="20">
        <v>40149.544999999998</v>
      </c>
      <c r="K31" s="20">
        <v>42334.614699999998</v>
      </c>
      <c r="L31" s="20">
        <v>44494.729700000004</v>
      </c>
      <c r="M31" s="20">
        <v>46673.099300000002</v>
      </c>
      <c r="N31" s="20">
        <v>48872.231699999997</v>
      </c>
      <c r="O31" s="20">
        <v>51053.737999999998</v>
      </c>
      <c r="P31" s="20">
        <v>0</v>
      </c>
      <c r="Q31" s="20">
        <v>0</v>
      </c>
      <c r="R31" s="20">
        <v>0</v>
      </c>
      <c r="S31" s="20" t="s">
        <v>185</v>
      </c>
    </row>
    <row r="32" spans="1:29" s="17" customFormat="1" x14ac:dyDescent="0.3">
      <c r="A32" s="17" t="s">
        <v>183</v>
      </c>
      <c r="B32" s="28" t="s">
        <v>65</v>
      </c>
      <c r="C32" s="17" t="s">
        <v>123</v>
      </c>
      <c r="D32" s="17" t="s">
        <v>126</v>
      </c>
      <c r="E32" s="37">
        <v>58674.9</v>
      </c>
      <c r="F32" s="37">
        <v>73941.7</v>
      </c>
      <c r="G32" s="37">
        <v>71833.600000000006</v>
      </c>
      <c r="H32" s="37">
        <v>70189.600000000006</v>
      </c>
      <c r="I32" s="37">
        <v>70630.080000000002</v>
      </c>
      <c r="J32" s="37">
        <v>77678.692299999995</v>
      </c>
      <c r="K32" s="37">
        <v>81965.741599999994</v>
      </c>
      <c r="L32" s="37">
        <v>86034.179199999897</v>
      </c>
      <c r="M32" s="37">
        <v>90182.298699999999</v>
      </c>
      <c r="N32" s="37">
        <v>94651.724999999904</v>
      </c>
      <c r="O32" s="37">
        <v>99514.5</v>
      </c>
      <c r="P32" s="17">
        <v>0</v>
      </c>
      <c r="Q32" s="17">
        <v>0</v>
      </c>
      <c r="R32" s="17">
        <v>0</v>
      </c>
      <c r="S32" s="17" t="s">
        <v>185</v>
      </c>
    </row>
    <row r="33" spans="1:19" s="30" customFormat="1" x14ac:dyDescent="0.3">
      <c r="A33" s="30" t="s">
        <v>183</v>
      </c>
      <c r="B33" s="31" t="s">
        <v>65</v>
      </c>
      <c r="C33" s="32" t="s">
        <v>117</v>
      </c>
      <c r="D33" s="32" t="s">
        <v>163</v>
      </c>
      <c r="E33" s="34">
        <v>34966.699999999997</v>
      </c>
      <c r="F33" s="34">
        <v>37111.599999999999</v>
      </c>
      <c r="G33" s="34">
        <v>37862.6</v>
      </c>
      <c r="H33" s="34">
        <v>38400.6</v>
      </c>
      <c r="I33" s="34">
        <v>38657.699999999997</v>
      </c>
      <c r="J33" s="34">
        <v>35817.1</v>
      </c>
      <c r="K33" s="34">
        <v>34538.199999999997</v>
      </c>
      <c r="L33" s="34">
        <v>33410.5</v>
      </c>
      <c r="M33" s="34">
        <v>32485.3</v>
      </c>
      <c r="N33" s="34">
        <v>31565.7</v>
      </c>
      <c r="O33" s="34">
        <v>30658.1</v>
      </c>
      <c r="P33" s="34">
        <v>0</v>
      </c>
      <c r="Q33" s="34">
        <v>0</v>
      </c>
      <c r="R33" s="34">
        <v>0</v>
      </c>
      <c r="S33" s="34" t="s">
        <v>184</v>
      </c>
    </row>
    <row r="34" spans="1:19" s="30" customFormat="1" x14ac:dyDescent="0.3">
      <c r="A34" s="30" t="s">
        <v>183</v>
      </c>
      <c r="B34" s="35" t="s">
        <v>65</v>
      </c>
      <c r="C34" s="30" t="s">
        <v>117</v>
      </c>
      <c r="D34" s="30" t="s">
        <v>127</v>
      </c>
      <c r="E34" s="38">
        <v>147471</v>
      </c>
      <c r="F34" s="38">
        <v>245272</v>
      </c>
      <c r="G34" s="38">
        <v>255527</v>
      </c>
      <c r="H34" s="38">
        <v>277139</v>
      </c>
      <c r="I34" s="38">
        <v>288496</v>
      </c>
      <c r="J34" s="38">
        <v>378904</v>
      </c>
      <c r="K34" s="38">
        <v>439370</v>
      </c>
      <c r="L34" s="38">
        <v>474600.73100000003</v>
      </c>
      <c r="M34" s="38">
        <v>508166.11</v>
      </c>
      <c r="N34" s="38">
        <v>536592.27</v>
      </c>
      <c r="O34" s="38">
        <v>561748.1</v>
      </c>
      <c r="P34" s="36">
        <v>0</v>
      </c>
      <c r="Q34" s="36">
        <v>0</v>
      </c>
      <c r="R34" s="36">
        <v>0</v>
      </c>
      <c r="S34" s="36" t="s">
        <v>184</v>
      </c>
    </row>
    <row r="35" spans="1:19" s="30" customFormat="1" x14ac:dyDescent="0.3">
      <c r="A35" s="30" t="s">
        <v>183</v>
      </c>
      <c r="B35" s="31" t="s">
        <v>65</v>
      </c>
      <c r="C35" s="32" t="s">
        <v>117</v>
      </c>
      <c r="D35" s="32" t="s">
        <v>128</v>
      </c>
      <c r="E35" s="34">
        <v>17093.7</v>
      </c>
      <c r="F35" s="34">
        <v>20739.3</v>
      </c>
      <c r="G35" s="34">
        <v>19886.5</v>
      </c>
      <c r="H35" s="34">
        <v>21169.9</v>
      </c>
      <c r="I35" s="34">
        <v>21370.7</v>
      </c>
      <c r="J35" s="34">
        <v>28026.799999999999</v>
      </c>
      <c r="K35" s="34">
        <v>31977.200000000001</v>
      </c>
      <c r="L35" s="34">
        <v>35922.400000000001</v>
      </c>
      <c r="M35" s="34">
        <v>35607.199999999997</v>
      </c>
      <c r="N35" s="34">
        <v>35780.800000000003</v>
      </c>
      <c r="O35" s="34">
        <v>36397.300000000003</v>
      </c>
      <c r="P35" s="34">
        <v>0</v>
      </c>
      <c r="Q35" s="34">
        <v>0</v>
      </c>
      <c r="R35" s="34">
        <v>0</v>
      </c>
      <c r="S35" s="34" t="s">
        <v>184</v>
      </c>
    </row>
    <row r="36" spans="1:19" s="30" customFormat="1" x14ac:dyDescent="0.3">
      <c r="A36" s="30" t="s">
        <v>183</v>
      </c>
      <c r="B36" s="35" t="s">
        <v>65</v>
      </c>
      <c r="C36" s="30" t="s">
        <v>117</v>
      </c>
      <c r="D36" s="30" t="s">
        <v>129</v>
      </c>
      <c r="E36" s="38">
        <v>296811</v>
      </c>
      <c r="F36" s="38">
        <v>362300.8</v>
      </c>
      <c r="G36" s="38">
        <v>347860.3</v>
      </c>
      <c r="H36" s="38">
        <v>365615</v>
      </c>
      <c r="I36" s="38">
        <v>376946.2</v>
      </c>
      <c r="J36" s="38">
        <v>417613.2</v>
      </c>
      <c r="K36" s="38">
        <v>430627</v>
      </c>
      <c r="L36" s="38">
        <v>439863.3</v>
      </c>
      <c r="M36" s="38">
        <v>443022.5</v>
      </c>
      <c r="N36" s="38">
        <v>449764.7</v>
      </c>
      <c r="O36" s="38">
        <v>459813.4</v>
      </c>
      <c r="P36" s="30">
        <v>0</v>
      </c>
      <c r="Q36" s="30">
        <v>0</v>
      </c>
      <c r="R36" s="30">
        <v>0</v>
      </c>
      <c r="S36" s="30" t="s">
        <v>184</v>
      </c>
    </row>
    <row r="37" spans="1:19" s="17" customFormat="1" x14ac:dyDescent="0.3">
      <c r="A37" s="17" t="s">
        <v>183</v>
      </c>
      <c r="B37" s="28" t="s">
        <v>65</v>
      </c>
      <c r="C37" s="17" t="s">
        <v>117</v>
      </c>
      <c r="D37" s="17" t="s">
        <v>162</v>
      </c>
      <c r="E37" s="37">
        <v>4231630</v>
      </c>
      <c r="F37" s="37">
        <v>5349060</v>
      </c>
      <c r="G37" s="37">
        <v>5368570</v>
      </c>
      <c r="H37" s="37">
        <v>5484900</v>
      </c>
      <c r="I37" s="37">
        <v>5594420</v>
      </c>
      <c r="J37" s="37">
        <v>5972880</v>
      </c>
      <c r="K37" s="37">
        <v>6109890</v>
      </c>
      <c r="L37" s="37">
        <v>6242380</v>
      </c>
      <c r="M37" s="37">
        <v>6331320</v>
      </c>
      <c r="N37" s="37">
        <v>6445650</v>
      </c>
      <c r="O37" s="37">
        <v>6586200</v>
      </c>
      <c r="P37" s="17">
        <v>0</v>
      </c>
      <c r="Q37" s="17">
        <v>0</v>
      </c>
      <c r="R37" s="17">
        <v>0</v>
      </c>
      <c r="S37" s="17" t="s">
        <v>184</v>
      </c>
    </row>
    <row r="38" spans="1:19" s="30" customFormat="1" x14ac:dyDescent="0.3">
      <c r="A38" s="30" t="s">
        <v>183</v>
      </c>
      <c r="B38" s="35" t="s">
        <v>65</v>
      </c>
      <c r="C38" s="30" t="s">
        <v>117</v>
      </c>
      <c r="D38" s="30" t="s">
        <v>164</v>
      </c>
      <c r="E38" s="38">
        <v>104898</v>
      </c>
      <c r="F38" s="38">
        <v>111333</v>
      </c>
      <c r="G38" s="38">
        <v>113588</v>
      </c>
      <c r="H38" s="38">
        <v>115202</v>
      </c>
      <c r="I38" s="38">
        <v>115973</v>
      </c>
      <c r="J38" s="38">
        <v>107451</v>
      </c>
      <c r="K38" s="38">
        <v>103615</v>
      </c>
      <c r="L38" s="38">
        <v>100231</v>
      </c>
      <c r="M38" s="38">
        <v>97455.8</v>
      </c>
      <c r="N38" s="38">
        <v>94697.1</v>
      </c>
      <c r="O38" s="38">
        <v>91974.399999999994</v>
      </c>
      <c r="P38" s="30">
        <v>0</v>
      </c>
      <c r="Q38" s="30">
        <v>0</v>
      </c>
      <c r="R38" s="30">
        <v>0</v>
      </c>
      <c r="S38" s="30" t="s">
        <v>184</v>
      </c>
    </row>
    <row r="39" spans="1:19" s="30" customFormat="1" x14ac:dyDescent="0.3">
      <c r="A39" s="30" t="s">
        <v>183</v>
      </c>
      <c r="B39" s="35" t="s">
        <v>65</v>
      </c>
      <c r="C39" s="30" t="s">
        <v>130</v>
      </c>
      <c r="D39" s="30" t="s">
        <v>131</v>
      </c>
      <c r="E39" s="38">
        <v>573900.19999999995</v>
      </c>
      <c r="F39" s="38">
        <v>739489.7</v>
      </c>
      <c r="G39" s="38">
        <v>752113.8</v>
      </c>
      <c r="H39" s="38">
        <v>781792</v>
      </c>
      <c r="I39" s="38">
        <v>781697.299999999</v>
      </c>
      <c r="J39" s="38">
        <v>731664.80999999901</v>
      </c>
      <c r="K39" s="38">
        <v>700375</v>
      </c>
      <c r="L39" s="38">
        <v>669149.89999999898</v>
      </c>
      <c r="M39" s="38">
        <v>645129.6</v>
      </c>
      <c r="N39" s="38">
        <v>625332.30000000005</v>
      </c>
      <c r="O39" s="38">
        <v>607617</v>
      </c>
      <c r="P39" s="30">
        <v>0</v>
      </c>
      <c r="Q39" s="30">
        <v>0</v>
      </c>
      <c r="R39" s="30">
        <v>0</v>
      </c>
      <c r="S39" s="30" t="s">
        <v>184</v>
      </c>
    </row>
    <row r="40" spans="1:19" s="17" customFormat="1" x14ac:dyDescent="0.3">
      <c r="A40" s="17" t="s">
        <v>183</v>
      </c>
      <c r="B40" s="28" t="s">
        <v>65</v>
      </c>
      <c r="C40" s="17" t="s">
        <v>130</v>
      </c>
      <c r="D40" s="17" t="s">
        <v>165</v>
      </c>
      <c r="E40" s="37">
        <v>3657730</v>
      </c>
      <c r="F40" s="37">
        <v>4609570</v>
      </c>
      <c r="G40" s="37">
        <v>4616450</v>
      </c>
      <c r="H40" s="37">
        <v>4703110</v>
      </c>
      <c r="I40" s="37">
        <v>4812720</v>
      </c>
      <c r="J40" s="37">
        <v>5241220</v>
      </c>
      <c r="K40" s="37">
        <v>5409520</v>
      </c>
      <c r="L40" s="37">
        <v>5573230</v>
      </c>
      <c r="M40" s="37">
        <v>5686190</v>
      </c>
      <c r="N40" s="37">
        <v>5820310</v>
      </c>
      <c r="O40" s="37">
        <v>5978580</v>
      </c>
      <c r="P40" s="17">
        <v>0</v>
      </c>
      <c r="Q40" s="17">
        <v>0</v>
      </c>
      <c r="R40" s="17">
        <v>0</v>
      </c>
      <c r="S40" s="17" t="s">
        <v>184</v>
      </c>
    </row>
    <row r="41" spans="1:19" s="30" customFormat="1" x14ac:dyDescent="0.3">
      <c r="A41" s="30" t="s">
        <v>183</v>
      </c>
      <c r="B41" s="35" t="s">
        <v>65</v>
      </c>
      <c r="C41" s="30" t="s">
        <v>132</v>
      </c>
      <c r="D41" s="30" t="s">
        <v>133</v>
      </c>
      <c r="E41" s="38">
        <v>72561.2</v>
      </c>
      <c r="F41" s="38">
        <v>91441</v>
      </c>
      <c r="G41" s="38">
        <v>91678.399999999994</v>
      </c>
      <c r="H41" s="38">
        <v>93507.199999999997</v>
      </c>
      <c r="I41" s="38">
        <v>97021.1</v>
      </c>
      <c r="J41" s="38">
        <v>107249.4</v>
      </c>
      <c r="K41" s="38">
        <v>109920.799999999</v>
      </c>
      <c r="L41" s="38">
        <v>111856</v>
      </c>
      <c r="M41" s="38">
        <v>111779</v>
      </c>
      <c r="N41" s="38">
        <v>112875.2</v>
      </c>
      <c r="O41" s="38">
        <v>115078.7</v>
      </c>
      <c r="P41" s="30">
        <v>0</v>
      </c>
      <c r="Q41" s="30">
        <v>0</v>
      </c>
      <c r="R41" s="30">
        <v>0</v>
      </c>
      <c r="S41" s="30" t="s">
        <v>184</v>
      </c>
    </row>
    <row r="42" spans="1:19" s="30" customFormat="1" x14ac:dyDescent="0.3">
      <c r="A42" s="30" t="s">
        <v>183</v>
      </c>
      <c r="B42" s="35" t="s">
        <v>65</v>
      </c>
      <c r="C42" s="30" t="s">
        <v>132</v>
      </c>
      <c r="D42" s="30" t="s">
        <v>166</v>
      </c>
      <c r="E42" s="38">
        <v>3585170</v>
      </c>
      <c r="F42" s="38">
        <v>4518130</v>
      </c>
      <c r="G42" s="38">
        <v>4524770</v>
      </c>
      <c r="H42" s="38">
        <v>4609600</v>
      </c>
      <c r="I42" s="38">
        <v>4715700</v>
      </c>
      <c r="J42" s="38">
        <v>5133970</v>
      </c>
      <c r="K42" s="38">
        <v>5299600</v>
      </c>
      <c r="L42" s="38">
        <v>5461370</v>
      </c>
      <c r="M42" s="38">
        <v>5574410</v>
      </c>
      <c r="N42" s="38">
        <v>5707440</v>
      </c>
      <c r="O42" s="38">
        <v>5863510</v>
      </c>
      <c r="P42" s="30">
        <v>0</v>
      </c>
      <c r="Q42" s="30">
        <v>0</v>
      </c>
      <c r="R42" s="30">
        <v>0</v>
      </c>
      <c r="S42" s="30" t="s">
        <v>184</v>
      </c>
    </row>
    <row r="43" spans="1:19" s="17" customFormat="1" x14ac:dyDescent="0.3">
      <c r="A43" s="17" t="s">
        <v>183</v>
      </c>
      <c r="B43" s="28" t="s">
        <v>65</v>
      </c>
      <c r="C43" s="17" t="s">
        <v>134</v>
      </c>
      <c r="D43" s="17" t="s">
        <v>135</v>
      </c>
      <c r="E43" s="37">
        <v>2925308.7354000001</v>
      </c>
      <c r="F43" s="37">
        <v>3686544.997</v>
      </c>
      <c r="G43" s="37">
        <v>3690967.2480000001</v>
      </c>
      <c r="H43" s="37">
        <v>3759076.3509999998</v>
      </c>
      <c r="I43" s="37">
        <v>3833519.8149999999</v>
      </c>
      <c r="J43" s="37">
        <v>4150971.4369999999</v>
      </c>
      <c r="K43" s="37">
        <v>4232844.6852000002</v>
      </c>
      <c r="L43" s="37">
        <v>4316042.7168999901</v>
      </c>
      <c r="M43" s="37">
        <v>4378793.2215999998</v>
      </c>
      <c r="N43" s="37">
        <v>4486067.4977000002</v>
      </c>
      <c r="O43" s="37">
        <v>4605297.7399000004</v>
      </c>
      <c r="P43" s="17">
        <v>0</v>
      </c>
      <c r="Q43" s="17">
        <v>0</v>
      </c>
      <c r="R43" s="17">
        <v>0</v>
      </c>
      <c r="S43" s="17" t="s">
        <v>184</v>
      </c>
    </row>
    <row r="44" spans="1:19" s="17" customFormat="1" x14ac:dyDescent="0.3">
      <c r="A44" s="17" t="s">
        <v>183</v>
      </c>
      <c r="B44" s="28" t="s">
        <v>65</v>
      </c>
      <c r="C44" s="17" t="s">
        <v>134</v>
      </c>
      <c r="D44" s="17" t="s">
        <v>136</v>
      </c>
      <c r="E44" s="37">
        <v>659861.15659999999</v>
      </c>
      <c r="F44" s="37">
        <v>831577.60019999999</v>
      </c>
      <c r="G44" s="37">
        <v>833806.93700000003</v>
      </c>
      <c r="H44" s="37">
        <v>850525.37199999997</v>
      </c>
      <c r="I44" s="37">
        <v>882174.02139999997</v>
      </c>
      <c r="J44" s="37">
        <v>982993.24600000004</v>
      </c>
      <c r="K44" s="37">
        <v>1066750.5122</v>
      </c>
      <c r="L44" s="37">
        <v>1145326.91719999</v>
      </c>
      <c r="M44" s="37">
        <v>1195622.2333500001</v>
      </c>
      <c r="N44" s="37">
        <v>1221370.5997299999</v>
      </c>
      <c r="O44" s="37">
        <v>1258207.49198999</v>
      </c>
      <c r="P44" s="17">
        <v>0</v>
      </c>
      <c r="Q44" s="17">
        <v>0</v>
      </c>
      <c r="R44" s="17">
        <v>0</v>
      </c>
      <c r="S44" s="17" t="s">
        <v>184</v>
      </c>
    </row>
    <row r="45" spans="1:19" s="17" customFormat="1" x14ac:dyDescent="0.3">
      <c r="A45" s="17" t="s">
        <v>183</v>
      </c>
      <c r="B45" s="28" t="s">
        <v>65</v>
      </c>
      <c r="C45" s="17" t="s">
        <v>118</v>
      </c>
      <c r="D45" s="17" t="s">
        <v>137</v>
      </c>
      <c r="E45" s="37">
        <v>12346400</v>
      </c>
      <c r="F45" s="37">
        <v>18282500</v>
      </c>
      <c r="G45" s="37">
        <v>16574700</v>
      </c>
      <c r="H45" s="37">
        <v>14015900</v>
      </c>
      <c r="I45" s="37">
        <v>14055230</v>
      </c>
      <c r="J45" s="37">
        <v>14856130</v>
      </c>
      <c r="K45" s="37">
        <v>15426040</v>
      </c>
      <c r="L45" s="37">
        <v>16455166.641000001</v>
      </c>
      <c r="M45" s="37">
        <v>17170537.439999901</v>
      </c>
      <c r="N45" s="37">
        <v>17741282.189999901</v>
      </c>
      <c r="O45" s="37">
        <v>18312827.899999999</v>
      </c>
      <c r="P45" s="17">
        <v>0</v>
      </c>
      <c r="Q45" s="17">
        <v>0</v>
      </c>
      <c r="R45" s="17">
        <v>0</v>
      </c>
      <c r="S45" s="17" t="s">
        <v>185</v>
      </c>
    </row>
    <row r="47" spans="1:19" x14ac:dyDescent="0.3">
      <c r="A47" s="11" t="s">
        <v>138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115</v>
      </c>
      <c r="D48" s="9" t="s">
        <v>120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139</v>
      </c>
    </row>
    <row r="49" spans="1:29" x14ac:dyDescent="0.3">
      <c r="B49" t="s">
        <v>65</v>
      </c>
      <c r="C49" s="9" t="s">
        <v>115</v>
      </c>
      <c r="D49" s="9" t="s">
        <v>120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139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159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113</v>
      </c>
      <c r="D52" s="19" t="s">
        <v>160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114</v>
      </c>
      <c r="B53" s="18" t="s">
        <v>64</v>
      </c>
      <c r="C53" s="19" t="s">
        <v>115</v>
      </c>
      <c r="D53" s="19" t="s">
        <v>120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161</v>
      </c>
      <c r="AA53" s="20"/>
      <c r="AB53" s="20"/>
      <c r="AC53" s="20"/>
    </row>
    <row r="54" spans="1:29" s="17" customFormat="1" x14ac:dyDescent="0.3">
      <c r="A54" s="17" t="s">
        <v>114</v>
      </c>
      <c r="B54" s="18" t="s">
        <v>64</v>
      </c>
      <c r="C54" s="19" t="s">
        <v>116</v>
      </c>
      <c r="D54" s="19" t="s">
        <v>121</v>
      </c>
      <c r="E54" s="20">
        <v>7.9557499999999997E-4</v>
      </c>
      <c r="F54" s="20">
        <v>1.14108E-4</v>
      </c>
      <c r="G54" s="20">
        <v>2.4071100000000001E-4</v>
      </c>
      <c r="H54" s="20">
        <v>2.29626E-4</v>
      </c>
      <c r="I54" s="20">
        <v>2.29626E-4</v>
      </c>
      <c r="J54" s="20">
        <v>2.29626E-4</v>
      </c>
      <c r="K54" s="20">
        <v>2.29626E-4</v>
      </c>
      <c r="L54" s="20">
        <v>2.29626E-4</v>
      </c>
      <c r="M54" s="20">
        <v>2.29626E-4</v>
      </c>
      <c r="N54" s="20">
        <v>2.29626E-4</v>
      </c>
      <c r="O54" s="20">
        <v>2.29626E-4</v>
      </c>
      <c r="P54" s="20">
        <v>2.29626E-4</v>
      </c>
      <c r="Q54" s="20">
        <v>2.29626E-4</v>
      </c>
      <c r="R54" s="20">
        <v>2.29626E-4</v>
      </c>
      <c r="S54" s="20">
        <v>2.29626E-4</v>
      </c>
      <c r="T54" s="20">
        <v>2.29626E-4</v>
      </c>
      <c r="U54" s="20">
        <v>2.29626E-4</v>
      </c>
      <c r="V54" s="20">
        <v>2.29626E-4</v>
      </c>
      <c r="W54" s="20">
        <v>2.29626E-4</v>
      </c>
      <c r="X54" s="20">
        <v>2.29626E-4</v>
      </c>
      <c r="Y54" s="21">
        <v>2.29626E-4</v>
      </c>
      <c r="Z54" s="20" t="s">
        <v>161</v>
      </c>
      <c r="AA54" s="20"/>
      <c r="AB54" s="20"/>
      <c r="AC54" s="20"/>
    </row>
    <row r="55" spans="1:29" s="17" customFormat="1" x14ac:dyDescent="0.3">
      <c r="A55" s="17" t="s">
        <v>114</v>
      </c>
      <c r="B55" s="18" t="s">
        <v>64</v>
      </c>
      <c r="C55" s="19" t="s">
        <v>116</v>
      </c>
      <c r="D55" s="19" t="s">
        <v>122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161</v>
      </c>
      <c r="AA55" s="20"/>
      <c r="AB55" s="20"/>
      <c r="AC55" s="20"/>
    </row>
    <row r="56" spans="1:29" s="17" customFormat="1" x14ac:dyDescent="0.3">
      <c r="A56" s="17" t="s">
        <v>114</v>
      </c>
      <c r="B56" s="18" t="s">
        <v>64</v>
      </c>
      <c r="C56" s="19" t="s">
        <v>116</v>
      </c>
      <c r="D56" s="19" t="s">
        <v>162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161</v>
      </c>
      <c r="AA56" s="20"/>
      <c r="AB56" s="20"/>
      <c r="AC56" s="20"/>
    </row>
    <row r="57" spans="1:29" s="17" customFormat="1" x14ac:dyDescent="0.3">
      <c r="A57" s="17" t="s">
        <v>114</v>
      </c>
      <c r="B57" s="18" t="s">
        <v>64</v>
      </c>
      <c r="C57" s="19" t="s">
        <v>123</v>
      </c>
      <c r="D57" s="19" t="s">
        <v>124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161</v>
      </c>
      <c r="AA57" s="20"/>
      <c r="AB57" s="20"/>
      <c r="AC57" s="20"/>
    </row>
    <row r="58" spans="1:29" s="17" customFormat="1" x14ac:dyDescent="0.3">
      <c r="A58" s="17" t="s">
        <v>114</v>
      </c>
      <c r="B58" s="18" t="s">
        <v>64</v>
      </c>
      <c r="C58" s="19" t="s">
        <v>123</v>
      </c>
      <c r="D58" s="19" t="s">
        <v>125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161</v>
      </c>
      <c r="AA58" s="20"/>
      <c r="AB58" s="20"/>
      <c r="AC58" s="20"/>
    </row>
    <row r="59" spans="1:29" s="17" customFormat="1" x14ac:dyDescent="0.3">
      <c r="A59" s="17" t="s">
        <v>114</v>
      </c>
      <c r="B59" s="18" t="s">
        <v>64</v>
      </c>
      <c r="C59" s="19" t="s">
        <v>123</v>
      </c>
      <c r="D59" s="19" t="s">
        <v>126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161</v>
      </c>
      <c r="AA59" s="20"/>
      <c r="AB59" s="20"/>
      <c r="AC59" s="20"/>
    </row>
    <row r="60" spans="1:29" s="17" customFormat="1" x14ac:dyDescent="0.3">
      <c r="A60" s="17" t="s">
        <v>114</v>
      </c>
      <c r="B60" s="18" t="s">
        <v>64</v>
      </c>
      <c r="C60" s="19" t="s">
        <v>117</v>
      </c>
      <c r="D60" s="19" t="s">
        <v>163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161</v>
      </c>
      <c r="AA60" s="20"/>
      <c r="AB60" s="20"/>
      <c r="AC60" s="20"/>
    </row>
    <row r="61" spans="1:29" s="17" customFormat="1" x14ac:dyDescent="0.3">
      <c r="A61" s="17" t="s">
        <v>114</v>
      </c>
      <c r="B61" s="18" t="s">
        <v>64</v>
      </c>
      <c r="C61" s="19" t="s">
        <v>117</v>
      </c>
      <c r="D61" s="19" t="s">
        <v>127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161</v>
      </c>
      <c r="AA61" s="20"/>
      <c r="AB61" s="20"/>
      <c r="AC61" s="20"/>
    </row>
    <row r="62" spans="1:29" s="17" customFormat="1" x14ac:dyDescent="0.3">
      <c r="A62" s="17" t="s">
        <v>114</v>
      </c>
      <c r="B62" s="18" t="s">
        <v>64</v>
      </c>
      <c r="C62" s="19" t="s">
        <v>117</v>
      </c>
      <c r="D62" s="19" t="s">
        <v>128</v>
      </c>
      <c r="E62" s="20">
        <v>0</v>
      </c>
      <c r="F62" s="20">
        <v>0</v>
      </c>
      <c r="G62" s="20">
        <v>0</v>
      </c>
      <c r="H62" s="20">
        <v>0</v>
      </c>
      <c r="I62" s="20">
        <v>5.8823499999999997E-5</v>
      </c>
      <c r="J62" s="20">
        <v>1.1764699999999999E-4</v>
      </c>
      <c r="K62" s="20">
        <v>1.7647100000000001E-4</v>
      </c>
      <c r="L62" s="20">
        <v>2.3529399999999999E-4</v>
      </c>
      <c r="M62" s="20">
        <v>2.9411800000000001E-4</v>
      </c>
      <c r="N62" s="20">
        <v>3.5294100000000001E-4</v>
      </c>
      <c r="O62" s="20">
        <v>4.1176500000000003E-4</v>
      </c>
      <c r="P62" s="20">
        <v>4.7058799999999997E-4</v>
      </c>
      <c r="Q62" s="20">
        <v>5.2941200000000005E-4</v>
      </c>
      <c r="R62" s="20">
        <v>5.8823499999999999E-4</v>
      </c>
      <c r="S62" s="20">
        <v>6.4705899999999996E-4</v>
      </c>
      <c r="T62" s="20">
        <v>7.0588200000000002E-4</v>
      </c>
      <c r="U62" s="20">
        <v>7.6470599999999998E-4</v>
      </c>
      <c r="V62" s="20">
        <v>8.2352900000000004E-4</v>
      </c>
      <c r="W62" s="20">
        <v>8.82353E-4</v>
      </c>
      <c r="X62" s="20">
        <v>9.4117599999999995E-4</v>
      </c>
      <c r="Y62" s="20">
        <v>1E-3</v>
      </c>
      <c r="Z62" s="20" t="s">
        <v>161</v>
      </c>
      <c r="AA62" s="20"/>
      <c r="AB62" s="20"/>
      <c r="AC62" s="20"/>
    </row>
    <row r="63" spans="1:29" s="17" customFormat="1" x14ac:dyDescent="0.3">
      <c r="A63" s="17" t="s">
        <v>114</v>
      </c>
      <c r="B63" s="18" t="s">
        <v>64</v>
      </c>
      <c r="C63" s="19" t="s">
        <v>117</v>
      </c>
      <c r="D63" s="19" t="s">
        <v>129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161</v>
      </c>
      <c r="AA63" s="20"/>
      <c r="AB63" s="20"/>
      <c r="AC63" s="20"/>
    </row>
    <row r="64" spans="1:29" s="17" customFormat="1" x14ac:dyDescent="0.3">
      <c r="A64" s="17" t="s">
        <v>114</v>
      </c>
      <c r="B64" s="18" t="s">
        <v>64</v>
      </c>
      <c r="C64" s="19" t="s">
        <v>117</v>
      </c>
      <c r="D64" s="19" t="s">
        <v>164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161</v>
      </c>
      <c r="AA64" s="20"/>
      <c r="AB64" s="20"/>
      <c r="AC64" s="20"/>
    </row>
    <row r="65" spans="1:29" s="17" customFormat="1" x14ac:dyDescent="0.3">
      <c r="A65" s="17" t="s">
        <v>114</v>
      </c>
      <c r="B65" s="23" t="s">
        <v>64</v>
      </c>
      <c r="C65" s="19" t="s">
        <v>117</v>
      </c>
      <c r="D65" s="19" t="s">
        <v>162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161</v>
      </c>
      <c r="AA65" s="20"/>
      <c r="AB65" s="20"/>
      <c r="AC65" s="20"/>
    </row>
    <row r="66" spans="1:29" s="17" customFormat="1" x14ac:dyDescent="0.3">
      <c r="A66" s="17" t="s">
        <v>114</v>
      </c>
      <c r="B66" s="23" t="s">
        <v>64</v>
      </c>
      <c r="C66" s="19" t="s">
        <v>130</v>
      </c>
      <c r="D66" s="19" t="s">
        <v>131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161</v>
      </c>
      <c r="AA66" s="20"/>
      <c r="AB66" s="20"/>
      <c r="AC66" s="20"/>
    </row>
    <row r="67" spans="1:29" s="17" customFormat="1" x14ac:dyDescent="0.3">
      <c r="A67" s="17" t="s">
        <v>114</v>
      </c>
      <c r="B67" s="24" t="s">
        <v>64</v>
      </c>
      <c r="C67" s="17" t="s">
        <v>130</v>
      </c>
      <c r="D67" s="17" t="s">
        <v>165</v>
      </c>
      <c r="E67" s="37">
        <v>1</v>
      </c>
      <c r="F67" s="37">
        <v>1</v>
      </c>
      <c r="G67" s="37">
        <v>1</v>
      </c>
      <c r="H67" s="37">
        <v>1</v>
      </c>
      <c r="I67" s="37">
        <v>1</v>
      </c>
      <c r="J67" s="37">
        <v>1</v>
      </c>
      <c r="K67" s="37">
        <v>1</v>
      </c>
      <c r="L67" s="37">
        <v>1</v>
      </c>
      <c r="M67" s="37">
        <v>1</v>
      </c>
      <c r="N67" s="37">
        <v>1</v>
      </c>
      <c r="O67" s="37">
        <v>1</v>
      </c>
      <c r="P67" s="37">
        <v>1</v>
      </c>
      <c r="Q67" s="37">
        <v>1</v>
      </c>
      <c r="R67" s="37">
        <v>1</v>
      </c>
      <c r="S67" s="37">
        <v>1</v>
      </c>
      <c r="T67" s="37">
        <v>1</v>
      </c>
      <c r="U67" s="37">
        <v>1</v>
      </c>
      <c r="V67" s="37">
        <v>1</v>
      </c>
      <c r="W67" s="37">
        <v>1</v>
      </c>
      <c r="X67" s="37">
        <v>1</v>
      </c>
      <c r="Y67" s="17">
        <v>1</v>
      </c>
      <c r="Z67" s="17" t="s">
        <v>161</v>
      </c>
    </row>
    <row r="68" spans="1:29" s="17" customFormat="1" x14ac:dyDescent="0.3">
      <c r="A68" s="17" t="s">
        <v>114</v>
      </c>
      <c r="B68" s="24" t="s">
        <v>64</v>
      </c>
      <c r="C68" s="17" t="s">
        <v>132</v>
      </c>
      <c r="D68" s="17" t="s">
        <v>133</v>
      </c>
      <c r="E68" s="37">
        <v>1.2316300000000001E-2</v>
      </c>
      <c r="F68" s="37">
        <v>1.07405E-2</v>
      </c>
      <c r="G68" s="37">
        <v>1.1504500000000001E-2</v>
      </c>
      <c r="H68" s="37">
        <v>1.2729000000000001E-2</v>
      </c>
      <c r="I68" s="37">
        <v>1.2729000000000001E-2</v>
      </c>
      <c r="J68" s="37">
        <v>1.2729000000000001E-2</v>
      </c>
      <c r="K68" s="37">
        <v>1.2729000000000001E-2</v>
      </c>
      <c r="L68" s="37">
        <v>1.2729000000000001E-2</v>
      </c>
      <c r="M68" s="37">
        <v>1.2729000000000001E-2</v>
      </c>
      <c r="N68" s="37">
        <v>1.2729000000000001E-2</v>
      </c>
      <c r="O68" s="37">
        <v>1.2729000000000001E-2</v>
      </c>
      <c r="P68" s="37">
        <v>1.2729000000000001E-2</v>
      </c>
      <c r="Q68" s="37">
        <v>1.2729000000000001E-2</v>
      </c>
      <c r="R68" s="37">
        <v>1.2729000000000001E-2</v>
      </c>
      <c r="S68" s="37">
        <v>1.2729000000000001E-2</v>
      </c>
      <c r="T68" s="37">
        <v>1.2729000000000001E-2</v>
      </c>
      <c r="U68" s="37">
        <v>1.2729000000000001E-2</v>
      </c>
      <c r="V68" s="37">
        <v>1.2729000000000001E-2</v>
      </c>
      <c r="W68" s="37">
        <v>1.2729000000000001E-2</v>
      </c>
      <c r="X68" s="37">
        <v>1.2729000000000001E-2</v>
      </c>
      <c r="Y68" s="17">
        <v>1.2729000000000001E-2</v>
      </c>
      <c r="Z68" s="17" t="s">
        <v>161</v>
      </c>
    </row>
    <row r="69" spans="1:29" s="17" customFormat="1" x14ac:dyDescent="0.3">
      <c r="A69" s="17" t="s">
        <v>114</v>
      </c>
      <c r="B69" s="24" t="s">
        <v>64</v>
      </c>
      <c r="C69" s="17" t="s">
        <v>132</v>
      </c>
      <c r="D69" s="17" t="s">
        <v>166</v>
      </c>
      <c r="E69" s="37">
        <v>1</v>
      </c>
      <c r="F69" s="37">
        <v>1</v>
      </c>
      <c r="G69" s="37">
        <v>1</v>
      </c>
      <c r="H69" s="37">
        <v>1</v>
      </c>
      <c r="I69" s="37">
        <v>1</v>
      </c>
      <c r="J69" s="37">
        <v>1</v>
      </c>
      <c r="K69" s="37">
        <v>1</v>
      </c>
      <c r="L69" s="37">
        <v>1</v>
      </c>
      <c r="M69" s="37">
        <v>1</v>
      </c>
      <c r="N69" s="37">
        <v>1</v>
      </c>
      <c r="O69" s="37">
        <v>1</v>
      </c>
      <c r="P69" s="37">
        <v>1</v>
      </c>
      <c r="Q69" s="37">
        <v>1</v>
      </c>
      <c r="R69" s="37">
        <v>1</v>
      </c>
      <c r="S69" s="37">
        <v>1</v>
      </c>
      <c r="T69" s="37">
        <v>1</v>
      </c>
      <c r="U69" s="37">
        <v>1</v>
      </c>
      <c r="V69" s="37">
        <v>1</v>
      </c>
      <c r="W69" s="37">
        <v>1</v>
      </c>
      <c r="X69" s="37">
        <v>1</v>
      </c>
      <c r="Y69" s="17">
        <v>1</v>
      </c>
      <c r="Z69" s="17" t="s">
        <v>161</v>
      </c>
    </row>
    <row r="70" spans="1:29" s="17" customFormat="1" x14ac:dyDescent="0.3">
      <c r="A70" s="17" t="s">
        <v>114</v>
      </c>
      <c r="B70" s="24" t="s">
        <v>64</v>
      </c>
      <c r="C70" s="17" t="s">
        <v>134</v>
      </c>
      <c r="D70" s="17" t="s">
        <v>135</v>
      </c>
      <c r="E70" s="37">
        <v>1</v>
      </c>
      <c r="F70" s="37">
        <v>1</v>
      </c>
      <c r="G70" s="37">
        <v>1</v>
      </c>
      <c r="H70" s="37">
        <v>1</v>
      </c>
      <c r="I70" s="37">
        <v>1</v>
      </c>
      <c r="J70" s="37">
        <v>1</v>
      </c>
      <c r="K70" s="37">
        <v>1</v>
      </c>
      <c r="L70" s="37">
        <v>1</v>
      </c>
      <c r="M70" s="37">
        <v>1</v>
      </c>
      <c r="N70" s="37">
        <v>1</v>
      </c>
      <c r="O70" s="37">
        <v>1</v>
      </c>
      <c r="P70" s="37">
        <v>1</v>
      </c>
      <c r="Q70" s="37">
        <v>1</v>
      </c>
      <c r="R70" s="37">
        <v>1</v>
      </c>
      <c r="S70" s="37">
        <v>1</v>
      </c>
      <c r="T70" s="37">
        <v>1</v>
      </c>
      <c r="U70" s="37">
        <v>1</v>
      </c>
      <c r="V70" s="37">
        <v>1</v>
      </c>
      <c r="W70" s="37">
        <v>1</v>
      </c>
      <c r="X70" s="37">
        <v>1</v>
      </c>
      <c r="Y70" s="17">
        <v>1</v>
      </c>
      <c r="Z70" s="17" t="s">
        <v>161</v>
      </c>
    </row>
    <row r="71" spans="1:29" s="17" customFormat="1" x14ac:dyDescent="0.3">
      <c r="A71" s="17" t="s">
        <v>114</v>
      </c>
      <c r="B71" s="24" t="s">
        <v>64</v>
      </c>
      <c r="C71" s="17" t="s">
        <v>134</v>
      </c>
      <c r="D71" s="17" t="s">
        <v>136</v>
      </c>
      <c r="E71" s="37">
        <v>0.359823</v>
      </c>
      <c r="F71" s="37">
        <v>0.26042300000000002</v>
      </c>
      <c r="G71" s="37">
        <v>0.208065</v>
      </c>
      <c r="H71" s="37">
        <v>0.175646</v>
      </c>
      <c r="I71" s="37">
        <v>0.175646</v>
      </c>
      <c r="J71" s="37">
        <v>0.175646</v>
      </c>
      <c r="K71" s="37">
        <v>0.175646</v>
      </c>
      <c r="L71" s="37">
        <v>0.175646</v>
      </c>
      <c r="M71" s="37">
        <v>0.175646</v>
      </c>
      <c r="N71" s="37">
        <v>0.175646</v>
      </c>
      <c r="O71" s="37">
        <v>0.175646</v>
      </c>
      <c r="P71" s="37">
        <v>0.175646</v>
      </c>
      <c r="Q71" s="37">
        <v>0.175646</v>
      </c>
      <c r="R71" s="37">
        <v>0.175646</v>
      </c>
      <c r="S71" s="37">
        <v>0.175646</v>
      </c>
      <c r="T71" s="37">
        <v>0.175646</v>
      </c>
      <c r="U71" s="37">
        <v>0.175646</v>
      </c>
      <c r="V71" s="37">
        <v>0.175646</v>
      </c>
      <c r="W71" s="37">
        <v>0.175646</v>
      </c>
      <c r="X71" s="37">
        <v>0.175646</v>
      </c>
      <c r="Y71" s="17">
        <v>0.175646</v>
      </c>
      <c r="Z71" s="17" t="s">
        <v>161</v>
      </c>
    </row>
    <row r="72" spans="1:29" s="17" customFormat="1" x14ac:dyDescent="0.3">
      <c r="A72" s="17" t="s">
        <v>114</v>
      </c>
      <c r="B72" s="24" t="s">
        <v>64</v>
      </c>
      <c r="C72" s="17" t="s">
        <v>118</v>
      </c>
      <c r="D72" s="17" t="s">
        <v>137</v>
      </c>
      <c r="E72" s="37">
        <v>1</v>
      </c>
      <c r="F72" s="37">
        <v>1</v>
      </c>
      <c r="G72" s="37">
        <v>1</v>
      </c>
      <c r="H72" s="37">
        <v>1</v>
      </c>
      <c r="I72" s="37">
        <v>1</v>
      </c>
      <c r="J72" s="37">
        <v>1</v>
      </c>
      <c r="K72" s="37">
        <v>1</v>
      </c>
      <c r="L72" s="37">
        <v>1</v>
      </c>
      <c r="M72" s="37">
        <v>1</v>
      </c>
      <c r="N72" s="37">
        <v>1</v>
      </c>
      <c r="O72" s="37">
        <v>1</v>
      </c>
      <c r="P72" s="37">
        <v>1</v>
      </c>
      <c r="Q72" s="37">
        <v>1</v>
      </c>
      <c r="R72" s="37">
        <v>1</v>
      </c>
      <c r="S72" s="37">
        <v>1</v>
      </c>
      <c r="T72" s="37">
        <v>1</v>
      </c>
      <c r="U72" s="37">
        <v>1</v>
      </c>
      <c r="V72" s="37">
        <v>1</v>
      </c>
      <c r="W72" s="37">
        <v>1</v>
      </c>
      <c r="X72" s="37">
        <v>1</v>
      </c>
      <c r="Y72" s="17">
        <v>1</v>
      </c>
      <c r="Z72" s="17" t="s">
        <v>161</v>
      </c>
    </row>
    <row r="73" spans="1:29" s="17" customFormat="1" x14ac:dyDescent="0.3">
      <c r="A73" s="17" t="s">
        <v>114</v>
      </c>
      <c r="B73" s="24" t="s">
        <v>65</v>
      </c>
      <c r="C73" s="17" t="s">
        <v>115</v>
      </c>
      <c r="D73" s="17" t="s">
        <v>120</v>
      </c>
      <c r="E73" s="37">
        <v>1</v>
      </c>
      <c r="F73" s="37">
        <v>1</v>
      </c>
      <c r="G73" s="37">
        <v>1</v>
      </c>
      <c r="H73" s="37">
        <v>1</v>
      </c>
      <c r="I73" s="37">
        <v>1</v>
      </c>
      <c r="J73" s="37">
        <v>1</v>
      </c>
      <c r="K73" s="37">
        <v>1</v>
      </c>
      <c r="L73" s="37">
        <v>1</v>
      </c>
      <c r="M73" s="37">
        <v>1</v>
      </c>
      <c r="N73" s="37">
        <v>1</v>
      </c>
      <c r="O73" s="37">
        <v>1</v>
      </c>
      <c r="P73" s="37">
        <v>1</v>
      </c>
      <c r="Q73" s="37">
        <v>1</v>
      </c>
      <c r="R73" s="37">
        <v>1</v>
      </c>
      <c r="S73" s="37">
        <v>1</v>
      </c>
      <c r="T73" s="37">
        <v>1</v>
      </c>
      <c r="U73" s="37">
        <v>1</v>
      </c>
      <c r="V73" s="37">
        <v>1</v>
      </c>
      <c r="W73" s="37">
        <v>1</v>
      </c>
      <c r="X73" s="37">
        <v>1</v>
      </c>
      <c r="Y73" s="17">
        <v>1</v>
      </c>
      <c r="Z73" s="17" t="s">
        <v>161</v>
      </c>
    </row>
    <row r="74" spans="1:29" s="17" customFormat="1" x14ac:dyDescent="0.3">
      <c r="A74" s="17" t="s">
        <v>114</v>
      </c>
      <c r="B74" s="24" t="s">
        <v>65</v>
      </c>
      <c r="C74" s="17" t="s">
        <v>116</v>
      </c>
      <c r="D74" s="17" t="s">
        <v>121</v>
      </c>
      <c r="E74" s="37">
        <v>4.7439200000000002E-4</v>
      </c>
      <c r="F74" s="37">
        <v>4.8746199999999998E-4</v>
      </c>
      <c r="G74" s="37">
        <v>9.3373000000000002E-4</v>
      </c>
      <c r="H74" s="37">
        <v>8.18087E-4</v>
      </c>
      <c r="I74" s="37">
        <v>8.18087E-4</v>
      </c>
      <c r="J74" s="37">
        <v>8.18087E-4</v>
      </c>
      <c r="K74" s="37">
        <v>8.18087E-4</v>
      </c>
      <c r="L74" s="37">
        <v>8.18087E-4</v>
      </c>
      <c r="M74" s="37">
        <v>8.18087E-4</v>
      </c>
      <c r="N74" s="37">
        <v>8.18087E-4</v>
      </c>
      <c r="O74" s="37">
        <v>8.18087E-4</v>
      </c>
      <c r="P74" s="37">
        <v>8.18087E-4</v>
      </c>
      <c r="Q74" s="37">
        <v>8.18087E-4</v>
      </c>
      <c r="R74" s="37">
        <v>8.18087E-4</v>
      </c>
      <c r="S74" s="37">
        <v>8.18087E-4</v>
      </c>
      <c r="T74" s="37">
        <v>8.18087E-4</v>
      </c>
      <c r="U74" s="37">
        <v>8.18087E-4</v>
      </c>
      <c r="V74" s="37">
        <v>8.18087E-4</v>
      </c>
      <c r="W74" s="37">
        <v>8.18087E-4</v>
      </c>
      <c r="X74" s="37">
        <v>8.18087E-4</v>
      </c>
      <c r="Y74" s="22">
        <v>8.18087E-4</v>
      </c>
      <c r="Z74" s="17" t="s">
        <v>161</v>
      </c>
    </row>
    <row r="75" spans="1:29" s="17" customFormat="1" x14ac:dyDescent="0.3">
      <c r="A75" s="17" t="s">
        <v>114</v>
      </c>
      <c r="B75" s="24" t="s">
        <v>65</v>
      </c>
      <c r="C75" s="17" t="s">
        <v>116</v>
      </c>
      <c r="D75" s="17" t="s">
        <v>122</v>
      </c>
      <c r="E75" s="37">
        <v>1.54354E-2</v>
      </c>
      <c r="F75" s="37">
        <v>1.49341E-2</v>
      </c>
      <c r="G75" s="37">
        <v>1.4138100000000001E-2</v>
      </c>
      <c r="H75" s="37">
        <v>1.46433E-2</v>
      </c>
      <c r="I75" s="37">
        <v>1.46433E-2</v>
      </c>
      <c r="J75" s="37">
        <v>1.46433E-2</v>
      </c>
      <c r="K75" s="37">
        <v>1.46433E-2</v>
      </c>
      <c r="L75" s="37">
        <v>1.46433E-2</v>
      </c>
      <c r="M75" s="37">
        <v>1.46433E-2</v>
      </c>
      <c r="N75" s="37">
        <v>1.46433E-2</v>
      </c>
      <c r="O75" s="37">
        <v>1.46433E-2</v>
      </c>
      <c r="P75" s="37">
        <v>1.46433E-2</v>
      </c>
      <c r="Q75" s="37">
        <v>1.46433E-2</v>
      </c>
      <c r="R75" s="37">
        <v>1.46433E-2</v>
      </c>
      <c r="S75" s="37">
        <v>1.46433E-2</v>
      </c>
      <c r="T75" s="37">
        <v>1.46433E-2</v>
      </c>
      <c r="U75" s="37">
        <v>1.46433E-2</v>
      </c>
      <c r="V75" s="37">
        <v>1.46433E-2</v>
      </c>
      <c r="W75" s="37">
        <v>1.46433E-2</v>
      </c>
      <c r="X75" s="37">
        <v>1.46433E-2</v>
      </c>
      <c r="Y75" s="17">
        <v>1.46433E-2</v>
      </c>
      <c r="Z75" s="17" t="s">
        <v>161</v>
      </c>
    </row>
    <row r="76" spans="1:29" s="17" customFormat="1" x14ac:dyDescent="0.3">
      <c r="A76" s="17" t="s">
        <v>114</v>
      </c>
      <c r="B76" s="24" t="s">
        <v>65</v>
      </c>
      <c r="C76" s="17" t="s">
        <v>116</v>
      </c>
      <c r="D76" s="17" t="s">
        <v>162</v>
      </c>
      <c r="E76" s="37">
        <v>1</v>
      </c>
      <c r="F76" s="37">
        <v>1</v>
      </c>
      <c r="G76" s="37">
        <v>1</v>
      </c>
      <c r="H76" s="37">
        <v>1</v>
      </c>
      <c r="I76" s="37">
        <v>1</v>
      </c>
      <c r="J76" s="37">
        <v>1</v>
      </c>
      <c r="K76" s="37">
        <v>1</v>
      </c>
      <c r="L76" s="37">
        <v>1</v>
      </c>
      <c r="M76" s="37">
        <v>1</v>
      </c>
      <c r="N76" s="37">
        <v>1</v>
      </c>
      <c r="O76" s="37">
        <v>1</v>
      </c>
      <c r="P76" s="37">
        <v>1</v>
      </c>
      <c r="Q76" s="37">
        <v>1</v>
      </c>
      <c r="R76" s="37">
        <v>1</v>
      </c>
      <c r="S76" s="37">
        <v>1</v>
      </c>
      <c r="T76" s="37">
        <v>1</v>
      </c>
      <c r="U76" s="37">
        <v>1</v>
      </c>
      <c r="V76" s="37">
        <v>1</v>
      </c>
      <c r="W76" s="37">
        <v>1</v>
      </c>
      <c r="X76" s="37">
        <v>1</v>
      </c>
      <c r="Y76" s="17">
        <v>1</v>
      </c>
      <c r="Z76" s="17" t="s">
        <v>161</v>
      </c>
    </row>
    <row r="77" spans="1:29" s="17" customFormat="1" x14ac:dyDescent="0.3">
      <c r="A77" s="17" t="s">
        <v>114</v>
      </c>
      <c r="B77" s="24" t="s">
        <v>65</v>
      </c>
      <c r="C77" s="17" t="s">
        <v>123</v>
      </c>
      <c r="D77" s="17" t="s">
        <v>124</v>
      </c>
      <c r="E77" s="37">
        <v>1</v>
      </c>
      <c r="F77" s="37">
        <v>1</v>
      </c>
      <c r="G77" s="37">
        <v>1</v>
      </c>
      <c r="H77" s="37">
        <v>1</v>
      </c>
      <c r="I77" s="37">
        <v>1</v>
      </c>
      <c r="J77" s="37">
        <v>1</v>
      </c>
      <c r="K77" s="37">
        <v>1</v>
      </c>
      <c r="L77" s="37">
        <v>1</v>
      </c>
      <c r="M77" s="37">
        <v>1</v>
      </c>
      <c r="N77" s="37">
        <v>1</v>
      </c>
      <c r="O77" s="37">
        <v>1</v>
      </c>
      <c r="P77" s="37">
        <v>1</v>
      </c>
      <c r="Q77" s="37">
        <v>1</v>
      </c>
      <c r="R77" s="37">
        <v>1</v>
      </c>
      <c r="S77" s="37">
        <v>1</v>
      </c>
      <c r="T77" s="37">
        <v>1</v>
      </c>
      <c r="U77" s="37">
        <v>1</v>
      </c>
      <c r="V77" s="37">
        <v>1</v>
      </c>
      <c r="W77" s="37">
        <v>1</v>
      </c>
      <c r="X77" s="37">
        <v>1</v>
      </c>
      <c r="Y77" s="17">
        <v>1</v>
      </c>
      <c r="Z77" s="17" t="s">
        <v>161</v>
      </c>
    </row>
    <row r="78" spans="1:29" s="17" customFormat="1" x14ac:dyDescent="0.3">
      <c r="A78" s="17" t="s">
        <v>114</v>
      </c>
      <c r="B78" s="24" t="s">
        <v>65</v>
      </c>
      <c r="C78" s="17" t="s">
        <v>123</v>
      </c>
      <c r="D78" s="17" t="s">
        <v>125</v>
      </c>
      <c r="E78" s="37">
        <v>0.423821</v>
      </c>
      <c r="F78" s="37">
        <v>0.42169499999999999</v>
      </c>
      <c r="G78" s="37">
        <v>0.40509299999999998</v>
      </c>
      <c r="H78" s="37">
        <v>0.40347699999999997</v>
      </c>
      <c r="I78" s="37">
        <v>0.40347699999999997</v>
      </c>
      <c r="J78" s="37">
        <v>0.40347699999999997</v>
      </c>
      <c r="K78" s="37">
        <v>0.40347699999999997</v>
      </c>
      <c r="L78" s="37">
        <v>0.40347699999999997</v>
      </c>
      <c r="M78" s="37">
        <v>0.40347699999999997</v>
      </c>
      <c r="N78" s="37">
        <v>0.40347699999999997</v>
      </c>
      <c r="O78" s="37">
        <v>0.40347699999999997</v>
      </c>
      <c r="P78" s="37">
        <v>0.40347699999999997</v>
      </c>
      <c r="Q78" s="37">
        <v>0.40347699999999997</v>
      </c>
      <c r="R78" s="37">
        <v>0.40347699999999997</v>
      </c>
      <c r="S78" s="37">
        <v>0.40347699999999997</v>
      </c>
      <c r="T78" s="37">
        <v>0.40347699999999997</v>
      </c>
      <c r="U78" s="37">
        <v>0.40347699999999997</v>
      </c>
      <c r="V78" s="37">
        <v>0.40347699999999997</v>
      </c>
      <c r="W78" s="37">
        <v>0.40347699999999997</v>
      </c>
      <c r="X78" s="37">
        <v>0.40347699999999997</v>
      </c>
      <c r="Y78" s="17">
        <v>0.40347699999999997</v>
      </c>
      <c r="Z78" s="17" t="s">
        <v>161</v>
      </c>
    </row>
    <row r="79" spans="1:29" s="17" customFormat="1" x14ac:dyDescent="0.3">
      <c r="A79" s="17" t="s">
        <v>114</v>
      </c>
      <c r="B79" s="24" t="s">
        <v>65</v>
      </c>
      <c r="C79" s="17" t="s">
        <v>123</v>
      </c>
      <c r="D79" s="17" t="s">
        <v>126</v>
      </c>
      <c r="E79" s="37">
        <v>0.35778700000000002</v>
      </c>
      <c r="F79" s="37">
        <v>0.35619699999999999</v>
      </c>
      <c r="G79" s="37">
        <v>0.34202900000000003</v>
      </c>
      <c r="H79" s="37">
        <v>0.33907500000000002</v>
      </c>
      <c r="I79" s="37">
        <v>0.33907500000000002</v>
      </c>
      <c r="J79" s="37">
        <v>0.33907500000000002</v>
      </c>
      <c r="K79" s="37">
        <v>0.33907500000000002</v>
      </c>
      <c r="L79" s="37">
        <v>0.33907500000000002</v>
      </c>
      <c r="M79" s="37">
        <v>0.33907500000000002</v>
      </c>
      <c r="N79" s="37">
        <v>0.33907500000000002</v>
      </c>
      <c r="O79" s="37">
        <v>0.33907500000000002</v>
      </c>
      <c r="P79" s="37">
        <v>0.33907500000000002</v>
      </c>
      <c r="Q79" s="37">
        <v>0.33907500000000002</v>
      </c>
      <c r="R79" s="37">
        <v>0.33907500000000002</v>
      </c>
      <c r="S79" s="37">
        <v>0.33907500000000002</v>
      </c>
      <c r="T79" s="37">
        <v>0.33907500000000002</v>
      </c>
      <c r="U79" s="37">
        <v>0.33907500000000002</v>
      </c>
      <c r="V79" s="37">
        <v>0.33907500000000002</v>
      </c>
      <c r="W79" s="37">
        <v>0.33907500000000002</v>
      </c>
      <c r="X79" s="37">
        <v>0.33907500000000002</v>
      </c>
      <c r="Y79" s="17">
        <v>0.33907500000000002</v>
      </c>
      <c r="Z79" s="17" t="s">
        <v>161</v>
      </c>
    </row>
    <row r="80" spans="1:29" s="17" customFormat="1" x14ac:dyDescent="0.3">
      <c r="A80" s="17" t="s">
        <v>114</v>
      </c>
      <c r="B80" s="24" t="s">
        <v>65</v>
      </c>
      <c r="C80" s="17" t="s">
        <v>117</v>
      </c>
      <c r="D80" s="17" t="s">
        <v>163</v>
      </c>
      <c r="E80" s="37">
        <v>2.1260299999999999E-2</v>
      </c>
      <c r="F80" s="37">
        <v>2.3236E-2</v>
      </c>
      <c r="G80" s="37">
        <v>2.3265500000000001E-2</v>
      </c>
      <c r="H80" s="37">
        <v>2.39487E-2</v>
      </c>
      <c r="I80" s="37">
        <v>2.39487E-2</v>
      </c>
      <c r="J80" s="37">
        <v>2.39487E-2</v>
      </c>
      <c r="K80" s="37">
        <v>2.39487E-2</v>
      </c>
      <c r="L80" s="37">
        <v>2.39487E-2</v>
      </c>
      <c r="M80" s="37">
        <v>2.39487E-2</v>
      </c>
      <c r="N80" s="37">
        <v>2.39487E-2</v>
      </c>
      <c r="O80" s="37">
        <v>2.39487E-2</v>
      </c>
      <c r="P80" s="37">
        <v>2.39487E-2</v>
      </c>
      <c r="Q80" s="37">
        <v>2.39487E-2</v>
      </c>
      <c r="R80" s="37">
        <v>2.39487E-2</v>
      </c>
      <c r="S80" s="37">
        <v>2.39487E-2</v>
      </c>
      <c r="T80" s="37">
        <v>2.39487E-2</v>
      </c>
      <c r="U80" s="37">
        <v>2.39487E-2</v>
      </c>
      <c r="V80" s="37">
        <v>2.39487E-2</v>
      </c>
      <c r="W80" s="37">
        <v>2.39487E-2</v>
      </c>
      <c r="X80" s="37">
        <v>2.39487E-2</v>
      </c>
      <c r="Y80" s="17">
        <v>2.39487E-2</v>
      </c>
      <c r="Z80" s="17" t="s">
        <v>161</v>
      </c>
    </row>
    <row r="81" spans="1:26" s="17" customFormat="1" x14ac:dyDescent="0.3">
      <c r="A81" s="17" t="s">
        <v>114</v>
      </c>
      <c r="B81" s="24" t="s">
        <v>65</v>
      </c>
      <c r="C81" s="17" t="s">
        <v>117</v>
      </c>
      <c r="D81" s="17" t="s">
        <v>127</v>
      </c>
      <c r="E81" s="37">
        <v>5.0770099999999999E-3</v>
      </c>
      <c r="F81" s="37">
        <v>6.2876900000000003E-3</v>
      </c>
      <c r="G81" s="37">
        <v>7.5431500000000002E-3</v>
      </c>
      <c r="H81" s="37">
        <v>8.0730999999999997E-3</v>
      </c>
      <c r="I81" s="37">
        <v>8.0730999999999997E-3</v>
      </c>
      <c r="J81" s="37">
        <v>8.0730999999999997E-3</v>
      </c>
      <c r="K81" s="37">
        <v>8.0730999999999997E-3</v>
      </c>
      <c r="L81" s="37">
        <v>8.0730999999999997E-3</v>
      </c>
      <c r="M81" s="37">
        <v>8.0730999999999997E-3</v>
      </c>
      <c r="N81" s="37">
        <v>8.0730999999999997E-3</v>
      </c>
      <c r="O81" s="37">
        <v>8.0730999999999997E-3</v>
      </c>
      <c r="P81" s="37">
        <v>8.0730999999999997E-3</v>
      </c>
      <c r="Q81" s="37">
        <v>8.0730999999999997E-3</v>
      </c>
      <c r="R81" s="37">
        <v>8.0730999999999997E-3</v>
      </c>
      <c r="S81" s="37">
        <v>8.0730999999999997E-3</v>
      </c>
      <c r="T81" s="37">
        <v>8.0730999999999997E-3</v>
      </c>
      <c r="U81" s="37">
        <v>8.0730999999999997E-3</v>
      </c>
      <c r="V81" s="37">
        <v>8.0730999999999997E-3</v>
      </c>
      <c r="W81" s="37">
        <v>8.0730999999999997E-3</v>
      </c>
      <c r="X81" s="37">
        <v>8.0730999999999997E-3</v>
      </c>
      <c r="Y81" s="17">
        <v>8.0730999999999997E-3</v>
      </c>
      <c r="Z81" s="17" t="s">
        <v>161</v>
      </c>
    </row>
    <row r="82" spans="1:26" s="17" customFormat="1" x14ac:dyDescent="0.3">
      <c r="A82" s="17" t="s">
        <v>114</v>
      </c>
      <c r="B82" s="24" t="s">
        <v>65</v>
      </c>
      <c r="C82" s="17" t="s">
        <v>117</v>
      </c>
      <c r="D82" s="17" t="s">
        <v>128</v>
      </c>
      <c r="E82" s="37">
        <v>3.1317300000000001E-3</v>
      </c>
      <c r="F82" s="37">
        <v>2.5906100000000001E-3</v>
      </c>
      <c r="G82" s="37">
        <v>2.3641000000000001E-3</v>
      </c>
      <c r="H82" s="37">
        <v>2.4110999999999998E-3</v>
      </c>
      <c r="I82" s="37">
        <v>2.3281E-3</v>
      </c>
      <c r="J82" s="37">
        <v>2.2450899999999999E-3</v>
      </c>
      <c r="K82" s="37">
        <v>2.1620799999999998E-3</v>
      </c>
      <c r="L82" s="37">
        <v>2.0790800000000001E-3</v>
      </c>
      <c r="M82" s="37">
        <v>1.99607E-3</v>
      </c>
      <c r="N82" s="37">
        <v>1.91307E-3</v>
      </c>
      <c r="O82" s="37">
        <v>1.8300600000000001E-3</v>
      </c>
      <c r="P82" s="37">
        <v>1.74705E-3</v>
      </c>
      <c r="Q82" s="37">
        <v>1.66405E-3</v>
      </c>
      <c r="R82" s="37">
        <v>1.5810399999999999E-3</v>
      </c>
      <c r="S82" s="37">
        <v>1.49804E-3</v>
      </c>
      <c r="T82" s="37">
        <v>1.4150300000000001E-3</v>
      </c>
      <c r="U82" s="37">
        <v>1.3320199999999999E-3</v>
      </c>
      <c r="V82" s="37">
        <v>1.24902E-3</v>
      </c>
      <c r="W82" s="37">
        <v>1.1660100000000001E-3</v>
      </c>
      <c r="X82" s="37">
        <v>1.0830099999999999E-3</v>
      </c>
      <c r="Y82" s="17">
        <v>1E-3</v>
      </c>
      <c r="Z82" s="17" t="s">
        <v>161</v>
      </c>
    </row>
    <row r="83" spans="1:26" s="17" customFormat="1" x14ac:dyDescent="0.3">
      <c r="A83" s="17" t="s">
        <v>114</v>
      </c>
      <c r="B83" s="24" t="s">
        <v>65</v>
      </c>
      <c r="C83" s="17" t="s">
        <v>117</v>
      </c>
      <c r="D83" s="17" t="s">
        <v>129</v>
      </c>
      <c r="E83" s="37">
        <v>5.5995400000000001E-2</v>
      </c>
      <c r="F83" s="37">
        <v>5.3605899999999998E-2</v>
      </c>
      <c r="G83" s="37">
        <v>4.9826000000000002E-2</v>
      </c>
      <c r="H83" s="37">
        <v>5.0994900000000003E-2</v>
      </c>
      <c r="I83" s="37">
        <v>5.0994900000000003E-2</v>
      </c>
      <c r="J83" s="37">
        <v>5.0994900000000003E-2</v>
      </c>
      <c r="K83" s="37">
        <v>5.0994900000000003E-2</v>
      </c>
      <c r="L83" s="37">
        <v>5.0994900000000003E-2</v>
      </c>
      <c r="M83" s="37">
        <v>5.0994900000000003E-2</v>
      </c>
      <c r="N83" s="37">
        <v>5.0994900000000003E-2</v>
      </c>
      <c r="O83" s="37">
        <v>5.0994900000000003E-2</v>
      </c>
      <c r="P83" s="37">
        <v>5.0994900000000003E-2</v>
      </c>
      <c r="Q83" s="37">
        <v>5.0994900000000003E-2</v>
      </c>
      <c r="R83" s="37">
        <v>5.0994900000000003E-2</v>
      </c>
      <c r="S83" s="37">
        <v>5.0994900000000003E-2</v>
      </c>
      <c r="T83" s="37">
        <v>5.0994900000000003E-2</v>
      </c>
      <c r="U83" s="37">
        <v>5.0994900000000003E-2</v>
      </c>
      <c r="V83" s="37">
        <v>5.0994900000000003E-2</v>
      </c>
      <c r="W83" s="37">
        <v>5.0994900000000003E-2</v>
      </c>
      <c r="X83" s="37">
        <v>5.0994900000000003E-2</v>
      </c>
      <c r="Y83" s="17">
        <v>5.0994900000000003E-2</v>
      </c>
      <c r="Z83" s="17" t="s">
        <v>161</v>
      </c>
    </row>
    <row r="84" spans="1:26" s="17" customFormat="1" x14ac:dyDescent="0.3">
      <c r="A84" s="17" t="s">
        <v>114</v>
      </c>
      <c r="B84" s="24" t="s">
        <v>65</v>
      </c>
      <c r="C84" s="17" t="s">
        <v>117</v>
      </c>
      <c r="D84" s="17" t="s">
        <v>164</v>
      </c>
      <c r="E84" s="17">
        <v>0.62284799999999996</v>
      </c>
      <c r="F84" s="17">
        <v>0.68072999999999995</v>
      </c>
      <c r="G84" s="17">
        <v>0.68160699999999996</v>
      </c>
      <c r="H84" s="17">
        <v>0.701623</v>
      </c>
      <c r="I84" s="17">
        <v>0.701623</v>
      </c>
      <c r="J84" s="17">
        <v>0.701623</v>
      </c>
      <c r="K84" s="17">
        <v>0.701623</v>
      </c>
      <c r="L84" s="17">
        <v>0.701623</v>
      </c>
      <c r="M84" s="17">
        <v>0.701623</v>
      </c>
      <c r="N84" s="17">
        <v>0.701623</v>
      </c>
      <c r="O84" s="17">
        <v>0.701623</v>
      </c>
      <c r="P84" s="17">
        <v>0.701623</v>
      </c>
      <c r="Q84" s="17">
        <v>0.701623</v>
      </c>
      <c r="R84" s="17">
        <v>0.701623</v>
      </c>
      <c r="S84" s="17">
        <v>0.701623</v>
      </c>
      <c r="T84" s="17">
        <v>0.701623</v>
      </c>
      <c r="U84" s="17">
        <v>0.701623</v>
      </c>
      <c r="V84" s="17">
        <v>0.701623</v>
      </c>
      <c r="W84" s="17">
        <v>0.701623</v>
      </c>
      <c r="X84" s="17">
        <v>0.701623</v>
      </c>
      <c r="Y84" s="17">
        <v>0.701623</v>
      </c>
      <c r="Z84" s="17" t="s">
        <v>161</v>
      </c>
    </row>
    <row r="85" spans="1:26" s="17" customFormat="1" x14ac:dyDescent="0.3">
      <c r="A85" s="17" t="s">
        <v>114</v>
      </c>
      <c r="B85" s="24" t="s">
        <v>65</v>
      </c>
      <c r="C85" s="17" t="s">
        <v>117</v>
      </c>
      <c r="D85" s="17" t="s">
        <v>162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161</v>
      </c>
    </row>
    <row r="86" spans="1:26" s="17" customFormat="1" x14ac:dyDescent="0.3">
      <c r="A86" s="17" t="s">
        <v>114</v>
      </c>
      <c r="B86" s="24" t="s">
        <v>65</v>
      </c>
      <c r="C86" s="17" t="s">
        <v>130</v>
      </c>
      <c r="D86" s="17" t="s">
        <v>131</v>
      </c>
      <c r="E86" s="17">
        <v>3.5795199999999999E-2</v>
      </c>
      <c r="F86" s="17">
        <v>4.9430200000000001E-2</v>
      </c>
      <c r="G86" s="17">
        <v>4.9579100000000001E-2</v>
      </c>
      <c r="H86" s="17">
        <v>5.3004000000000003E-2</v>
      </c>
      <c r="I86" s="17">
        <v>5.3004000000000003E-2</v>
      </c>
      <c r="J86" s="17">
        <v>5.3004000000000003E-2</v>
      </c>
      <c r="K86" s="17">
        <v>5.3004000000000003E-2</v>
      </c>
      <c r="L86" s="17">
        <v>5.3004000000000003E-2</v>
      </c>
      <c r="M86" s="17">
        <v>5.3004000000000003E-2</v>
      </c>
      <c r="N86" s="17">
        <v>5.3004000000000003E-2</v>
      </c>
      <c r="O86" s="17">
        <v>5.3004000000000003E-2</v>
      </c>
      <c r="P86" s="17">
        <v>5.3004000000000003E-2</v>
      </c>
      <c r="Q86" s="17">
        <v>5.3004000000000003E-2</v>
      </c>
      <c r="R86" s="17">
        <v>5.3004000000000003E-2</v>
      </c>
      <c r="S86" s="17">
        <v>5.3004000000000003E-2</v>
      </c>
      <c r="T86" s="17">
        <v>5.3004000000000003E-2</v>
      </c>
      <c r="U86" s="17">
        <v>5.3004000000000003E-2</v>
      </c>
      <c r="V86" s="17">
        <v>5.3004000000000003E-2</v>
      </c>
      <c r="W86" s="17">
        <v>5.3004000000000003E-2</v>
      </c>
      <c r="X86" s="17">
        <v>5.3004000000000003E-2</v>
      </c>
      <c r="Y86" s="17">
        <v>5.3004000000000003E-2</v>
      </c>
      <c r="Z86" s="17" t="s">
        <v>161</v>
      </c>
    </row>
    <row r="87" spans="1:26" s="17" customFormat="1" x14ac:dyDescent="0.3">
      <c r="A87" s="17" t="s">
        <v>114</v>
      </c>
      <c r="B87" s="24" t="s">
        <v>65</v>
      </c>
      <c r="C87" s="17" t="s">
        <v>130</v>
      </c>
      <c r="D87" s="17" t="s">
        <v>165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161</v>
      </c>
    </row>
    <row r="88" spans="1:26" s="17" customFormat="1" x14ac:dyDescent="0.3">
      <c r="A88" s="17" t="s">
        <v>114</v>
      </c>
      <c r="B88" s="24" t="s">
        <v>65</v>
      </c>
      <c r="C88" s="17" t="s">
        <v>132</v>
      </c>
      <c r="D88" s="17" t="s">
        <v>133</v>
      </c>
      <c r="E88" s="17">
        <v>1.8978999999999999E-2</v>
      </c>
      <c r="F88" s="17">
        <v>1.9852999999999999E-2</v>
      </c>
      <c r="G88" s="17">
        <v>1.9424E-2</v>
      </c>
      <c r="H88" s="17">
        <v>1.95251E-2</v>
      </c>
      <c r="I88" s="17">
        <v>1.95251E-2</v>
      </c>
      <c r="J88" s="17">
        <v>1.95251E-2</v>
      </c>
      <c r="K88" s="17">
        <v>1.95251E-2</v>
      </c>
      <c r="L88" s="17">
        <v>1.95251E-2</v>
      </c>
      <c r="M88" s="17">
        <v>1.95251E-2</v>
      </c>
      <c r="N88" s="17">
        <v>1.95251E-2</v>
      </c>
      <c r="O88" s="17">
        <v>1.95251E-2</v>
      </c>
      <c r="P88" s="17">
        <v>1.95251E-2</v>
      </c>
      <c r="Q88" s="17">
        <v>1.95251E-2</v>
      </c>
      <c r="R88" s="17">
        <v>1.95251E-2</v>
      </c>
      <c r="S88" s="17">
        <v>1.95251E-2</v>
      </c>
      <c r="T88" s="17">
        <v>1.95251E-2</v>
      </c>
      <c r="U88" s="17">
        <v>1.95251E-2</v>
      </c>
      <c r="V88" s="17">
        <v>1.95251E-2</v>
      </c>
      <c r="W88" s="17">
        <v>1.95251E-2</v>
      </c>
      <c r="X88" s="17">
        <v>1.95251E-2</v>
      </c>
      <c r="Y88" s="17">
        <v>1.95251E-2</v>
      </c>
      <c r="Z88" s="17" t="s">
        <v>161</v>
      </c>
    </row>
    <row r="89" spans="1:26" s="17" customFormat="1" x14ac:dyDescent="0.3">
      <c r="A89" s="17" t="s">
        <v>114</v>
      </c>
      <c r="B89" s="24" t="s">
        <v>65</v>
      </c>
      <c r="C89" s="17" t="s">
        <v>132</v>
      </c>
      <c r="D89" s="17" t="s">
        <v>166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161</v>
      </c>
    </row>
    <row r="90" spans="1:26" s="17" customFormat="1" x14ac:dyDescent="0.3">
      <c r="A90" s="17" t="s">
        <v>114</v>
      </c>
      <c r="B90" s="24" t="s">
        <v>65</v>
      </c>
      <c r="C90" s="17" t="s">
        <v>134</v>
      </c>
      <c r="D90" s="17" t="s">
        <v>135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161</v>
      </c>
    </row>
    <row r="91" spans="1:26" s="17" customFormat="1" x14ac:dyDescent="0.3">
      <c r="A91" s="17" t="s">
        <v>114</v>
      </c>
      <c r="B91" s="24" t="s">
        <v>65</v>
      </c>
      <c r="C91" s="17" t="s">
        <v>134</v>
      </c>
      <c r="D91" s="17" t="s">
        <v>136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161</v>
      </c>
    </row>
    <row r="92" spans="1:26" s="17" customFormat="1" x14ac:dyDescent="0.3">
      <c r="A92" s="17" t="s">
        <v>114</v>
      </c>
      <c r="B92" s="24" t="s">
        <v>65</v>
      </c>
      <c r="C92" s="17" t="s">
        <v>118</v>
      </c>
      <c r="D92" s="17" t="s">
        <v>137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161</v>
      </c>
    </row>
    <row r="95" spans="1:26" s="5" customFormat="1" x14ac:dyDescent="0.3">
      <c r="A95" s="5" t="s">
        <v>142</v>
      </c>
    </row>
    <row r="96" spans="1:26" x14ac:dyDescent="0.3">
      <c r="A96" t="s">
        <v>119</v>
      </c>
      <c r="B96" t="s">
        <v>102</v>
      </c>
      <c r="C96">
        <v>2015</v>
      </c>
      <c r="D96">
        <v>2020</v>
      </c>
      <c r="E96">
        <v>2050</v>
      </c>
      <c r="F96" t="s">
        <v>148</v>
      </c>
      <c r="G96" t="s">
        <v>111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143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149</v>
      </c>
    </row>
    <row r="98" spans="1:16" hidden="1" x14ac:dyDescent="0.3">
      <c r="A98" t="s">
        <v>143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149</v>
      </c>
      <c r="J98" s="8"/>
      <c r="K98" s="8"/>
    </row>
    <row r="99" spans="1:16" hidden="1" x14ac:dyDescent="0.3">
      <c r="A99" t="s">
        <v>143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149</v>
      </c>
    </row>
    <row r="100" spans="1:16" hidden="1" x14ac:dyDescent="0.3">
      <c r="A100" t="s">
        <v>143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149</v>
      </c>
    </row>
    <row r="101" spans="1:16" hidden="1" x14ac:dyDescent="0.3">
      <c r="A101" t="s">
        <v>143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149</v>
      </c>
      <c r="M101" s="8"/>
      <c r="N101" s="8"/>
      <c r="O101" s="8"/>
      <c r="P101" s="8"/>
    </row>
    <row r="102" spans="1:16" hidden="1" x14ac:dyDescent="0.3">
      <c r="A102" t="s">
        <v>143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149</v>
      </c>
      <c r="M102" s="8"/>
      <c r="N102" s="8"/>
      <c r="O102" s="8"/>
      <c r="P102" s="8"/>
    </row>
    <row r="103" spans="1:16" hidden="1" x14ac:dyDescent="0.3">
      <c r="A103" t="s">
        <v>143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149</v>
      </c>
    </row>
    <row r="104" spans="1:16" hidden="1" x14ac:dyDescent="0.3">
      <c r="A104" t="s">
        <v>143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149</v>
      </c>
      <c r="M104" s="8"/>
      <c r="N104" s="8"/>
      <c r="O104" s="8"/>
      <c r="P104" s="8"/>
    </row>
    <row r="105" spans="1:16" hidden="1" x14ac:dyDescent="0.3">
      <c r="A105" t="s">
        <v>143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149</v>
      </c>
      <c r="M105" s="8"/>
      <c r="N105" s="8"/>
      <c r="O105" s="8"/>
      <c r="P105" s="8"/>
    </row>
    <row r="106" spans="1:16" hidden="1" x14ac:dyDescent="0.3">
      <c r="A106" t="s">
        <v>143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149</v>
      </c>
    </row>
    <row r="107" spans="1:16" hidden="1" x14ac:dyDescent="0.3">
      <c r="A107" t="s">
        <v>143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149</v>
      </c>
      <c r="M107" s="8"/>
      <c r="N107" s="8"/>
      <c r="O107" s="8"/>
    </row>
    <row r="108" spans="1:16" hidden="1" x14ac:dyDescent="0.3">
      <c r="A108" t="s">
        <v>143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149</v>
      </c>
    </row>
    <row r="109" spans="1:16" hidden="1" x14ac:dyDescent="0.3">
      <c r="A109" t="s">
        <v>143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149</v>
      </c>
    </row>
    <row r="110" spans="1:16" hidden="1" x14ac:dyDescent="0.3">
      <c r="A110" t="s">
        <v>143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149</v>
      </c>
      <c r="M110" s="8"/>
      <c r="N110" s="8"/>
    </row>
    <row r="111" spans="1:16" hidden="1" x14ac:dyDescent="0.3">
      <c r="A111" t="s">
        <v>143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149</v>
      </c>
    </row>
    <row r="112" spans="1:16" hidden="1" x14ac:dyDescent="0.3">
      <c r="A112" t="s">
        <v>143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149</v>
      </c>
    </row>
    <row r="113" spans="1:15" hidden="1" x14ac:dyDescent="0.3">
      <c r="A113" t="s">
        <v>143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149</v>
      </c>
    </row>
    <row r="114" spans="1:15" hidden="1" x14ac:dyDescent="0.3">
      <c r="A114" t="s">
        <v>143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149</v>
      </c>
      <c r="K114" s="8"/>
      <c r="L114" s="8"/>
      <c r="M114" s="8"/>
      <c r="N114" s="8"/>
    </row>
    <row r="115" spans="1:15" hidden="1" x14ac:dyDescent="0.3">
      <c r="A115" t="s">
        <v>143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149</v>
      </c>
      <c r="K115" s="8"/>
      <c r="L115" s="8"/>
    </row>
    <row r="116" spans="1:15" hidden="1" x14ac:dyDescent="0.3">
      <c r="A116" t="s">
        <v>143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149</v>
      </c>
      <c r="K116" s="8"/>
      <c r="L116" s="8"/>
    </row>
    <row r="117" spans="1:15" hidden="1" x14ac:dyDescent="0.3">
      <c r="A117" t="s">
        <v>143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149</v>
      </c>
      <c r="K117" s="8"/>
      <c r="L117" s="8"/>
      <c r="M117" s="8"/>
      <c r="N117" s="8"/>
      <c r="O117" s="8"/>
    </row>
    <row r="118" spans="1:15" hidden="1" x14ac:dyDescent="0.3">
      <c r="A118" t="s">
        <v>143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149</v>
      </c>
      <c r="K118" s="8"/>
    </row>
    <row r="119" spans="1:15" hidden="1" x14ac:dyDescent="0.3">
      <c r="A119" t="s">
        <v>143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149</v>
      </c>
      <c r="K119" s="8"/>
      <c r="L119" s="8"/>
    </row>
    <row r="120" spans="1:15" hidden="1" x14ac:dyDescent="0.3">
      <c r="A120" t="s">
        <v>143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149</v>
      </c>
    </row>
    <row r="121" spans="1:15" hidden="1" x14ac:dyDescent="0.3">
      <c r="A121" t="s">
        <v>143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149</v>
      </c>
    </row>
    <row r="122" spans="1:15" hidden="1" x14ac:dyDescent="0.3">
      <c r="A122" t="s">
        <v>143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149</v>
      </c>
    </row>
    <row r="123" spans="1:15" hidden="1" x14ac:dyDescent="0.3">
      <c r="A123" t="s">
        <v>143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149</v>
      </c>
      <c r="M123" s="8"/>
    </row>
    <row r="124" spans="1:15" hidden="1" x14ac:dyDescent="0.3">
      <c r="A124" t="s">
        <v>143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149</v>
      </c>
    </row>
    <row r="125" spans="1:15" hidden="1" x14ac:dyDescent="0.3">
      <c r="A125" t="s">
        <v>144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149</v>
      </c>
    </row>
    <row r="126" spans="1:15" hidden="1" x14ac:dyDescent="0.3">
      <c r="A126" t="s">
        <v>144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149</v>
      </c>
    </row>
    <row r="127" spans="1:15" hidden="1" x14ac:dyDescent="0.3">
      <c r="A127" t="s">
        <v>144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149</v>
      </c>
    </row>
    <row r="128" spans="1:15" hidden="1" x14ac:dyDescent="0.3">
      <c r="A128" t="s">
        <v>144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149</v>
      </c>
    </row>
    <row r="129" spans="1:16" hidden="1" x14ac:dyDescent="0.3">
      <c r="A129" t="s">
        <v>144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149</v>
      </c>
    </row>
    <row r="130" spans="1:16" hidden="1" x14ac:dyDescent="0.3">
      <c r="A130" t="s">
        <v>144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149</v>
      </c>
    </row>
    <row r="131" spans="1:16" hidden="1" x14ac:dyDescent="0.3">
      <c r="A131" t="s">
        <v>144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149</v>
      </c>
    </row>
    <row r="132" spans="1:16" hidden="1" x14ac:dyDescent="0.3">
      <c r="A132" t="s">
        <v>144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149</v>
      </c>
    </row>
    <row r="133" spans="1:16" hidden="1" x14ac:dyDescent="0.3">
      <c r="A133" t="s">
        <v>144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149</v>
      </c>
    </row>
    <row r="134" spans="1:16" hidden="1" x14ac:dyDescent="0.3">
      <c r="A134" t="s">
        <v>144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149</v>
      </c>
    </row>
    <row r="135" spans="1:16" hidden="1" x14ac:dyDescent="0.3">
      <c r="A135" t="s">
        <v>144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149</v>
      </c>
    </row>
    <row r="136" spans="1:16" hidden="1" x14ac:dyDescent="0.3">
      <c r="A136" t="s">
        <v>144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149</v>
      </c>
    </row>
    <row r="137" spans="1:16" hidden="1" x14ac:dyDescent="0.3">
      <c r="A137" t="s">
        <v>144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149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144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149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144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149</v>
      </c>
    </row>
    <row r="140" spans="1:16" hidden="1" x14ac:dyDescent="0.3">
      <c r="A140" t="s">
        <v>144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149</v>
      </c>
    </row>
    <row r="141" spans="1:16" hidden="1" x14ac:dyDescent="0.3">
      <c r="A141" t="s">
        <v>144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149</v>
      </c>
    </row>
    <row r="142" spans="1:16" hidden="1" x14ac:dyDescent="0.3">
      <c r="A142" t="s">
        <v>144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149</v>
      </c>
    </row>
    <row r="143" spans="1:16" hidden="1" x14ac:dyDescent="0.3">
      <c r="A143" t="s">
        <v>144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149</v>
      </c>
      <c r="M143" s="8"/>
      <c r="N143" s="8"/>
    </row>
    <row r="144" spans="1:16" hidden="1" x14ac:dyDescent="0.3">
      <c r="A144" t="s">
        <v>144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149</v>
      </c>
      <c r="M144" s="8"/>
      <c r="N144" s="8"/>
      <c r="O144" s="8"/>
      <c r="P144" s="8"/>
    </row>
    <row r="145" spans="1:7" hidden="1" x14ac:dyDescent="0.3">
      <c r="A145" t="s">
        <v>144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149</v>
      </c>
    </row>
    <row r="146" spans="1:7" hidden="1" x14ac:dyDescent="0.3">
      <c r="A146" t="s">
        <v>144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149</v>
      </c>
    </row>
    <row r="147" spans="1:7" hidden="1" x14ac:dyDescent="0.3">
      <c r="A147" t="s">
        <v>144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149</v>
      </c>
    </row>
    <row r="148" spans="1:7" hidden="1" x14ac:dyDescent="0.3">
      <c r="A148" t="s">
        <v>144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149</v>
      </c>
    </row>
    <row r="149" spans="1:7" hidden="1" x14ac:dyDescent="0.3">
      <c r="A149" t="s">
        <v>144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149</v>
      </c>
    </row>
    <row r="150" spans="1:7" hidden="1" x14ac:dyDescent="0.3">
      <c r="A150" t="s">
        <v>144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149</v>
      </c>
    </row>
    <row r="151" spans="1:7" hidden="1" x14ac:dyDescent="0.3">
      <c r="A151" t="s">
        <v>144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149</v>
      </c>
    </row>
    <row r="152" spans="1:7" hidden="1" x14ac:dyDescent="0.3">
      <c r="A152" t="s">
        <v>144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149</v>
      </c>
    </row>
    <row r="153" spans="1:7" hidden="1" x14ac:dyDescent="0.3">
      <c r="A153" t="s">
        <v>145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149</v>
      </c>
    </row>
    <row r="154" spans="1:7" hidden="1" x14ac:dyDescent="0.3">
      <c r="A154" t="s">
        <v>145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149</v>
      </c>
    </row>
    <row r="155" spans="1:7" hidden="1" x14ac:dyDescent="0.3">
      <c r="A155" t="s">
        <v>145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149</v>
      </c>
    </row>
    <row r="156" spans="1:7" hidden="1" x14ac:dyDescent="0.3">
      <c r="A156" t="s">
        <v>145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149</v>
      </c>
    </row>
    <row r="157" spans="1:7" hidden="1" x14ac:dyDescent="0.3">
      <c r="A157" t="s">
        <v>145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149</v>
      </c>
    </row>
    <row r="158" spans="1:7" hidden="1" x14ac:dyDescent="0.3">
      <c r="A158" t="s">
        <v>145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149</v>
      </c>
    </row>
    <row r="159" spans="1:7" hidden="1" x14ac:dyDescent="0.3">
      <c r="A159" t="s">
        <v>145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149</v>
      </c>
    </row>
    <row r="160" spans="1:7" hidden="1" x14ac:dyDescent="0.3">
      <c r="A160" t="s">
        <v>145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149</v>
      </c>
    </row>
    <row r="161" spans="1:7" hidden="1" x14ac:dyDescent="0.3">
      <c r="A161" t="s">
        <v>145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149</v>
      </c>
    </row>
    <row r="162" spans="1:7" hidden="1" x14ac:dyDescent="0.3">
      <c r="A162" t="s">
        <v>145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149</v>
      </c>
    </row>
    <row r="163" spans="1:7" hidden="1" x14ac:dyDescent="0.3">
      <c r="A163" t="s">
        <v>145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149</v>
      </c>
    </row>
    <row r="164" spans="1:7" hidden="1" x14ac:dyDescent="0.3">
      <c r="A164" t="s">
        <v>145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149</v>
      </c>
    </row>
    <row r="165" spans="1:7" hidden="1" x14ac:dyDescent="0.3">
      <c r="A165" t="s">
        <v>145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149</v>
      </c>
    </row>
    <row r="166" spans="1:7" hidden="1" x14ac:dyDescent="0.3">
      <c r="A166" t="s">
        <v>145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149</v>
      </c>
    </row>
    <row r="167" spans="1:7" hidden="1" x14ac:dyDescent="0.3">
      <c r="A167" t="s">
        <v>145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149</v>
      </c>
    </row>
    <row r="168" spans="1:7" hidden="1" x14ac:dyDescent="0.3">
      <c r="A168" t="s">
        <v>145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149</v>
      </c>
    </row>
    <row r="169" spans="1:7" hidden="1" x14ac:dyDescent="0.3">
      <c r="A169" t="s">
        <v>145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149</v>
      </c>
    </row>
    <row r="170" spans="1:7" hidden="1" x14ac:dyDescent="0.3">
      <c r="A170" t="s">
        <v>145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149</v>
      </c>
    </row>
    <row r="171" spans="1:7" hidden="1" x14ac:dyDescent="0.3">
      <c r="A171" t="s">
        <v>145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149</v>
      </c>
    </row>
    <row r="172" spans="1:7" hidden="1" x14ac:dyDescent="0.3">
      <c r="A172" t="s">
        <v>145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149</v>
      </c>
    </row>
    <row r="173" spans="1:7" hidden="1" x14ac:dyDescent="0.3">
      <c r="A173" t="s">
        <v>145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149</v>
      </c>
    </row>
    <row r="174" spans="1:7" hidden="1" x14ac:dyDescent="0.3">
      <c r="A174" t="s">
        <v>145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149</v>
      </c>
    </row>
    <row r="175" spans="1:7" hidden="1" x14ac:dyDescent="0.3">
      <c r="A175" t="s">
        <v>145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149</v>
      </c>
    </row>
    <row r="176" spans="1:7" hidden="1" x14ac:dyDescent="0.3">
      <c r="A176" t="s">
        <v>145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149</v>
      </c>
    </row>
    <row r="177" spans="1:7" hidden="1" x14ac:dyDescent="0.3">
      <c r="A177" t="s">
        <v>145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149</v>
      </c>
    </row>
    <row r="178" spans="1:7" hidden="1" x14ac:dyDescent="0.3">
      <c r="A178" t="s">
        <v>145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149</v>
      </c>
    </row>
    <row r="179" spans="1:7" hidden="1" x14ac:dyDescent="0.3">
      <c r="A179" t="s">
        <v>145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149</v>
      </c>
    </row>
    <row r="180" spans="1:7" hidden="1" x14ac:dyDescent="0.3">
      <c r="A180" t="s">
        <v>145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149</v>
      </c>
    </row>
    <row r="181" spans="1:7" hidden="1" x14ac:dyDescent="0.3">
      <c r="A181" t="s">
        <v>146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149</v>
      </c>
    </row>
    <row r="182" spans="1:7" hidden="1" x14ac:dyDescent="0.3">
      <c r="A182" t="s">
        <v>146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149</v>
      </c>
    </row>
    <row r="183" spans="1:7" hidden="1" x14ac:dyDescent="0.3">
      <c r="A183" t="s">
        <v>146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149</v>
      </c>
    </row>
    <row r="184" spans="1:7" hidden="1" x14ac:dyDescent="0.3">
      <c r="A184" t="s">
        <v>146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149</v>
      </c>
    </row>
    <row r="185" spans="1:7" hidden="1" x14ac:dyDescent="0.3">
      <c r="A185" t="s">
        <v>146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149</v>
      </c>
    </row>
    <row r="186" spans="1:7" hidden="1" x14ac:dyDescent="0.3">
      <c r="A186" t="s">
        <v>146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149</v>
      </c>
    </row>
    <row r="187" spans="1:7" hidden="1" x14ac:dyDescent="0.3">
      <c r="A187" t="s">
        <v>146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149</v>
      </c>
    </row>
    <row r="188" spans="1:7" hidden="1" x14ac:dyDescent="0.3">
      <c r="A188" t="s">
        <v>146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149</v>
      </c>
    </row>
    <row r="189" spans="1:7" hidden="1" x14ac:dyDescent="0.3">
      <c r="A189" t="s">
        <v>146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149</v>
      </c>
    </row>
    <row r="190" spans="1:7" hidden="1" x14ac:dyDescent="0.3">
      <c r="A190" t="s">
        <v>146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149</v>
      </c>
    </row>
    <row r="191" spans="1:7" hidden="1" x14ac:dyDescent="0.3">
      <c r="A191" t="s">
        <v>146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149</v>
      </c>
    </row>
    <row r="192" spans="1:7" hidden="1" x14ac:dyDescent="0.3">
      <c r="A192" t="s">
        <v>146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149</v>
      </c>
    </row>
    <row r="193" spans="1:7" hidden="1" x14ac:dyDescent="0.3">
      <c r="A193" t="s">
        <v>146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149</v>
      </c>
    </row>
    <row r="194" spans="1:7" hidden="1" x14ac:dyDescent="0.3">
      <c r="A194" t="s">
        <v>146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149</v>
      </c>
    </row>
    <row r="195" spans="1:7" hidden="1" x14ac:dyDescent="0.3">
      <c r="A195" t="s">
        <v>146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149</v>
      </c>
    </row>
    <row r="196" spans="1:7" hidden="1" x14ac:dyDescent="0.3">
      <c r="A196" t="s">
        <v>146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149</v>
      </c>
    </row>
    <row r="197" spans="1:7" hidden="1" x14ac:dyDescent="0.3">
      <c r="A197" t="s">
        <v>146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149</v>
      </c>
    </row>
    <row r="198" spans="1:7" hidden="1" x14ac:dyDescent="0.3">
      <c r="A198" t="s">
        <v>146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149</v>
      </c>
    </row>
    <row r="199" spans="1:7" hidden="1" x14ac:dyDescent="0.3">
      <c r="A199" t="s">
        <v>146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149</v>
      </c>
    </row>
    <row r="200" spans="1:7" hidden="1" x14ac:dyDescent="0.3">
      <c r="A200" t="s">
        <v>146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149</v>
      </c>
    </row>
    <row r="201" spans="1:7" hidden="1" x14ac:dyDescent="0.3">
      <c r="A201" t="s">
        <v>146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149</v>
      </c>
    </row>
    <row r="202" spans="1:7" hidden="1" x14ac:dyDescent="0.3">
      <c r="A202" t="s">
        <v>146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149</v>
      </c>
    </row>
    <row r="203" spans="1:7" hidden="1" x14ac:dyDescent="0.3">
      <c r="A203" t="s">
        <v>146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149</v>
      </c>
    </row>
    <row r="204" spans="1:7" hidden="1" x14ac:dyDescent="0.3">
      <c r="A204" t="s">
        <v>146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149</v>
      </c>
    </row>
    <row r="205" spans="1:7" hidden="1" x14ac:dyDescent="0.3">
      <c r="A205" t="s">
        <v>146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149</v>
      </c>
    </row>
    <row r="206" spans="1:7" hidden="1" x14ac:dyDescent="0.3">
      <c r="A206" t="s">
        <v>146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149</v>
      </c>
    </row>
    <row r="207" spans="1:7" hidden="1" x14ac:dyDescent="0.3">
      <c r="A207" t="s">
        <v>146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149</v>
      </c>
    </row>
    <row r="208" spans="1:7" hidden="1" x14ac:dyDescent="0.3">
      <c r="A208" t="s">
        <v>146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149</v>
      </c>
    </row>
    <row r="209" spans="1:7" hidden="1" x14ac:dyDescent="0.3">
      <c r="A209" t="s">
        <v>147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149</v>
      </c>
    </row>
    <row r="210" spans="1:7" hidden="1" x14ac:dyDescent="0.3">
      <c r="A210" t="s">
        <v>147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149</v>
      </c>
    </row>
    <row r="211" spans="1:7" hidden="1" x14ac:dyDescent="0.3">
      <c r="A211" t="s">
        <v>147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149</v>
      </c>
    </row>
    <row r="212" spans="1:7" hidden="1" x14ac:dyDescent="0.3">
      <c r="A212" t="s">
        <v>147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149</v>
      </c>
    </row>
    <row r="213" spans="1:7" hidden="1" x14ac:dyDescent="0.3">
      <c r="A213" t="s">
        <v>147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149</v>
      </c>
    </row>
    <row r="214" spans="1:7" hidden="1" x14ac:dyDescent="0.3">
      <c r="A214" t="s">
        <v>147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149</v>
      </c>
    </row>
    <row r="215" spans="1:7" hidden="1" x14ac:dyDescent="0.3">
      <c r="A215" t="s">
        <v>147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149</v>
      </c>
    </row>
    <row r="216" spans="1:7" hidden="1" x14ac:dyDescent="0.3">
      <c r="A216" t="s">
        <v>147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149</v>
      </c>
    </row>
    <row r="217" spans="1:7" hidden="1" x14ac:dyDescent="0.3">
      <c r="A217" t="s">
        <v>147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149</v>
      </c>
    </row>
    <row r="218" spans="1:7" hidden="1" x14ac:dyDescent="0.3">
      <c r="A218" t="s">
        <v>147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149</v>
      </c>
    </row>
    <row r="219" spans="1:7" hidden="1" x14ac:dyDescent="0.3">
      <c r="A219" t="s">
        <v>147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149</v>
      </c>
    </row>
    <row r="220" spans="1:7" hidden="1" x14ac:dyDescent="0.3">
      <c r="A220" t="s">
        <v>147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149</v>
      </c>
    </row>
    <row r="221" spans="1:7" hidden="1" x14ac:dyDescent="0.3">
      <c r="A221" t="s">
        <v>147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149</v>
      </c>
    </row>
    <row r="222" spans="1:7" hidden="1" x14ac:dyDescent="0.3">
      <c r="A222" t="s">
        <v>147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149</v>
      </c>
    </row>
    <row r="223" spans="1:7" hidden="1" x14ac:dyDescent="0.3">
      <c r="A223" t="s">
        <v>147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149</v>
      </c>
    </row>
    <row r="224" spans="1:7" hidden="1" x14ac:dyDescent="0.3">
      <c r="A224" t="s">
        <v>147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149</v>
      </c>
    </row>
    <row r="225" spans="1:13" hidden="1" x14ac:dyDescent="0.3">
      <c r="A225" t="s">
        <v>147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149</v>
      </c>
    </row>
    <row r="226" spans="1:13" hidden="1" x14ac:dyDescent="0.3">
      <c r="A226" t="s">
        <v>147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149</v>
      </c>
    </row>
    <row r="227" spans="1:13" hidden="1" x14ac:dyDescent="0.3">
      <c r="A227" t="s">
        <v>147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149</v>
      </c>
    </row>
    <row r="228" spans="1:13" hidden="1" x14ac:dyDescent="0.3">
      <c r="A228" t="s">
        <v>147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149</v>
      </c>
    </row>
    <row r="229" spans="1:13" hidden="1" x14ac:dyDescent="0.3">
      <c r="A229" t="s">
        <v>147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149</v>
      </c>
    </row>
    <row r="230" spans="1:13" hidden="1" x14ac:dyDescent="0.3">
      <c r="A230" t="s">
        <v>147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149</v>
      </c>
    </row>
    <row r="231" spans="1:13" hidden="1" x14ac:dyDescent="0.3">
      <c r="A231" t="s">
        <v>147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149</v>
      </c>
    </row>
    <row r="232" spans="1:13" hidden="1" x14ac:dyDescent="0.3">
      <c r="A232" t="s">
        <v>147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149</v>
      </c>
    </row>
    <row r="233" spans="1:13" hidden="1" x14ac:dyDescent="0.3">
      <c r="A233" t="s">
        <v>147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149</v>
      </c>
    </row>
    <row r="234" spans="1:13" hidden="1" x14ac:dyDescent="0.3">
      <c r="A234" t="s">
        <v>147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149</v>
      </c>
    </row>
    <row r="235" spans="1:13" hidden="1" x14ac:dyDescent="0.3">
      <c r="A235" t="s">
        <v>147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149</v>
      </c>
    </row>
    <row r="236" spans="1:13" hidden="1" x14ac:dyDescent="0.3">
      <c r="A236" t="s">
        <v>147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149</v>
      </c>
    </row>
    <row r="239" spans="1:13" s="5" customFormat="1" x14ac:dyDescent="0.3">
      <c r="A239" s="5" t="s">
        <v>150</v>
      </c>
    </row>
    <row r="240" spans="1:13" x14ac:dyDescent="0.3">
      <c r="A240" t="s">
        <v>148</v>
      </c>
      <c r="B240" t="s">
        <v>119</v>
      </c>
      <c r="C240">
        <v>2015</v>
      </c>
      <c r="D240">
        <v>2020</v>
      </c>
      <c r="E240">
        <v>2050</v>
      </c>
      <c r="F240" t="s">
        <v>103</v>
      </c>
      <c r="H240" t="s">
        <v>119</v>
      </c>
      <c r="I240" t="s">
        <v>148</v>
      </c>
      <c r="J240">
        <v>2015</v>
      </c>
      <c r="K240">
        <v>2020</v>
      </c>
      <c r="L240">
        <v>2050</v>
      </c>
      <c r="M240" t="s">
        <v>111</v>
      </c>
    </row>
    <row r="241" spans="1:13" x14ac:dyDescent="0.3">
      <c r="A241">
        <v>12</v>
      </c>
      <c r="B241" t="s">
        <v>143</v>
      </c>
      <c r="C241">
        <v>7.1471428571428602E-2</v>
      </c>
      <c r="D241">
        <v>7.2092857142857097E-2</v>
      </c>
      <c r="E241">
        <v>7.0849999999999996E-2</v>
      </c>
      <c r="F241" t="s">
        <v>153</v>
      </c>
      <c r="H241" t="s">
        <v>147</v>
      </c>
      <c r="I241">
        <v>12</v>
      </c>
      <c r="J241">
        <v>26465.102519799999</v>
      </c>
      <c r="K241">
        <v>25082.175322700001</v>
      </c>
      <c r="L241">
        <v>30046.097194000002</v>
      </c>
      <c r="M241" s="48" t="s">
        <v>216</v>
      </c>
    </row>
    <row r="242" spans="1:13" x14ac:dyDescent="0.3">
      <c r="A242">
        <v>12</v>
      </c>
      <c r="B242" t="s">
        <v>146</v>
      </c>
      <c r="C242">
        <v>2.2428571428571402E-3</v>
      </c>
      <c r="D242">
        <v>3.0999999999999999E-3</v>
      </c>
      <c r="E242">
        <v>0</v>
      </c>
      <c r="F242" t="s">
        <v>153</v>
      </c>
      <c r="H242" t="s">
        <v>147</v>
      </c>
      <c r="I242">
        <v>13</v>
      </c>
      <c r="J242">
        <v>50618.2001771</v>
      </c>
      <c r="K242">
        <v>48798.193477200002</v>
      </c>
      <c r="L242">
        <v>20356.115123200001</v>
      </c>
      <c r="M242" s="48" t="s">
        <v>216</v>
      </c>
    </row>
    <row r="243" spans="1:13" x14ac:dyDescent="0.3">
      <c r="A243">
        <v>12</v>
      </c>
      <c r="B243" s="10" t="s">
        <v>147</v>
      </c>
      <c r="C243" s="10">
        <v>0.13205714285714301</v>
      </c>
      <c r="D243" s="10">
        <v>0.123914285714286</v>
      </c>
      <c r="E243" s="10">
        <v>0.141757142857143</v>
      </c>
      <c r="F243" t="s">
        <v>153</v>
      </c>
      <c r="H243" t="s">
        <v>214</v>
      </c>
      <c r="I243">
        <v>12</v>
      </c>
      <c r="J243">
        <v>145263.63542400001</v>
      </c>
      <c r="K243">
        <v>155496.28096800001</v>
      </c>
      <c r="L243">
        <v>181455.60719000001</v>
      </c>
      <c r="M243" s="48" t="s">
        <v>216</v>
      </c>
    </row>
    <row r="244" spans="1:13" x14ac:dyDescent="0.3">
      <c r="A244">
        <v>12</v>
      </c>
      <c r="B244" t="s">
        <v>145</v>
      </c>
      <c r="C244">
        <v>0.74164285714285705</v>
      </c>
      <c r="D244">
        <v>0.751142857142857</v>
      </c>
      <c r="E244">
        <v>0.69492142857142902</v>
      </c>
      <c r="F244" t="s">
        <v>153</v>
      </c>
      <c r="H244" t="s">
        <v>214</v>
      </c>
      <c r="I244">
        <v>13</v>
      </c>
      <c r="J244">
        <v>229105.25013999999</v>
      </c>
      <c r="K244">
        <v>231963.82196</v>
      </c>
      <c r="L244">
        <v>183841.65023999999</v>
      </c>
      <c r="M244" s="48" t="s">
        <v>216</v>
      </c>
    </row>
    <row r="245" spans="1:13" x14ac:dyDescent="0.3">
      <c r="A245">
        <v>12</v>
      </c>
      <c r="B245" t="s">
        <v>144</v>
      </c>
      <c r="C245">
        <v>5.2549999999999999E-2</v>
      </c>
      <c r="D245">
        <v>4.9750000000000003E-2</v>
      </c>
      <c r="E245">
        <v>9.2471428571428593E-2</v>
      </c>
      <c r="F245" t="s">
        <v>153</v>
      </c>
      <c r="M245" s="49"/>
    </row>
    <row r="246" spans="1:13" x14ac:dyDescent="0.3">
      <c r="A246">
        <v>13</v>
      </c>
      <c r="B246" t="s">
        <v>143</v>
      </c>
      <c r="C246">
        <v>4.7592857142857103E-2</v>
      </c>
      <c r="D246">
        <v>4.7857142857142897E-2</v>
      </c>
      <c r="E246">
        <v>8.7585714285714295E-2</v>
      </c>
      <c r="F246" t="s">
        <v>153</v>
      </c>
      <c r="H246" t="s">
        <v>217</v>
      </c>
    </row>
    <row r="247" spans="1:13" x14ac:dyDescent="0.3">
      <c r="A247">
        <v>13</v>
      </c>
      <c r="B247" t="s">
        <v>146</v>
      </c>
      <c r="C247">
        <v>1.21E-2</v>
      </c>
      <c r="D247">
        <v>1.1650000000000001E-2</v>
      </c>
      <c r="E247">
        <v>3.9591214285714304E-3</v>
      </c>
      <c r="F247" t="s">
        <v>153</v>
      </c>
      <c r="H247" t="s">
        <v>215</v>
      </c>
      <c r="I247">
        <v>12</v>
      </c>
      <c r="L247">
        <f>(L241-J241)/J241</f>
        <v>0.13531006243111524</v>
      </c>
    </row>
    <row r="248" spans="1:13" x14ac:dyDescent="0.3">
      <c r="A248">
        <v>13</v>
      </c>
      <c r="B248" s="10" t="s">
        <v>147</v>
      </c>
      <c r="C248" s="10">
        <v>0.20178571428571401</v>
      </c>
      <c r="D248" s="10">
        <v>0.19475000000000001</v>
      </c>
      <c r="E248" s="10">
        <v>0.102664285714286</v>
      </c>
      <c r="F248" t="s">
        <v>153</v>
      </c>
      <c r="H248" t="s">
        <v>215</v>
      </c>
      <c r="I248">
        <v>13</v>
      </c>
      <c r="L248">
        <f>(L242-J242)/J242</f>
        <v>-0.5978498830069181</v>
      </c>
    </row>
    <row r="249" spans="1:13" x14ac:dyDescent="0.3">
      <c r="A249">
        <v>13</v>
      </c>
      <c r="B249" t="s">
        <v>145</v>
      </c>
      <c r="C249">
        <v>0.676878571428571</v>
      </c>
      <c r="D249">
        <v>0.68233571428571405</v>
      </c>
      <c r="E249">
        <v>0.66785000000000005</v>
      </c>
      <c r="F249" t="s">
        <v>153</v>
      </c>
    </row>
    <row r="250" spans="1:13" x14ac:dyDescent="0.3">
      <c r="A250">
        <v>13</v>
      </c>
      <c r="B250" t="s">
        <v>144</v>
      </c>
      <c r="C250">
        <v>6.1621428571428598E-2</v>
      </c>
      <c r="D250">
        <v>6.3399999999999998E-2</v>
      </c>
      <c r="E250">
        <v>0.13797142857142899</v>
      </c>
      <c r="F250" t="s">
        <v>153</v>
      </c>
    </row>
    <row r="253" spans="1:13" s="5" customFormat="1" x14ac:dyDescent="0.3">
      <c r="A253" s="5" t="s">
        <v>151</v>
      </c>
    </row>
    <row r="254" spans="1:13" x14ac:dyDescent="0.3">
      <c r="A254" t="s">
        <v>148</v>
      </c>
      <c r="B254" t="s">
        <v>119</v>
      </c>
      <c r="C254" t="s">
        <v>71</v>
      </c>
      <c r="D254" t="s">
        <v>152</v>
      </c>
      <c r="E254" t="s">
        <v>103</v>
      </c>
    </row>
    <row r="255" spans="1:13" hidden="1" x14ac:dyDescent="0.3">
      <c r="A255">
        <v>12</v>
      </c>
      <c r="B255" t="s">
        <v>143</v>
      </c>
      <c r="C255">
        <v>2015</v>
      </c>
      <c r="D255">
        <v>8.2349165068679203E-2</v>
      </c>
      <c r="E255" t="s">
        <v>153</v>
      </c>
    </row>
    <row r="256" spans="1:13" hidden="1" x14ac:dyDescent="0.3">
      <c r="A256">
        <v>12</v>
      </c>
      <c r="B256" t="s">
        <v>146</v>
      </c>
      <c r="C256">
        <v>2015</v>
      </c>
      <c r="D256">
        <v>2.5842132552034002E-3</v>
      </c>
      <c r="E256" t="s">
        <v>153</v>
      </c>
    </row>
    <row r="257" spans="1:5" hidden="1" x14ac:dyDescent="0.3">
      <c r="A257">
        <v>12</v>
      </c>
      <c r="B257" t="s">
        <v>145</v>
      </c>
      <c r="C257">
        <v>2015</v>
      </c>
      <c r="D257">
        <v>0.85451866970627199</v>
      </c>
      <c r="E257" t="s">
        <v>153</v>
      </c>
    </row>
    <row r="258" spans="1:5" hidden="1" x14ac:dyDescent="0.3">
      <c r="A258">
        <v>12</v>
      </c>
      <c r="B258" t="s">
        <v>144</v>
      </c>
      <c r="C258">
        <v>2015</v>
      </c>
      <c r="D258">
        <v>6.0547951969845401E-2</v>
      </c>
      <c r="E258" t="s">
        <v>153</v>
      </c>
    </row>
    <row r="259" spans="1:5" hidden="1" x14ac:dyDescent="0.3">
      <c r="A259">
        <v>12</v>
      </c>
      <c r="B259" t="s">
        <v>143</v>
      </c>
      <c r="C259">
        <v>2020</v>
      </c>
      <c r="D259">
        <v>8.22897302938395E-2</v>
      </c>
      <c r="E259" t="s">
        <v>153</v>
      </c>
    </row>
    <row r="260" spans="1:5" hidden="1" x14ac:dyDescent="0.3">
      <c r="A260">
        <v>12</v>
      </c>
      <c r="B260" t="s">
        <v>146</v>
      </c>
      <c r="C260">
        <v>2020</v>
      </c>
      <c r="D260">
        <v>3.5384665557838401E-3</v>
      </c>
      <c r="E260" t="s">
        <v>153</v>
      </c>
    </row>
    <row r="261" spans="1:5" hidden="1" x14ac:dyDescent="0.3">
      <c r="A261">
        <v>12</v>
      </c>
      <c r="B261" t="s">
        <v>145</v>
      </c>
      <c r="C261">
        <v>2020</v>
      </c>
      <c r="D261">
        <v>0.85738512213416795</v>
      </c>
      <c r="E261" t="s">
        <v>153</v>
      </c>
    </row>
    <row r="262" spans="1:5" hidden="1" x14ac:dyDescent="0.3">
      <c r="A262">
        <v>12</v>
      </c>
      <c r="B262" t="s">
        <v>144</v>
      </c>
      <c r="C262">
        <v>2020</v>
      </c>
      <c r="D262">
        <v>5.6786681016208498E-2</v>
      </c>
      <c r="E262" t="s">
        <v>153</v>
      </c>
    </row>
    <row r="263" spans="1:5" hidden="1" x14ac:dyDescent="0.3">
      <c r="A263">
        <v>12</v>
      </c>
      <c r="B263" t="s">
        <v>143</v>
      </c>
      <c r="C263">
        <v>2050</v>
      </c>
      <c r="D263">
        <v>8.2552391098090802E-2</v>
      </c>
      <c r="E263" t="s">
        <v>153</v>
      </c>
    </row>
    <row r="264" spans="1:5" hidden="1" x14ac:dyDescent="0.3">
      <c r="A264">
        <v>12</v>
      </c>
      <c r="B264" t="s">
        <v>146</v>
      </c>
      <c r="C264">
        <v>2050</v>
      </c>
      <c r="D264">
        <v>0</v>
      </c>
      <c r="E264" t="s">
        <v>153</v>
      </c>
    </row>
    <row r="265" spans="1:5" hidden="1" x14ac:dyDescent="0.3">
      <c r="A265">
        <v>12</v>
      </c>
      <c r="B265" t="s">
        <v>145</v>
      </c>
      <c r="C265">
        <v>2050</v>
      </c>
      <c r="D265">
        <v>0.80970254839622502</v>
      </c>
      <c r="E265" t="s">
        <v>153</v>
      </c>
    </row>
    <row r="266" spans="1:5" hidden="1" x14ac:dyDescent="0.3">
      <c r="A266">
        <v>12</v>
      </c>
      <c r="B266" t="s">
        <v>144</v>
      </c>
      <c r="C266">
        <v>2050</v>
      </c>
      <c r="D266">
        <v>0.107745060505684</v>
      </c>
      <c r="E266" t="s">
        <v>153</v>
      </c>
    </row>
    <row r="267" spans="1:5" hidden="1" x14ac:dyDescent="0.3">
      <c r="A267">
        <v>13</v>
      </c>
      <c r="B267" t="s">
        <v>143</v>
      </c>
      <c r="C267">
        <v>2015</v>
      </c>
      <c r="D267">
        <v>5.96257617654165E-2</v>
      </c>
      <c r="E267" t="s">
        <v>153</v>
      </c>
    </row>
    <row r="268" spans="1:5" hidden="1" x14ac:dyDescent="0.3">
      <c r="A268">
        <v>13</v>
      </c>
      <c r="B268" t="s">
        <v>146</v>
      </c>
      <c r="C268">
        <v>2015</v>
      </c>
      <c r="D268">
        <v>1.5159243648599101E-2</v>
      </c>
      <c r="E268" t="s">
        <v>153</v>
      </c>
    </row>
    <row r="269" spans="1:5" hidden="1" x14ac:dyDescent="0.3">
      <c r="A269">
        <v>13</v>
      </c>
      <c r="B269" t="s">
        <v>145</v>
      </c>
      <c r="C269">
        <v>2015</v>
      </c>
      <c r="D269">
        <v>0.84801381692573397</v>
      </c>
      <c r="E269" t="s">
        <v>153</v>
      </c>
    </row>
    <row r="270" spans="1:5" hidden="1" x14ac:dyDescent="0.3">
      <c r="A270">
        <v>13</v>
      </c>
      <c r="B270" t="s">
        <v>144</v>
      </c>
      <c r="C270">
        <v>2015</v>
      </c>
      <c r="D270">
        <v>7.7201177660250406E-2</v>
      </c>
      <c r="E270" t="s">
        <v>153</v>
      </c>
    </row>
    <row r="271" spans="1:5" hidden="1" x14ac:dyDescent="0.3">
      <c r="A271">
        <v>13</v>
      </c>
      <c r="B271" t="s">
        <v>143</v>
      </c>
      <c r="C271">
        <v>2020</v>
      </c>
      <c r="D271">
        <v>5.9431937126332803E-2</v>
      </c>
      <c r="E271" t="s">
        <v>153</v>
      </c>
    </row>
    <row r="272" spans="1:5" hidden="1" x14ac:dyDescent="0.3">
      <c r="A272">
        <v>13</v>
      </c>
      <c r="B272" t="s">
        <v>146</v>
      </c>
      <c r="C272">
        <v>2020</v>
      </c>
      <c r="D272">
        <v>1.44676849929924E-2</v>
      </c>
      <c r="E272" t="s">
        <v>153</v>
      </c>
    </row>
    <row r="273" spans="1:17" hidden="1" x14ac:dyDescent="0.3">
      <c r="A273">
        <v>13</v>
      </c>
      <c r="B273" t="s">
        <v>145</v>
      </c>
      <c r="C273">
        <v>2020</v>
      </c>
      <c r="D273">
        <v>0.84736636684584998</v>
      </c>
      <c r="E273" t="s">
        <v>153</v>
      </c>
    </row>
    <row r="274" spans="1:17" hidden="1" x14ac:dyDescent="0.3">
      <c r="A274">
        <v>13</v>
      </c>
      <c r="B274" t="s">
        <v>144</v>
      </c>
      <c r="C274">
        <v>2020</v>
      </c>
      <c r="D274">
        <v>7.8734011034825302E-2</v>
      </c>
      <c r="E274" t="s">
        <v>153</v>
      </c>
    </row>
    <row r="275" spans="1:17" hidden="1" x14ac:dyDescent="0.3">
      <c r="A275">
        <v>13</v>
      </c>
      <c r="B275" t="s">
        <v>143</v>
      </c>
      <c r="C275">
        <v>2050</v>
      </c>
      <c r="D275">
        <v>9.76030833468325E-2</v>
      </c>
      <c r="E275" t="s">
        <v>153</v>
      </c>
    </row>
    <row r="276" spans="1:17" hidden="1" x14ac:dyDescent="0.3">
      <c r="A276">
        <v>13</v>
      </c>
      <c r="B276" t="s">
        <v>146</v>
      </c>
      <c r="C276">
        <v>2050</v>
      </c>
      <c r="D276">
        <v>4.4119347764012603E-3</v>
      </c>
      <c r="E276" t="s">
        <v>153</v>
      </c>
    </row>
    <row r="277" spans="1:17" hidden="1" x14ac:dyDescent="0.3">
      <c r="A277">
        <v>13</v>
      </c>
      <c r="B277" t="s">
        <v>145</v>
      </c>
      <c r="C277">
        <v>2050</v>
      </c>
      <c r="D277">
        <v>0.74423346027120296</v>
      </c>
      <c r="E277" t="s">
        <v>153</v>
      </c>
    </row>
    <row r="278" spans="1:17" hidden="1" x14ac:dyDescent="0.3">
      <c r="A278">
        <v>13</v>
      </c>
      <c r="B278" t="s">
        <v>144</v>
      </c>
      <c r="C278">
        <v>2050</v>
      </c>
      <c r="D278">
        <v>0.15375152160556299</v>
      </c>
      <c r="E278" t="s">
        <v>153</v>
      </c>
    </row>
    <row r="281" spans="1:17" s="5" customFormat="1" x14ac:dyDescent="0.3">
      <c r="A281" s="5" t="s">
        <v>154</v>
      </c>
    </row>
    <row r="282" spans="1:17" x14ac:dyDescent="0.3">
      <c r="K282">
        <v>0</v>
      </c>
      <c r="L282">
        <v>1</v>
      </c>
      <c r="M282">
        <v>2</v>
      </c>
      <c r="N282">
        <v>3</v>
      </c>
      <c r="O282">
        <v>4</v>
      </c>
      <c r="P282">
        <v>5</v>
      </c>
      <c r="Q282">
        <v>6</v>
      </c>
    </row>
    <row r="283" spans="1:17" x14ac:dyDescent="0.3">
      <c r="A283" s="12" t="s">
        <v>155</v>
      </c>
      <c r="B283">
        <v>2015</v>
      </c>
      <c r="C283">
        <v>2020</v>
      </c>
      <c r="D283">
        <v>2050</v>
      </c>
      <c r="E283" t="s">
        <v>217</v>
      </c>
      <c r="F283" s="12" t="s">
        <v>156</v>
      </c>
      <c r="G283" s="40" t="s">
        <v>209</v>
      </c>
      <c r="J283">
        <v>2015</v>
      </c>
      <c r="K283">
        <v>2020</v>
      </c>
      <c r="L283">
        <v>2025</v>
      </c>
      <c r="M283">
        <v>2030</v>
      </c>
      <c r="N283">
        <v>2035</v>
      </c>
      <c r="O283">
        <v>2040</v>
      </c>
      <c r="P283">
        <v>2045</v>
      </c>
      <c r="Q283">
        <v>2050</v>
      </c>
    </row>
    <row r="284" spans="1:17" ht="43.2" x14ac:dyDescent="0.3">
      <c r="A284" s="11" t="s">
        <v>167</v>
      </c>
      <c r="G284" t="s">
        <v>210</v>
      </c>
      <c r="H284" s="50" t="s">
        <v>219</v>
      </c>
      <c r="I284" s="11" t="s">
        <v>168</v>
      </c>
    </row>
    <row r="285" spans="1:17" x14ac:dyDescent="0.3">
      <c r="A285" s="25" t="s">
        <v>64</v>
      </c>
      <c r="I285" s="25" t="s">
        <v>64</v>
      </c>
      <c r="J285">
        <v>1</v>
      </c>
      <c r="K285">
        <v>1</v>
      </c>
      <c r="L285">
        <f>$H$286</f>
        <v>0.13131755632157877</v>
      </c>
      <c r="M285">
        <f t="shared" ref="M285:Q285" si="0">$H$286</f>
        <v>0.13131755632157877</v>
      </c>
      <c r="N285">
        <f t="shared" si="0"/>
        <v>0.13131755632157877</v>
      </c>
      <c r="O285">
        <f t="shared" si="0"/>
        <v>0.13131755632157877</v>
      </c>
      <c r="P285">
        <f t="shared" si="0"/>
        <v>0.13131755632157877</v>
      </c>
      <c r="Q285">
        <f t="shared" si="0"/>
        <v>0.13131755632157877</v>
      </c>
    </row>
    <row r="286" spans="1:17" x14ac:dyDescent="0.3">
      <c r="A286" t="s">
        <v>212</v>
      </c>
      <c r="B286">
        <f>H6</f>
        <v>44763.7</v>
      </c>
      <c r="C286">
        <f t="shared" ref="C286:D286" si="1">I6</f>
        <v>51256.800000000003</v>
      </c>
      <c r="D286">
        <f>O6</f>
        <v>90269.441420000003</v>
      </c>
      <c r="E286">
        <f>(D286-B286)/B286</f>
        <v>1.0165768562473614</v>
      </c>
      <c r="F286">
        <f>L247</f>
        <v>0.13531006243111524</v>
      </c>
      <c r="G286" s="13">
        <f>F286/E286</f>
        <v>0.13310362280979426</v>
      </c>
      <c r="H286" s="13">
        <f>G286/E294</f>
        <v>0.13131755632157877</v>
      </c>
    </row>
    <row r="287" spans="1:17" x14ac:dyDescent="0.3">
      <c r="A287" t="s">
        <v>213</v>
      </c>
      <c r="B287">
        <f>H13+H14+H15+H16+H18+H19+H21+H22</f>
        <v>1254726.8900000001</v>
      </c>
      <c r="C287">
        <f t="shared" ref="C287" si="2">I13+I14+I15+I16+I18+I19+I21+I22</f>
        <v>1343688.2549999999</v>
      </c>
      <c r="D287">
        <f>O13+O14+O15+O16+O18+O19+O21+O22</f>
        <v>1492971.3589999999</v>
      </c>
      <c r="G287" s="13"/>
      <c r="H287" s="13"/>
    </row>
    <row r="288" spans="1:17" x14ac:dyDescent="0.3">
      <c r="G288" s="13"/>
      <c r="H288" s="13"/>
    </row>
    <row r="289" spans="1:23" x14ac:dyDescent="0.3">
      <c r="A289" s="25" t="s">
        <v>65</v>
      </c>
      <c r="G289" s="13"/>
      <c r="H289" s="13"/>
      <c r="I289" s="25" t="s">
        <v>65</v>
      </c>
      <c r="J289">
        <v>1</v>
      </c>
      <c r="K289">
        <v>1</v>
      </c>
      <c r="L289">
        <f>$H$290</f>
        <v>-1.5077826179735208</v>
      </c>
      <c r="M289">
        <f t="shared" ref="M289:Q289" si="3">$H$290</f>
        <v>-1.5077826179735208</v>
      </c>
      <c r="N289">
        <f t="shared" si="3"/>
        <v>-1.5077826179735208</v>
      </c>
      <c r="O289">
        <f t="shared" si="3"/>
        <v>-1.5077826179735208</v>
      </c>
      <c r="P289">
        <f t="shared" si="3"/>
        <v>-1.5077826179735208</v>
      </c>
      <c r="Q289">
        <f t="shared" si="3"/>
        <v>-1.5077826179735208</v>
      </c>
    </row>
    <row r="290" spans="1:23" x14ac:dyDescent="0.3">
      <c r="A290" t="s">
        <v>212</v>
      </c>
      <c r="B290">
        <f>H26</f>
        <v>399505</v>
      </c>
      <c r="C290">
        <f>I26</f>
        <v>411219</v>
      </c>
      <c r="D290">
        <f>O26</f>
        <v>648272.47320000001</v>
      </c>
      <c r="E290">
        <f>(D290-B290)/B290</f>
        <v>0.62268926096043853</v>
      </c>
      <c r="F290">
        <f>L248</f>
        <v>-0.5978498830069181</v>
      </c>
      <c r="G290" s="13">
        <f>F290/E290</f>
        <v>-0.96010951286487889</v>
      </c>
      <c r="H290" s="13">
        <f>G290/E295</f>
        <v>-1.5077826179735208</v>
      </c>
    </row>
    <row r="291" spans="1:23" x14ac:dyDescent="0.3">
      <c r="A291" t="s">
        <v>213</v>
      </c>
      <c r="B291">
        <f>H33+H34+H35+H36+H38+H39+H41+H42</f>
        <v>6302425.7000000002</v>
      </c>
      <c r="C291">
        <f t="shared" ref="C291" si="4">I33+I34+I35+I36+I38+I39+I41+I42</f>
        <v>6435861.9999999991</v>
      </c>
      <c r="D291">
        <f>O33+O34+O35+O36+O38+O39+O41+O42</f>
        <v>7766797</v>
      </c>
    </row>
    <row r="293" spans="1:23" x14ac:dyDescent="0.3">
      <c r="A293" s="11" t="s">
        <v>218</v>
      </c>
    </row>
    <row r="294" spans="1:23" x14ac:dyDescent="0.3">
      <c r="A294" s="25" t="s">
        <v>64</v>
      </c>
      <c r="B294">
        <v>803610</v>
      </c>
      <c r="C294">
        <v>915374</v>
      </c>
      <c r="D294" s="13">
        <v>1618150</v>
      </c>
      <c r="E294">
        <f>(D294-B294)/B294</f>
        <v>1.0136011249237815</v>
      </c>
    </row>
    <row r="295" spans="1:23" x14ac:dyDescent="0.3">
      <c r="A295" s="25" t="s">
        <v>65</v>
      </c>
      <c r="B295">
        <v>7428720</v>
      </c>
      <c r="C295">
        <v>7548350</v>
      </c>
      <c r="D295" s="13">
        <v>12159100</v>
      </c>
      <c r="E295">
        <f>(D295-B295)/B295</f>
        <v>0.63676918769316926</v>
      </c>
      <c r="J295" s="8"/>
      <c r="K295" s="8"/>
      <c r="L295" s="8"/>
    </row>
    <row r="299" spans="1:23" s="5" customFormat="1" x14ac:dyDescent="0.3">
      <c r="A299" s="5" t="s">
        <v>158</v>
      </c>
    </row>
    <row r="300" spans="1:23" x14ac:dyDescent="0.3">
      <c r="P300">
        <v>0</v>
      </c>
      <c r="Q300">
        <v>1</v>
      </c>
      <c r="R300">
        <v>2</v>
      </c>
      <c r="S300">
        <v>3</v>
      </c>
      <c r="T300">
        <v>4</v>
      </c>
      <c r="U300">
        <v>5</v>
      </c>
      <c r="V300">
        <v>6</v>
      </c>
    </row>
    <row r="301" spans="1:23" x14ac:dyDescent="0.3">
      <c r="A301" s="12" t="s">
        <v>155</v>
      </c>
      <c r="B301">
        <v>2015</v>
      </c>
      <c r="C301">
        <v>2020</v>
      </c>
      <c r="D301">
        <v>2025</v>
      </c>
      <c r="E301">
        <v>2030</v>
      </c>
      <c r="F301">
        <v>2035</v>
      </c>
      <c r="G301">
        <v>2040</v>
      </c>
      <c r="H301">
        <v>2045</v>
      </c>
      <c r="I301">
        <v>2050</v>
      </c>
      <c r="J301" t="s">
        <v>208</v>
      </c>
      <c r="K301" s="12" t="s">
        <v>156</v>
      </c>
      <c r="L301" s="40" t="s">
        <v>209</v>
      </c>
      <c r="O301">
        <v>2015</v>
      </c>
      <c r="P301">
        <v>2020</v>
      </c>
      <c r="Q301">
        <v>2025</v>
      </c>
      <c r="R301">
        <v>2030</v>
      </c>
      <c r="S301">
        <v>2035</v>
      </c>
      <c r="T301">
        <v>2040</v>
      </c>
      <c r="U301">
        <v>2045</v>
      </c>
      <c r="V301">
        <v>2050</v>
      </c>
      <c r="W301" t="s">
        <v>211</v>
      </c>
    </row>
    <row r="302" spans="1:23" x14ac:dyDescent="0.3">
      <c r="A302" s="11" t="s">
        <v>167</v>
      </c>
      <c r="L302" t="s">
        <v>210</v>
      </c>
      <c r="N302" s="11" t="s">
        <v>174</v>
      </c>
      <c r="W302" s="13"/>
    </row>
    <row r="303" spans="1:23" x14ac:dyDescent="0.3">
      <c r="A303" s="25" t="s">
        <v>64</v>
      </c>
      <c r="B303" s="13"/>
      <c r="C303" s="13"/>
      <c r="D303" s="13"/>
      <c r="E303" s="13"/>
      <c r="F303" s="13"/>
      <c r="G303" s="13"/>
      <c r="H303" s="13"/>
      <c r="I303" s="13"/>
      <c r="N303" s="25" t="s">
        <v>64</v>
      </c>
      <c r="W303" s="13"/>
    </row>
    <row r="304" spans="1:23" x14ac:dyDescent="0.3">
      <c r="A304" t="s">
        <v>177</v>
      </c>
      <c r="B304" s="13">
        <f>H13</f>
        <v>16023.9</v>
      </c>
      <c r="C304" s="13">
        <f>I13</f>
        <v>14467.3</v>
      </c>
      <c r="D304" s="13">
        <f>J13</f>
        <v>12908.4</v>
      </c>
      <c r="E304" s="13">
        <f>K13</f>
        <v>11555.2</v>
      </c>
      <c r="F304" s="13">
        <f>L13</f>
        <v>10533.8</v>
      </c>
      <c r="G304" s="13">
        <f>M13</f>
        <v>9884.5300000000007</v>
      </c>
      <c r="H304" s="13">
        <f>N13</f>
        <v>9341.42</v>
      </c>
      <c r="I304" s="13">
        <f>O13</f>
        <v>8867.4699999999993</v>
      </c>
      <c r="L304" s="13"/>
      <c r="M304" s="13"/>
      <c r="N304" t="s">
        <v>177</v>
      </c>
      <c r="O304" s="13">
        <f>H60</f>
        <v>1.37751E-2</v>
      </c>
      <c r="P304" s="13">
        <f>I60</f>
        <v>1.37751E-2</v>
      </c>
      <c r="Q304" s="13">
        <f>$P304+($P304*$L313-$P304)*Q300/$V$300</f>
        <v>1.9456605100477455E-2</v>
      </c>
      <c r="R304" s="13">
        <f t="shared" ref="R304:V304" si="5">$P304+($P304*$L313-$P304)*R300/$V$300</f>
        <v>2.5138110200954911E-2</v>
      </c>
      <c r="S304" s="13">
        <f t="shared" si="5"/>
        <v>3.0819615301432367E-2</v>
      </c>
      <c r="T304" s="13">
        <f t="shared" si="5"/>
        <v>3.6501120401909823E-2</v>
      </c>
      <c r="U304" s="13">
        <f t="shared" si="5"/>
        <v>4.2182625502387272E-2</v>
      </c>
      <c r="V304" s="13">
        <f t="shared" si="5"/>
        <v>4.7864130602864728E-2</v>
      </c>
      <c r="W304" s="13">
        <f t="shared" ref="W304:W309" si="6">V304/P304</f>
        <v>3.4746848010442557</v>
      </c>
    </row>
    <row r="305" spans="1:23" x14ac:dyDescent="0.3">
      <c r="A305" t="s">
        <v>178</v>
      </c>
      <c r="B305" s="13">
        <f>H18</f>
        <v>48072.800000000003</v>
      </c>
      <c r="C305" s="13">
        <f>I18</f>
        <v>43402.9</v>
      </c>
      <c r="D305" s="13">
        <f>J18</f>
        <v>38725.9</v>
      </c>
      <c r="E305" s="13">
        <f>K18</f>
        <v>34666.400000000001</v>
      </c>
      <c r="F305" s="13">
        <f>L18</f>
        <v>31602.1</v>
      </c>
      <c r="G305" s="13">
        <f>M18</f>
        <v>29654.2</v>
      </c>
      <c r="H305" s="13">
        <f>N18</f>
        <v>28024.799999999999</v>
      </c>
      <c r="I305" s="13">
        <f>O18</f>
        <v>26602.9</v>
      </c>
      <c r="L305" s="13"/>
      <c r="M305" s="13"/>
      <c r="N305" t="s">
        <v>178</v>
      </c>
      <c r="O305" s="13">
        <f>H64</f>
        <v>0.40357500000000002</v>
      </c>
      <c r="P305" s="13">
        <f>I64</f>
        <v>0.40357500000000002</v>
      </c>
      <c r="Q305" s="13">
        <f>$P305+($P305*$L313-$P305)*Q300/$V$300</f>
        <v>0.57002848643023929</v>
      </c>
      <c r="R305" s="13">
        <f t="shared" ref="R305:V305" si="7">$P305+($P305*$L313-$P305)*R300/$V$300</f>
        <v>0.73648197286047856</v>
      </c>
      <c r="S305" s="13">
        <f t="shared" si="7"/>
        <v>0.90293545929071795</v>
      </c>
      <c r="T305" s="13">
        <f t="shared" si="7"/>
        <v>1.0693889457209571</v>
      </c>
      <c r="U305" s="13">
        <f t="shared" si="7"/>
        <v>1.2358424321511965</v>
      </c>
      <c r="V305" s="13">
        <f t="shared" si="7"/>
        <v>1.4022959185814359</v>
      </c>
      <c r="W305" s="13">
        <f t="shared" si="6"/>
        <v>3.4746848010442566</v>
      </c>
    </row>
    <row r="306" spans="1:23" x14ac:dyDescent="0.3">
      <c r="A306" t="s">
        <v>197</v>
      </c>
      <c r="B306" s="13">
        <f>H22</f>
        <v>841165</v>
      </c>
      <c r="C306" s="13">
        <f>I22</f>
        <v>913099</v>
      </c>
      <c r="D306" s="13">
        <f>J22</f>
        <v>1000220</v>
      </c>
      <c r="E306" s="13">
        <f>K22</f>
        <v>1051920</v>
      </c>
      <c r="F306" s="13">
        <f>L22</f>
        <v>1082960</v>
      </c>
      <c r="G306" s="13">
        <f>M22</f>
        <v>1054670</v>
      </c>
      <c r="H306" s="13">
        <f>N22</f>
        <v>1031230</v>
      </c>
      <c r="I306" s="13">
        <f>O22</f>
        <v>1009490</v>
      </c>
      <c r="L306" s="13"/>
      <c r="M306" s="13"/>
      <c r="N306" t="s">
        <v>197</v>
      </c>
      <c r="O306" s="13">
        <f>H69</f>
        <v>1</v>
      </c>
      <c r="P306" s="13">
        <f>I69</f>
        <v>1</v>
      </c>
      <c r="Q306" s="13">
        <f>$P306+($P306*$L314-$P306)*Q300/$V$300</f>
        <v>0.98016185353481411</v>
      </c>
      <c r="R306" s="13">
        <f t="shared" ref="R306:V306" si="8">$P306+($P306*$L314-$P306)*R300/$V$300</f>
        <v>0.96032370706962822</v>
      </c>
      <c r="S306" s="13">
        <f t="shared" si="8"/>
        <v>0.94048556060444233</v>
      </c>
      <c r="T306" s="13">
        <f t="shared" si="8"/>
        <v>0.92064741413925644</v>
      </c>
      <c r="U306" s="13">
        <f t="shared" si="8"/>
        <v>0.90080926767407055</v>
      </c>
      <c r="V306" s="13">
        <f t="shared" si="8"/>
        <v>0.88097112120888466</v>
      </c>
      <c r="W306" s="13">
        <f t="shared" si="6"/>
        <v>0.88097112120888466</v>
      </c>
    </row>
    <row r="307" spans="1:23" x14ac:dyDescent="0.3">
      <c r="A307" t="s">
        <v>198</v>
      </c>
      <c r="B307" s="13">
        <f>H21</f>
        <v>40976.699999999997</v>
      </c>
      <c r="C307" s="13">
        <f>I21</f>
        <v>41033</v>
      </c>
      <c r="D307" s="13">
        <f>J21</f>
        <v>42091.4</v>
      </c>
      <c r="E307" s="13">
        <f>K21</f>
        <v>39974.699999999997</v>
      </c>
      <c r="F307" s="13">
        <f>L21</f>
        <v>37613.300000000003</v>
      </c>
      <c r="G307" s="13">
        <f>M21</f>
        <v>35369.4</v>
      </c>
      <c r="H307" s="13">
        <f>N21</f>
        <v>33551</v>
      </c>
      <c r="I307" s="13">
        <f>O21</f>
        <v>31908.5</v>
      </c>
      <c r="L307" s="13"/>
      <c r="M307" s="13"/>
      <c r="N307" t="s">
        <v>198</v>
      </c>
      <c r="O307" s="13">
        <f>H68</f>
        <v>1.2729000000000001E-2</v>
      </c>
      <c r="P307" s="13">
        <f>I68</f>
        <v>1.2729000000000001E-2</v>
      </c>
      <c r="Q307" s="13">
        <f>$P307+($P307*$L314-$P307)*Q300/$V$300</f>
        <v>1.247648023364465E-2</v>
      </c>
      <c r="R307" s="13">
        <f t="shared" ref="R307:V307" si="9">$P307+($P307*$L314-$P307)*R300/$V$300</f>
        <v>1.2223960467289298E-2</v>
      </c>
      <c r="S307" s="13">
        <f t="shared" si="9"/>
        <v>1.1971440700933946E-2</v>
      </c>
      <c r="T307" s="13">
        <f t="shared" si="9"/>
        <v>1.1718920934578596E-2</v>
      </c>
      <c r="U307" s="13">
        <f t="shared" si="9"/>
        <v>1.1466401168223245E-2</v>
      </c>
      <c r="V307" s="13">
        <f t="shared" si="9"/>
        <v>1.1213881401867893E-2</v>
      </c>
      <c r="W307" s="13">
        <f t="shared" si="6"/>
        <v>0.88097112120888466</v>
      </c>
    </row>
    <row r="308" spans="1:23" x14ac:dyDescent="0.3">
      <c r="A308" t="s">
        <v>199</v>
      </c>
      <c r="B308" s="13">
        <f>H19</f>
        <v>244407.8</v>
      </c>
      <c r="C308" s="13">
        <f>I19</f>
        <v>262509.03000000003</v>
      </c>
      <c r="D308" s="13">
        <f>J19</f>
        <v>289702.09999999998</v>
      </c>
      <c r="E308" s="13">
        <f>K19</f>
        <v>295108.57</v>
      </c>
      <c r="F308" s="13">
        <f>L19</f>
        <v>301370.46000000002</v>
      </c>
      <c r="G308" s="13">
        <f>M19</f>
        <v>308050.61</v>
      </c>
      <c r="H308" s="13">
        <f>N19</f>
        <v>317425.73</v>
      </c>
      <c r="I308" s="13">
        <f>O19</f>
        <v>330794.84999999998</v>
      </c>
      <c r="L308" s="13"/>
      <c r="M308" s="13"/>
      <c r="N308" t="s">
        <v>199</v>
      </c>
      <c r="O308" s="13">
        <f>H66</f>
        <v>0.38813399999999998</v>
      </c>
      <c r="P308" s="13">
        <f>I66</f>
        <v>0.38813399999999998</v>
      </c>
      <c r="Q308" s="13">
        <f>$P308+($P308*$L314-$P308)*Q300/$V$300</f>
        <v>0.38043414085988153</v>
      </c>
      <c r="R308" s="13">
        <f t="shared" ref="R308:V308" si="10">$P308+($P308*$L314-$P308)*R300/$V$300</f>
        <v>0.37273428171976308</v>
      </c>
      <c r="S308" s="13">
        <f t="shared" si="10"/>
        <v>0.36503442257964458</v>
      </c>
      <c r="T308" s="13">
        <f t="shared" si="10"/>
        <v>0.35733456343952613</v>
      </c>
      <c r="U308" s="13">
        <f t="shared" si="10"/>
        <v>0.34963470429940768</v>
      </c>
      <c r="V308" s="13">
        <f t="shared" si="10"/>
        <v>0.34193484515928924</v>
      </c>
      <c r="W308" s="13">
        <f t="shared" si="6"/>
        <v>0.88097112120888466</v>
      </c>
    </row>
    <row r="309" spans="1:23" x14ac:dyDescent="0.3">
      <c r="A309" t="s">
        <v>200</v>
      </c>
      <c r="B309" s="13">
        <f>H15</f>
        <v>0</v>
      </c>
      <c r="C309" s="13">
        <f>I15</f>
        <v>332.38499999999999</v>
      </c>
      <c r="D309" s="13">
        <f>J15</f>
        <v>872.17499999999995</v>
      </c>
      <c r="E309" s="13">
        <f>K15</f>
        <v>1538.51</v>
      </c>
      <c r="F309" s="13">
        <f>L15</f>
        <v>2331.1</v>
      </c>
      <c r="G309" s="13">
        <f>M15</f>
        <v>3182.59</v>
      </c>
      <c r="H309" s="13">
        <f>N15</f>
        <v>4189.79</v>
      </c>
      <c r="I309" s="13">
        <f>O15</f>
        <v>5365.01</v>
      </c>
      <c r="L309" s="13"/>
      <c r="M309" s="13"/>
      <c r="N309" t="s">
        <v>200</v>
      </c>
      <c r="O309" s="13">
        <f>H62</f>
        <v>0</v>
      </c>
      <c r="P309" s="13">
        <f>I62</f>
        <v>5.8823499999999997E-5</v>
      </c>
      <c r="Q309" s="13">
        <f>$P309+($P309*$L315-$P309)*Q300/$V$300</f>
        <v>7.2741665608610763E-5</v>
      </c>
      <c r="R309" s="13">
        <f t="shared" ref="R309:V309" si="11">$P309+($P309*$L315-$P309)*R300/$V$300</f>
        <v>8.6659831217221516E-5</v>
      </c>
      <c r="S309" s="13">
        <f t="shared" si="11"/>
        <v>1.0057799682583227E-4</v>
      </c>
      <c r="T309" s="13">
        <f t="shared" si="11"/>
        <v>1.1449616243444304E-4</v>
      </c>
      <c r="U309" s="13">
        <f t="shared" si="11"/>
        <v>1.284143280430538E-4</v>
      </c>
      <c r="V309" s="13">
        <f t="shared" si="11"/>
        <v>1.4233249365166455E-4</v>
      </c>
      <c r="W309" s="13">
        <f t="shared" si="6"/>
        <v>2.4196536019050985</v>
      </c>
    </row>
    <row r="310" spans="1:23" x14ac:dyDescent="0.3">
      <c r="A310" t="s">
        <v>201</v>
      </c>
      <c r="B310" s="13">
        <f>H16</f>
        <v>57839.1</v>
      </c>
      <c r="C310" s="13">
        <f>I16</f>
        <v>61252.1</v>
      </c>
      <c r="D310" s="13">
        <f>J16</f>
        <v>65091.5</v>
      </c>
      <c r="E310" s="13">
        <f>K16</f>
        <v>65146.9</v>
      </c>
      <c r="F310" s="13">
        <f>L16</f>
        <v>64534</v>
      </c>
      <c r="G310" s="13">
        <f>M16</f>
        <v>63134.1</v>
      </c>
      <c r="H310" s="13">
        <f>N16</f>
        <v>62053.8999999999</v>
      </c>
      <c r="I310" s="13">
        <f>O16</f>
        <v>61115.7</v>
      </c>
      <c r="L310" s="13"/>
      <c r="M310" s="13"/>
      <c r="N310" t="s">
        <v>201</v>
      </c>
      <c r="O310" s="13">
        <f>H63</f>
        <v>1.32408E-2</v>
      </c>
      <c r="P310" s="13">
        <f>I63</f>
        <v>1.32408E-2</v>
      </c>
      <c r="Q310" s="13">
        <f>$P310+($P310*$L315-$P310)*Q300/$V$300</f>
        <v>1.6373691568684172E-2</v>
      </c>
      <c r="R310" s="13">
        <f t="shared" ref="R310:V310" si="12">$P310+($P310*$L315-$P310)*R300/$V$300</f>
        <v>1.9506583137368343E-2</v>
      </c>
      <c r="S310" s="13">
        <f t="shared" si="12"/>
        <v>2.2639474706052515E-2</v>
      </c>
      <c r="T310" s="13">
        <f t="shared" si="12"/>
        <v>2.577236627473669E-2</v>
      </c>
      <c r="U310" s="13">
        <f t="shared" si="12"/>
        <v>2.8905257843420861E-2</v>
      </c>
      <c r="V310" s="13">
        <f t="shared" si="12"/>
        <v>3.2038149412105033E-2</v>
      </c>
      <c r="W310" s="13">
        <f>V310/P310</f>
        <v>2.4196536019050989</v>
      </c>
    </row>
    <row r="311" spans="1:23" x14ac:dyDescent="0.3">
      <c r="A311" t="s">
        <v>202</v>
      </c>
      <c r="B311" s="13">
        <f>H14</f>
        <v>6241.59</v>
      </c>
      <c r="C311" s="13">
        <f>I14</f>
        <v>7592.54</v>
      </c>
      <c r="D311" s="13">
        <f>J14</f>
        <v>10863.3</v>
      </c>
      <c r="E311" s="13">
        <f>K14</f>
        <v>13870.3</v>
      </c>
      <c r="F311" s="13">
        <f>L14</f>
        <v>15597.6482</v>
      </c>
      <c r="G311" s="13">
        <f>M14</f>
        <v>17104.3207</v>
      </c>
      <c r="H311" s="13">
        <f>N14</f>
        <v>18098.761999999999</v>
      </c>
      <c r="I311" s="13">
        <f>O14</f>
        <v>18826.929</v>
      </c>
      <c r="L311" s="13"/>
      <c r="M311" s="13"/>
      <c r="N311" t="s">
        <v>202</v>
      </c>
      <c r="O311" s="13">
        <f>H61</f>
        <v>1.4951299999999999E-3</v>
      </c>
      <c r="P311" s="13">
        <f>I61</f>
        <v>1.4951299999999999E-3</v>
      </c>
      <c r="Q311" s="13">
        <f>$P311+($P311*$L316-$P311)*Q300/$V$300</f>
        <v>1.2459416666666665E-3</v>
      </c>
      <c r="R311" s="13">
        <f t="shared" ref="R311:V311" si="13">$P311+($P311*$L316-$P311)*R300/$V$300</f>
        <v>9.9675333333333312E-4</v>
      </c>
      <c r="S311" s="13">
        <f t="shared" si="13"/>
        <v>7.4756499999999995E-4</v>
      </c>
      <c r="T311" s="13">
        <f t="shared" si="13"/>
        <v>4.9837666666666656E-4</v>
      </c>
      <c r="U311" s="13">
        <f t="shared" si="13"/>
        <v>2.4918833333333339E-4</v>
      </c>
      <c r="V311" s="13">
        <f t="shared" si="13"/>
        <v>0</v>
      </c>
      <c r="W311" s="13">
        <f>V311/P311</f>
        <v>0</v>
      </c>
    </row>
    <row r="312" spans="1:23" x14ac:dyDescent="0.3">
      <c r="B312" s="13"/>
      <c r="C312" s="13"/>
      <c r="D312" s="13"/>
      <c r="E312" s="13"/>
      <c r="F312" s="13"/>
      <c r="G312" s="13"/>
      <c r="H312" s="13"/>
      <c r="I312" s="13"/>
      <c r="L312" s="13"/>
      <c r="M312" s="13"/>
      <c r="O312" s="13"/>
      <c r="P312" s="13"/>
      <c r="Q312" s="13"/>
      <c r="R312" s="13"/>
      <c r="S312" s="13"/>
    </row>
    <row r="313" spans="1:23" x14ac:dyDescent="0.3">
      <c r="A313" t="s">
        <v>203</v>
      </c>
      <c r="B313" s="13">
        <f>B304+B305</f>
        <v>64096.700000000004</v>
      </c>
      <c r="C313" s="13">
        <f t="shared" ref="C313:I313" si="14">C304+C305</f>
        <v>57870.2</v>
      </c>
      <c r="D313" s="13">
        <f t="shared" si="14"/>
        <v>51634.3</v>
      </c>
      <c r="E313" s="13">
        <f t="shared" si="14"/>
        <v>46221.600000000006</v>
      </c>
      <c r="F313" s="13">
        <f t="shared" si="14"/>
        <v>42135.899999999994</v>
      </c>
      <c r="G313" s="13">
        <f t="shared" si="14"/>
        <v>39538.730000000003</v>
      </c>
      <c r="H313" s="13">
        <f t="shared" si="14"/>
        <v>37366.22</v>
      </c>
      <c r="I313" s="13">
        <f t="shared" si="14"/>
        <v>35470.370000000003</v>
      </c>
      <c r="J313" s="39">
        <f>I313/I$317</f>
        <v>2.3758238753996082E-2</v>
      </c>
      <c r="K313" s="13">
        <f>D263</f>
        <v>8.2552391098090802E-2</v>
      </c>
      <c r="L313" s="13">
        <f>K313/J313</f>
        <v>3.4746848010442557</v>
      </c>
      <c r="M313" s="13"/>
      <c r="N313" t="s">
        <v>203</v>
      </c>
      <c r="O313" s="13"/>
      <c r="P313" s="13"/>
      <c r="Q313" s="13"/>
      <c r="R313" s="13"/>
      <c r="S313" s="13"/>
    </row>
    <row r="314" spans="1:23" x14ac:dyDescent="0.3">
      <c r="A314" t="s">
        <v>204</v>
      </c>
      <c r="B314" s="13">
        <f>B306+B307+B308</f>
        <v>1126549.5</v>
      </c>
      <c r="C314" s="13">
        <f t="shared" ref="C314:I314" si="15">C306+C307+C308</f>
        <v>1216641.03</v>
      </c>
      <c r="D314" s="13">
        <f t="shared" si="15"/>
        <v>1332013.5</v>
      </c>
      <c r="E314" s="13">
        <f t="shared" si="15"/>
        <v>1387003.27</v>
      </c>
      <c r="F314" s="13">
        <f t="shared" si="15"/>
        <v>1421943.76</v>
      </c>
      <c r="G314" s="13">
        <f t="shared" si="15"/>
        <v>1398090.0099999998</v>
      </c>
      <c r="H314" s="13">
        <f t="shared" si="15"/>
        <v>1382206.73</v>
      </c>
      <c r="I314" s="13">
        <f t="shared" si="15"/>
        <v>1372193.35</v>
      </c>
      <c r="J314" s="39">
        <f t="shared" ref="J314:J316" si="16">I314/I$317</f>
        <v>0.91910225988467864</v>
      </c>
      <c r="K314" s="13">
        <f>D265</f>
        <v>0.80970254839622502</v>
      </c>
      <c r="L314" s="13">
        <f>K314/J314</f>
        <v>0.88097112120888466</v>
      </c>
      <c r="M314" s="13"/>
      <c r="N314" t="s">
        <v>204</v>
      </c>
      <c r="O314" s="13"/>
      <c r="P314" s="13"/>
      <c r="Q314" s="13"/>
      <c r="R314" s="13"/>
      <c r="S314" s="13"/>
    </row>
    <row r="315" spans="1:23" x14ac:dyDescent="0.3">
      <c r="A315" t="s">
        <v>205</v>
      </c>
      <c r="B315" s="13">
        <f>B309+B310</f>
        <v>57839.1</v>
      </c>
      <c r="C315" s="13">
        <f t="shared" ref="C315:I315" si="17">C309+C310</f>
        <v>61584.485000000001</v>
      </c>
      <c r="D315" s="13">
        <f t="shared" si="17"/>
        <v>65963.675000000003</v>
      </c>
      <c r="E315" s="13">
        <f t="shared" si="17"/>
        <v>66685.41</v>
      </c>
      <c r="F315" s="13">
        <f t="shared" si="17"/>
        <v>66865.100000000006</v>
      </c>
      <c r="G315" s="13">
        <f t="shared" si="17"/>
        <v>66316.69</v>
      </c>
      <c r="H315" s="13">
        <f t="shared" si="17"/>
        <v>66243.6899999999</v>
      </c>
      <c r="I315" s="13">
        <f t="shared" si="17"/>
        <v>66480.709999999992</v>
      </c>
      <c r="J315" s="39">
        <f t="shared" si="16"/>
        <v>4.4529126161220609E-2</v>
      </c>
      <c r="K315" s="13">
        <f>D266</f>
        <v>0.107745060505684</v>
      </c>
      <c r="L315" s="13">
        <f>K315/J315</f>
        <v>2.4196536019050985</v>
      </c>
      <c r="M315" s="13"/>
      <c r="N315" t="s">
        <v>205</v>
      </c>
      <c r="O315" s="13"/>
      <c r="P315" s="13"/>
      <c r="Q315" s="13"/>
      <c r="R315" s="13"/>
      <c r="S315" s="13"/>
    </row>
    <row r="316" spans="1:23" x14ac:dyDescent="0.3">
      <c r="A316" t="s">
        <v>206</v>
      </c>
      <c r="B316" s="13">
        <f>B311</f>
        <v>6241.59</v>
      </c>
      <c r="C316" s="13">
        <f t="shared" ref="C316:I316" si="18">C311</f>
        <v>7592.54</v>
      </c>
      <c r="D316" s="13">
        <f t="shared" si="18"/>
        <v>10863.3</v>
      </c>
      <c r="E316" s="13">
        <f t="shared" si="18"/>
        <v>13870.3</v>
      </c>
      <c r="F316" s="13">
        <f t="shared" si="18"/>
        <v>15597.6482</v>
      </c>
      <c r="G316" s="13">
        <f t="shared" si="18"/>
        <v>17104.3207</v>
      </c>
      <c r="H316" s="13">
        <f t="shared" si="18"/>
        <v>18098.761999999999</v>
      </c>
      <c r="I316" s="13">
        <f t="shared" si="18"/>
        <v>18826.929</v>
      </c>
      <c r="J316" s="39">
        <f t="shared" si="16"/>
        <v>1.2610375200104558E-2</v>
      </c>
      <c r="K316" s="13">
        <f>D264</f>
        <v>0</v>
      </c>
      <c r="L316" s="13">
        <f>K316/J316</f>
        <v>0</v>
      </c>
      <c r="M316" s="13"/>
      <c r="N316" t="s">
        <v>206</v>
      </c>
      <c r="O316" s="13"/>
      <c r="P316" s="13"/>
      <c r="Q316" s="13"/>
      <c r="R316" s="13"/>
      <c r="S316" s="13"/>
    </row>
    <row r="317" spans="1:23" x14ac:dyDescent="0.3">
      <c r="A317" t="s">
        <v>207</v>
      </c>
      <c r="B317" s="13">
        <f>SUM(B313:B316)</f>
        <v>1254726.8900000001</v>
      </c>
      <c r="C317" s="13">
        <f t="shared" ref="C317:I317" si="19">SUM(C313:C316)</f>
        <v>1343688.2550000001</v>
      </c>
      <c r="D317" s="13">
        <f t="shared" si="19"/>
        <v>1460474.7750000001</v>
      </c>
      <c r="E317" s="13">
        <f t="shared" si="19"/>
        <v>1513780.58</v>
      </c>
      <c r="F317" s="13">
        <f t="shared" si="19"/>
        <v>1546542.4081999999</v>
      </c>
      <c r="G317" s="13">
        <f t="shared" si="19"/>
        <v>1521049.7506999997</v>
      </c>
      <c r="H317" s="13">
        <f t="shared" si="19"/>
        <v>1503915.402</v>
      </c>
      <c r="I317" s="13">
        <f t="shared" si="19"/>
        <v>1492971.3590000002</v>
      </c>
      <c r="J317" s="39">
        <f>SUM(J313:J316)</f>
        <v>0.99999999999999989</v>
      </c>
      <c r="K317" s="13">
        <f>SUM(K313:K316)</f>
        <v>0.99999999999999978</v>
      </c>
      <c r="L317" s="13"/>
      <c r="M317" s="13"/>
      <c r="N317" t="s">
        <v>207</v>
      </c>
      <c r="O317" s="13"/>
      <c r="P317" s="13"/>
      <c r="Q317" s="13"/>
      <c r="R317" s="13"/>
      <c r="S317" s="13"/>
    </row>
    <row r="318" spans="1:23" x14ac:dyDescent="0.3">
      <c r="B318" s="13"/>
      <c r="C318" s="13"/>
      <c r="D318" s="13"/>
      <c r="E318" s="13"/>
      <c r="F318" s="13"/>
      <c r="G318" s="13"/>
      <c r="H318" s="13"/>
      <c r="I318" s="13"/>
      <c r="L318" s="13"/>
      <c r="M318" s="13"/>
      <c r="N318" s="11"/>
      <c r="W318" s="13"/>
    </row>
    <row r="319" spans="1:23" x14ac:dyDescent="0.3">
      <c r="A319" s="25" t="s">
        <v>65</v>
      </c>
      <c r="B319" s="13"/>
      <c r="C319" s="13"/>
      <c r="D319" s="13"/>
      <c r="E319" s="13"/>
      <c r="F319" s="13"/>
      <c r="G319" s="13"/>
      <c r="H319" s="13"/>
      <c r="I319" s="13"/>
      <c r="N319" s="25" t="s">
        <v>65</v>
      </c>
      <c r="W319" s="13"/>
    </row>
    <row r="320" spans="1:23" x14ac:dyDescent="0.3">
      <c r="A320" t="s">
        <v>177</v>
      </c>
      <c r="B320" s="13">
        <f>H33</f>
        <v>38400.6</v>
      </c>
      <c r="C320" s="13">
        <f>I33</f>
        <v>38657.699999999997</v>
      </c>
      <c r="D320" s="13">
        <f>J33</f>
        <v>35817.1</v>
      </c>
      <c r="E320" s="13">
        <f>K33</f>
        <v>34538.199999999997</v>
      </c>
      <c r="F320" s="13">
        <f>L33</f>
        <v>33410.5</v>
      </c>
      <c r="G320" s="13">
        <f>M33</f>
        <v>32485.3</v>
      </c>
      <c r="H320" s="13">
        <f>N33</f>
        <v>31565.7</v>
      </c>
      <c r="I320" s="13">
        <f>O33</f>
        <v>30658.1</v>
      </c>
      <c r="L320" s="13"/>
      <c r="M320" s="13"/>
      <c r="N320" t="s">
        <v>177</v>
      </c>
      <c r="O320" s="13">
        <f>H80</f>
        <v>2.39487E-2</v>
      </c>
      <c r="P320" s="13">
        <f>I80</f>
        <v>2.39487E-2</v>
      </c>
      <c r="Q320" s="13">
        <f>$P320+($P320*$L329-$P320)*Q300/$V$300</f>
        <v>4.4630741107186692E-2</v>
      </c>
      <c r="R320" s="13">
        <f t="shared" ref="R320:V320" si="20">$P320+($P320*$L329-$P320)*R300/$V$300</f>
        <v>6.5312782214373394E-2</v>
      </c>
      <c r="S320" s="13">
        <f t="shared" si="20"/>
        <v>8.5994823321560082E-2</v>
      </c>
      <c r="T320" s="13">
        <f t="shared" si="20"/>
        <v>0.10667686442874678</v>
      </c>
      <c r="U320" s="13">
        <f t="shared" si="20"/>
        <v>0.12735890553593349</v>
      </c>
      <c r="V320" s="13">
        <f t="shared" si="20"/>
        <v>0.14804094664312017</v>
      </c>
      <c r="W320" s="13">
        <f>V320/P320</f>
        <v>6.1815859166936065</v>
      </c>
    </row>
    <row r="321" spans="1:23" x14ac:dyDescent="0.3">
      <c r="A321" t="s">
        <v>178</v>
      </c>
      <c r="B321" s="13">
        <f>H38</f>
        <v>115202</v>
      </c>
      <c r="C321" s="13">
        <f>I38</f>
        <v>115973</v>
      </c>
      <c r="D321" s="13">
        <f>J38</f>
        <v>107451</v>
      </c>
      <c r="E321" s="13">
        <f>K38</f>
        <v>103615</v>
      </c>
      <c r="F321" s="13">
        <f>L38</f>
        <v>100231</v>
      </c>
      <c r="G321" s="13">
        <f>M38</f>
        <v>97455.8</v>
      </c>
      <c r="H321" s="13">
        <f>N38</f>
        <v>94697.1</v>
      </c>
      <c r="I321" s="13">
        <f>O38</f>
        <v>91974.399999999994</v>
      </c>
      <c r="L321" s="13"/>
      <c r="M321" s="13"/>
      <c r="N321" t="s">
        <v>178</v>
      </c>
      <c r="O321" s="13">
        <f>H84</f>
        <v>0.701623</v>
      </c>
      <c r="P321" s="13">
        <f>I84</f>
        <v>0.701623</v>
      </c>
      <c r="Q321" s="13">
        <f>$P321+($P321*$L329-$P321)*Q300/$V$300</f>
        <v>1.307542975938053</v>
      </c>
      <c r="R321" s="13">
        <f t="shared" ref="R321:V321" si="21">$P321+($P321*$L329-$P321)*R300/$V$300</f>
        <v>1.9134629518761059</v>
      </c>
      <c r="S321" s="13">
        <f t="shared" si="21"/>
        <v>2.5193829278141591</v>
      </c>
      <c r="T321" s="13">
        <f t="shared" si="21"/>
        <v>3.1253029037522122</v>
      </c>
      <c r="U321" s="13">
        <f t="shared" si="21"/>
        <v>3.7312228796902653</v>
      </c>
      <c r="V321" s="13">
        <f t="shared" si="21"/>
        <v>4.3371428556283185</v>
      </c>
      <c r="W321" s="13">
        <f>V321/P321</f>
        <v>6.1815859166936065</v>
      </c>
    </row>
    <row r="322" spans="1:23" x14ac:dyDescent="0.3">
      <c r="A322" t="s">
        <v>197</v>
      </c>
      <c r="B322" s="13">
        <f>H42</f>
        <v>4609600</v>
      </c>
      <c r="C322" s="13">
        <f>I42</f>
        <v>4715700</v>
      </c>
      <c r="D322" s="13">
        <f>J42</f>
        <v>5133970</v>
      </c>
      <c r="E322" s="13">
        <f>K42</f>
        <v>5299600</v>
      </c>
      <c r="F322" s="13">
        <f>L42</f>
        <v>5461370</v>
      </c>
      <c r="G322" s="13">
        <f>M42</f>
        <v>5574410</v>
      </c>
      <c r="H322" s="13">
        <f>N42</f>
        <v>5707440</v>
      </c>
      <c r="I322" s="13">
        <f>O42</f>
        <v>5863510</v>
      </c>
      <c r="L322" s="13"/>
      <c r="M322" s="13"/>
      <c r="N322" t="s">
        <v>197</v>
      </c>
      <c r="O322" s="13">
        <f>H89</f>
        <v>1</v>
      </c>
      <c r="P322" s="13">
        <f>I89</f>
        <v>1</v>
      </c>
      <c r="Q322" s="13">
        <f>$P322+($P322*$L330-$P322)*Q300/$V$300</f>
        <v>0.9796064803172384</v>
      </c>
      <c r="R322" s="13">
        <f t="shared" ref="R322:V322" si="22">$P322+($P322*$L330-$P322)*R300/$V$300</f>
        <v>0.9592129606344767</v>
      </c>
      <c r="S322" s="13">
        <f t="shared" si="22"/>
        <v>0.93881944095171499</v>
      </c>
      <c r="T322" s="13">
        <f t="shared" si="22"/>
        <v>0.91842592126895339</v>
      </c>
      <c r="U322" s="13">
        <f t="shared" si="22"/>
        <v>0.8980324015861918</v>
      </c>
      <c r="V322" s="13">
        <f t="shared" si="22"/>
        <v>0.87763888190343009</v>
      </c>
      <c r="W322" s="13">
        <f t="shared" ref="W322:W325" si="23">V322/P322</f>
        <v>0.87763888190343009</v>
      </c>
    </row>
    <row r="323" spans="1:23" x14ac:dyDescent="0.3">
      <c r="A323" t="s">
        <v>198</v>
      </c>
      <c r="B323" s="13">
        <f>H41</f>
        <v>93507.199999999997</v>
      </c>
      <c r="C323" s="13">
        <f>I41</f>
        <v>97021.1</v>
      </c>
      <c r="D323" s="13">
        <f>J41</f>
        <v>107249.4</v>
      </c>
      <c r="E323" s="13">
        <f>K41</f>
        <v>109920.799999999</v>
      </c>
      <c r="F323" s="13">
        <f>L41</f>
        <v>111856</v>
      </c>
      <c r="G323" s="13">
        <f>M41</f>
        <v>111779</v>
      </c>
      <c r="H323" s="13">
        <f>N41</f>
        <v>112875.2</v>
      </c>
      <c r="I323" s="13">
        <f>O41</f>
        <v>115078.7</v>
      </c>
      <c r="L323" s="13"/>
      <c r="M323" s="13"/>
      <c r="N323" t="s">
        <v>198</v>
      </c>
      <c r="O323" s="13">
        <f>H88</f>
        <v>1.95251E-2</v>
      </c>
      <c r="P323" s="13">
        <f>I88</f>
        <v>1.95251E-2</v>
      </c>
      <c r="Q323" s="13">
        <f>$P323+($P323*$L330-$P323)*Q300/$V$300</f>
        <v>1.9126914488842111E-2</v>
      </c>
      <c r="R323" s="13">
        <f t="shared" ref="R323:V323" si="24">$P323+($P323*$L330-$P323)*R300/$V$300</f>
        <v>1.8728728977684222E-2</v>
      </c>
      <c r="S323" s="13">
        <f t="shared" si="24"/>
        <v>1.8330543466526329E-2</v>
      </c>
      <c r="T323" s="13">
        <f t="shared" si="24"/>
        <v>1.793235795536844E-2</v>
      </c>
      <c r="U323" s="13">
        <f t="shared" si="24"/>
        <v>1.7534172444210551E-2</v>
      </c>
      <c r="V323" s="13">
        <f t="shared" si="24"/>
        <v>1.7135986933052662E-2</v>
      </c>
      <c r="W323" s="13">
        <f t="shared" si="23"/>
        <v>0.87763888190342998</v>
      </c>
    </row>
    <row r="324" spans="1:23" x14ac:dyDescent="0.3">
      <c r="A324" t="s">
        <v>199</v>
      </c>
      <c r="B324" s="13">
        <f>H39</f>
        <v>781792</v>
      </c>
      <c r="C324" s="13">
        <f>I39</f>
        <v>781697.299999999</v>
      </c>
      <c r="D324" s="13">
        <f>J39</f>
        <v>731664.80999999901</v>
      </c>
      <c r="E324" s="13">
        <f>K39</f>
        <v>700375</v>
      </c>
      <c r="F324" s="13">
        <f>L39</f>
        <v>669149.89999999898</v>
      </c>
      <c r="G324" s="13">
        <f>M39</f>
        <v>645129.6</v>
      </c>
      <c r="H324" s="13">
        <f>N39</f>
        <v>625332.30000000005</v>
      </c>
      <c r="I324" s="13">
        <f>O39</f>
        <v>607617</v>
      </c>
      <c r="L324" s="13"/>
      <c r="M324" s="13"/>
      <c r="N324" t="s">
        <v>199</v>
      </c>
      <c r="O324" s="13">
        <f>H86</f>
        <v>5.3004000000000003E-2</v>
      </c>
      <c r="P324" s="13">
        <f>I86</f>
        <v>5.3004000000000003E-2</v>
      </c>
      <c r="Q324" s="13">
        <f>$P324+($P324*$L330-$P324)*Q300/$V$300</f>
        <v>5.1923061882734906E-2</v>
      </c>
      <c r="R324" s="13">
        <f t="shared" ref="R324:V324" si="25">$P324+($P324*$L330-$P324)*R300/$V$300</f>
        <v>5.0842123765469809E-2</v>
      </c>
      <c r="S324" s="13">
        <f t="shared" si="25"/>
        <v>4.9761185648204712E-2</v>
      </c>
      <c r="T324" s="13">
        <f t="shared" si="25"/>
        <v>4.8680247530939608E-2</v>
      </c>
      <c r="U324" s="13">
        <f t="shared" si="25"/>
        <v>4.7599309413674511E-2</v>
      </c>
      <c r="V324" s="13">
        <f t="shared" si="25"/>
        <v>4.6518371296409414E-2</v>
      </c>
      <c r="W324" s="13">
        <f t="shared" si="23"/>
        <v>0.8776388819034302</v>
      </c>
    </row>
    <row r="325" spans="1:23" x14ac:dyDescent="0.3">
      <c r="A325" t="s">
        <v>200</v>
      </c>
      <c r="B325" s="13">
        <f>H35</f>
        <v>21169.9</v>
      </c>
      <c r="C325" s="13">
        <f>I35</f>
        <v>21370.7</v>
      </c>
      <c r="D325" s="13">
        <f>J35</f>
        <v>28026.799999999999</v>
      </c>
      <c r="E325" s="13">
        <f>K35</f>
        <v>31977.200000000001</v>
      </c>
      <c r="F325" s="13">
        <f>L35</f>
        <v>35922.400000000001</v>
      </c>
      <c r="G325" s="13">
        <f>M35</f>
        <v>35607.199999999997</v>
      </c>
      <c r="H325" s="13">
        <f>N35</f>
        <v>35780.800000000003</v>
      </c>
      <c r="I325" s="13">
        <f>O35</f>
        <v>36397.300000000003</v>
      </c>
      <c r="L325" s="13"/>
      <c r="M325" s="13"/>
      <c r="N325" t="s">
        <v>200</v>
      </c>
      <c r="O325" s="13">
        <f>H82</f>
        <v>2.4110999999999998E-3</v>
      </c>
      <c r="P325" s="13">
        <f>I82</f>
        <v>2.3281E-3</v>
      </c>
      <c r="Q325" s="13">
        <f>$P325+($P325*$L331-$P325)*Q300/$V$300</f>
        <v>2.8738656218528467E-3</v>
      </c>
      <c r="R325" s="13">
        <f t="shared" ref="R325:V325" si="26">$P325+($P325*$L331-$P325)*R300/$V$300</f>
        <v>3.4196312437056939E-3</v>
      </c>
      <c r="S325" s="13">
        <f t="shared" si="26"/>
        <v>3.9653968655585401E-3</v>
      </c>
      <c r="T325" s="13">
        <f t="shared" si="26"/>
        <v>4.5111624874113873E-3</v>
      </c>
      <c r="U325" s="13">
        <f t="shared" si="26"/>
        <v>5.0569281092642335E-3</v>
      </c>
      <c r="V325" s="13">
        <f t="shared" si="26"/>
        <v>5.6026937311170807E-3</v>
      </c>
      <c r="W325" s="13">
        <f t="shared" si="23"/>
        <v>2.4065520085550793</v>
      </c>
    </row>
    <row r="326" spans="1:23" x14ac:dyDescent="0.3">
      <c r="A326" t="s">
        <v>201</v>
      </c>
      <c r="B326" s="13">
        <f>H36</f>
        <v>365615</v>
      </c>
      <c r="C326" s="13">
        <f>I36</f>
        <v>376946.2</v>
      </c>
      <c r="D326" s="13">
        <f>J36</f>
        <v>417613.2</v>
      </c>
      <c r="E326" s="13">
        <f>K36</f>
        <v>430627</v>
      </c>
      <c r="F326" s="13">
        <f>L36</f>
        <v>439863.3</v>
      </c>
      <c r="G326" s="13">
        <f>M36</f>
        <v>443022.5</v>
      </c>
      <c r="H326" s="13">
        <f>N36</f>
        <v>449764.7</v>
      </c>
      <c r="I326" s="13">
        <f>O36</f>
        <v>459813.4</v>
      </c>
      <c r="L326" s="13"/>
      <c r="M326" s="13"/>
      <c r="N326" t="s">
        <v>201</v>
      </c>
      <c r="O326" s="13">
        <f>H83</f>
        <v>5.0994900000000003E-2</v>
      </c>
      <c r="P326" s="13">
        <f>I83</f>
        <v>5.0994900000000003E-2</v>
      </c>
      <c r="Q326" s="13">
        <f>$P326+($P326*$L331-$P326)*Q300/$V$300</f>
        <v>6.2949396503510904E-2</v>
      </c>
      <c r="R326" s="13">
        <f t="shared" ref="R326:V326" si="27">$P326+($P326*$L331-$P326)*R300/$V$300</f>
        <v>7.4903893007021813E-2</v>
      </c>
      <c r="S326" s="13">
        <f t="shared" si="27"/>
        <v>8.6858389510532708E-2</v>
      </c>
      <c r="T326" s="13">
        <f t="shared" si="27"/>
        <v>9.8812886014043616E-2</v>
      </c>
      <c r="U326" s="13">
        <f t="shared" si="27"/>
        <v>0.11076738251755452</v>
      </c>
      <c r="V326" s="13">
        <f t="shared" si="27"/>
        <v>0.12272187902106543</v>
      </c>
      <c r="W326" s="13">
        <f>V326/P326</f>
        <v>2.4065520085550793</v>
      </c>
    </row>
    <row r="327" spans="1:23" x14ac:dyDescent="0.3">
      <c r="A327" t="s">
        <v>202</v>
      </c>
      <c r="B327" s="13">
        <f>H34</f>
        <v>277139</v>
      </c>
      <c r="C327" s="13">
        <f>I34</f>
        <v>288496</v>
      </c>
      <c r="D327" s="13">
        <f>J34</f>
        <v>378904</v>
      </c>
      <c r="E327" s="13">
        <f>K34</f>
        <v>439370</v>
      </c>
      <c r="F327" s="13">
        <f>L34</f>
        <v>474600.73100000003</v>
      </c>
      <c r="G327" s="13">
        <f>M34</f>
        <v>508166.11</v>
      </c>
      <c r="H327" s="13">
        <f>N34</f>
        <v>536592.27</v>
      </c>
      <c r="I327" s="13">
        <f>O34</f>
        <v>561748.1</v>
      </c>
      <c r="L327" s="13"/>
      <c r="M327" s="13"/>
      <c r="N327" t="s">
        <v>202</v>
      </c>
      <c r="O327" s="13">
        <f>H81</f>
        <v>8.0730999999999997E-3</v>
      </c>
      <c r="P327" s="13">
        <f>I81</f>
        <v>8.0730999999999997E-3</v>
      </c>
      <c r="Q327" s="13">
        <f>$P327+($P327*$L332-$P327)*Q300/$V$300</f>
        <v>6.8096597725994133E-3</v>
      </c>
      <c r="R327" s="13">
        <f t="shared" ref="R327:V327" si="28">$P327+($P327*$L332-$P327)*R300/$V$300</f>
        <v>5.5462195451988269E-3</v>
      </c>
      <c r="S327" s="13">
        <f t="shared" si="28"/>
        <v>4.2827793177982413E-3</v>
      </c>
      <c r="T327" s="13">
        <f t="shared" si="28"/>
        <v>3.019339090397654E-3</v>
      </c>
      <c r="U327" s="13">
        <f t="shared" si="28"/>
        <v>1.7558988629970676E-3</v>
      </c>
      <c r="V327" s="13">
        <f t="shared" si="28"/>
        <v>4.92458635596482E-4</v>
      </c>
      <c r="W327" s="13">
        <f>V327/P327</f>
        <v>6.0999942475193178E-2</v>
      </c>
    </row>
    <row r="328" spans="1:23" x14ac:dyDescent="0.3">
      <c r="B328" s="13"/>
      <c r="C328" s="13"/>
      <c r="D328" s="13"/>
      <c r="E328" s="13"/>
      <c r="F328" s="13"/>
      <c r="G328" s="13"/>
      <c r="H328" s="13"/>
      <c r="I328" s="13"/>
      <c r="K328" s="12" t="s">
        <v>156</v>
      </c>
      <c r="L328" s="13"/>
      <c r="M328" s="13"/>
      <c r="O328" s="13"/>
      <c r="P328" s="13"/>
      <c r="Q328" s="13"/>
      <c r="R328" s="13"/>
      <c r="S328" s="13"/>
    </row>
    <row r="329" spans="1:23" x14ac:dyDescent="0.3">
      <c r="A329" t="s">
        <v>203</v>
      </c>
      <c r="B329" s="13">
        <f>B320+B321</f>
        <v>153602.6</v>
      </c>
      <c r="C329" s="13">
        <f t="shared" ref="C329:I329" si="29">C320+C321</f>
        <v>154630.70000000001</v>
      </c>
      <c r="D329" s="13">
        <f t="shared" si="29"/>
        <v>143268.1</v>
      </c>
      <c r="E329" s="13">
        <f t="shared" si="29"/>
        <v>138153.20000000001</v>
      </c>
      <c r="F329" s="13">
        <f t="shared" si="29"/>
        <v>133641.5</v>
      </c>
      <c r="G329" s="13">
        <f t="shared" si="29"/>
        <v>129941.1</v>
      </c>
      <c r="H329" s="13">
        <f t="shared" si="29"/>
        <v>126262.8</v>
      </c>
      <c r="I329" s="13">
        <f t="shared" si="29"/>
        <v>122632.5</v>
      </c>
      <c r="J329" s="39">
        <f>I329/I$333</f>
        <v>1.5789327312146821E-2</v>
      </c>
      <c r="K329" s="13">
        <f>D275</f>
        <v>9.76030833468325E-2</v>
      </c>
      <c r="L329" s="13">
        <f>K329/J329</f>
        <v>6.1815859166936065</v>
      </c>
      <c r="M329" s="13"/>
      <c r="N329" t="s">
        <v>203</v>
      </c>
      <c r="O329" s="13"/>
      <c r="P329" s="13"/>
      <c r="Q329" s="13"/>
      <c r="R329" s="13"/>
      <c r="S329" s="13"/>
    </row>
    <row r="330" spans="1:23" x14ac:dyDescent="0.3">
      <c r="A330" t="s">
        <v>204</v>
      </c>
      <c r="B330" s="13">
        <f>B322+B323+B324</f>
        <v>5484899.2000000002</v>
      </c>
      <c r="C330" s="13">
        <f t="shared" ref="C330:I330" si="30">C322+C323+C324</f>
        <v>5594418.3999999985</v>
      </c>
      <c r="D330" s="13">
        <f t="shared" si="30"/>
        <v>5972884.209999999</v>
      </c>
      <c r="E330" s="13">
        <f t="shared" si="30"/>
        <v>6109895.7999999989</v>
      </c>
      <c r="F330" s="13">
        <f t="shared" si="30"/>
        <v>6242375.8999999985</v>
      </c>
      <c r="G330" s="13">
        <f t="shared" si="30"/>
        <v>6331318.5999999996</v>
      </c>
      <c r="H330" s="13">
        <f t="shared" si="30"/>
        <v>6445647.5</v>
      </c>
      <c r="I330" s="13">
        <f t="shared" si="30"/>
        <v>6586205.7000000002</v>
      </c>
      <c r="J330" s="39">
        <f t="shared" ref="J330:J332" si="31">I330/I$333</f>
        <v>0.8479950872927412</v>
      </c>
      <c r="K330" s="13">
        <f>D277</f>
        <v>0.74423346027120296</v>
      </c>
      <c r="L330" s="13">
        <f>K330/J330</f>
        <v>0.87763888190343009</v>
      </c>
      <c r="M330" s="13"/>
      <c r="N330" t="s">
        <v>204</v>
      </c>
      <c r="O330" s="13"/>
      <c r="P330" s="13"/>
      <c r="Q330" s="13"/>
      <c r="R330" s="13"/>
      <c r="S330" s="13"/>
    </row>
    <row r="331" spans="1:23" x14ac:dyDescent="0.3">
      <c r="A331" t="s">
        <v>205</v>
      </c>
      <c r="B331" s="13">
        <f>B325+B326</f>
        <v>386784.9</v>
      </c>
      <c r="C331" s="13">
        <f t="shared" ref="C331:I331" si="32">C325+C326</f>
        <v>398316.9</v>
      </c>
      <c r="D331" s="13">
        <f t="shared" si="32"/>
        <v>445640</v>
      </c>
      <c r="E331" s="13">
        <f t="shared" si="32"/>
        <v>462604.2</v>
      </c>
      <c r="F331" s="13">
        <f t="shared" si="32"/>
        <v>475785.7</v>
      </c>
      <c r="G331" s="13">
        <f t="shared" si="32"/>
        <v>478629.7</v>
      </c>
      <c r="H331" s="13">
        <f t="shared" si="32"/>
        <v>485545.5</v>
      </c>
      <c r="I331" s="13">
        <f t="shared" si="32"/>
        <v>496210.7</v>
      </c>
      <c r="J331" s="39">
        <f t="shared" si="31"/>
        <v>6.3888717575597762E-2</v>
      </c>
      <c r="K331" s="13">
        <f>D278</f>
        <v>0.15375152160556299</v>
      </c>
      <c r="L331" s="13">
        <f>K331/J331</f>
        <v>2.4065520085550793</v>
      </c>
      <c r="M331" s="13"/>
      <c r="N331" t="s">
        <v>205</v>
      </c>
      <c r="O331" s="13"/>
      <c r="P331" s="13"/>
      <c r="Q331" s="13"/>
      <c r="R331" s="13"/>
      <c r="S331" s="13"/>
    </row>
    <row r="332" spans="1:23" x14ac:dyDescent="0.3">
      <c r="A332" t="s">
        <v>206</v>
      </c>
      <c r="B332" s="13">
        <f>B327</f>
        <v>277139</v>
      </c>
      <c r="C332" s="13">
        <f t="shared" ref="C332:I332" si="33">C327</f>
        <v>288496</v>
      </c>
      <c r="D332" s="13">
        <f t="shared" si="33"/>
        <v>378904</v>
      </c>
      <c r="E332" s="13">
        <f t="shared" si="33"/>
        <v>439370</v>
      </c>
      <c r="F332" s="13">
        <f t="shared" si="33"/>
        <v>474600.73100000003</v>
      </c>
      <c r="G332" s="13">
        <f t="shared" si="33"/>
        <v>508166.11</v>
      </c>
      <c r="H332" s="13">
        <f t="shared" si="33"/>
        <v>536592.27</v>
      </c>
      <c r="I332" s="13">
        <f t="shared" si="33"/>
        <v>561748.1</v>
      </c>
      <c r="J332" s="39">
        <f t="shared" si="31"/>
        <v>7.2326867819514265E-2</v>
      </c>
      <c r="K332" s="13">
        <f>D276</f>
        <v>4.4119347764012603E-3</v>
      </c>
      <c r="L332" s="13">
        <f>K332/J332</f>
        <v>6.0999942475193032E-2</v>
      </c>
      <c r="M332" s="13"/>
      <c r="N332" t="s">
        <v>206</v>
      </c>
      <c r="O332" s="13"/>
      <c r="P332" s="13"/>
      <c r="Q332" s="13"/>
      <c r="R332" s="13"/>
      <c r="S332" s="13"/>
    </row>
    <row r="333" spans="1:23" x14ac:dyDescent="0.3">
      <c r="A333" t="s">
        <v>207</v>
      </c>
      <c r="B333" s="13">
        <f>SUM(B329:B332)</f>
        <v>6302425.7000000002</v>
      </c>
      <c r="C333" s="13">
        <f t="shared" ref="C333:I333" si="34">SUM(C329:C332)</f>
        <v>6435861.9999999991</v>
      </c>
      <c r="D333" s="13">
        <f t="shared" si="34"/>
        <v>6940696.3099999987</v>
      </c>
      <c r="E333" s="13">
        <f t="shared" si="34"/>
        <v>7150023.1999999993</v>
      </c>
      <c r="F333" s="13">
        <f t="shared" si="34"/>
        <v>7326403.8309999984</v>
      </c>
      <c r="G333" s="13">
        <f t="shared" si="34"/>
        <v>7448055.5099999998</v>
      </c>
      <c r="H333" s="13">
        <f t="shared" si="34"/>
        <v>7594048.0700000003</v>
      </c>
      <c r="I333" s="13">
        <f t="shared" si="34"/>
        <v>7766797</v>
      </c>
      <c r="J333" s="39">
        <f>SUM(J329:J332)</f>
        <v>1</v>
      </c>
      <c r="K333" s="13">
        <f>SUM(K329:K332)</f>
        <v>0.99999999999999967</v>
      </c>
      <c r="L333" s="13"/>
      <c r="M333" s="13"/>
      <c r="N333" t="s">
        <v>207</v>
      </c>
      <c r="O333" s="13"/>
      <c r="P333" s="13"/>
      <c r="Q333" s="13"/>
      <c r="R333" s="13"/>
      <c r="S333" s="13"/>
    </row>
    <row r="335" spans="1:23" x14ac:dyDescent="0.3">
      <c r="A335" s="12"/>
    </row>
    <row r="336" spans="1:23" x14ac:dyDescent="0.3">
      <c r="A336" s="11"/>
    </row>
    <row r="339" spans="1:1" x14ac:dyDescent="0.3">
      <c r="A339" s="11"/>
    </row>
    <row r="342" spans="1:1" x14ac:dyDescent="0.3">
      <c r="A342" s="11"/>
    </row>
  </sheetData>
  <sortState xmlns:xlrd2="http://schemas.microsoft.com/office/spreadsheetml/2017/richdata2" ref="A6:S45">
    <sortCondition ref="B6:B45"/>
    <sortCondition ref="C6:C45"/>
    <sortCondition ref="D6:D4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F5D-6279-49CB-8753-F1F4BB85FBD9}">
  <sheetPr>
    <tabColor theme="9" tint="0.79998168889431442"/>
  </sheetPr>
  <dimension ref="A1:J3"/>
  <sheetViews>
    <sheetView workbookViewId="0">
      <selection activeCell="M18" sqref="M18"/>
    </sheetView>
  </sheetViews>
  <sheetFormatPr defaultRowHeight="14.4" x14ac:dyDescent="0.3"/>
  <sheetData>
    <row r="1" spans="1:10" x14ac:dyDescent="0.3">
      <c r="A1" t="s">
        <v>73</v>
      </c>
      <c r="B1" cm="1">
        <f t="array" ref="B1:I1">'TRN-Modes-computation'!J283:Q283</f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 t="s">
        <v>221</v>
      </c>
    </row>
    <row r="2" spans="1:10" x14ac:dyDescent="0.3">
      <c r="A2" t="str" cm="1">
        <f t="array" ref="A2:I2">'TRN-Modes-computation'!I285:Q285</f>
        <v>EU-12</v>
      </c>
      <c r="B2">
        <v>1</v>
      </c>
      <c r="C2">
        <v>1</v>
      </c>
      <c r="D2">
        <v>0.13131755632157877</v>
      </c>
      <c r="E2">
        <v>0.13131755632157877</v>
      </c>
      <c r="F2">
        <v>0.13131755632157877</v>
      </c>
      <c r="G2">
        <v>0.13131755632157877</v>
      </c>
      <c r="H2">
        <v>0.13131755632157877</v>
      </c>
      <c r="I2">
        <v>0.13131755632157877</v>
      </c>
      <c r="J2" t="s">
        <v>115</v>
      </c>
    </row>
    <row r="3" spans="1:10" x14ac:dyDescent="0.3">
      <c r="A3" t="str" cm="1">
        <f t="array" ref="A3:I3">'TRN-Modes-computation'!I289:Q289</f>
        <v>EU-15</v>
      </c>
      <c r="B3">
        <v>1</v>
      </c>
      <c r="C3">
        <v>1</v>
      </c>
      <c r="D3">
        <v>-1.5077826179735208</v>
      </c>
      <c r="E3">
        <v>-1.5077826179735208</v>
      </c>
      <c r="F3">
        <v>-1.5077826179735208</v>
      </c>
      <c r="G3">
        <v>-1.5077826179735208</v>
      </c>
      <c r="H3">
        <v>-1.5077826179735208</v>
      </c>
      <c r="I3">
        <v>-1.5077826179735208</v>
      </c>
      <c r="J3" t="s">
        <v>115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38F2-8746-42EB-9E35-785B9A764CF2}">
  <sheetPr>
    <tabColor theme="9" tint="0.79998168889431442"/>
  </sheetPr>
  <dimension ref="A1:K17"/>
  <sheetViews>
    <sheetView workbookViewId="0">
      <selection activeCell="N18" sqref="N18"/>
    </sheetView>
  </sheetViews>
  <sheetFormatPr defaultRowHeight="14.4" x14ac:dyDescent="0.3"/>
  <sheetData>
    <row r="1" spans="1:11" x14ac:dyDescent="0.3">
      <c r="A1" t="s">
        <v>73</v>
      </c>
      <c r="B1" t="s">
        <v>119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220</v>
      </c>
    </row>
    <row r="2" spans="1:11" x14ac:dyDescent="0.3">
      <c r="A2" t="s">
        <v>64</v>
      </c>
      <c r="B2" t="str" cm="1">
        <f t="array" ref="B2:J9">'TRN-Modes-computation'!N304:V311</f>
        <v>NMT - Cycling</v>
      </c>
      <c r="C2">
        <v>1.37751E-2</v>
      </c>
      <c r="D2">
        <v>1.37751E-2</v>
      </c>
      <c r="E2">
        <v>1.9456605100477455E-2</v>
      </c>
      <c r="F2">
        <v>2.5138110200954911E-2</v>
      </c>
      <c r="G2">
        <v>3.0819615301432367E-2</v>
      </c>
      <c r="H2">
        <v>3.6501120401909823E-2</v>
      </c>
      <c r="I2">
        <v>4.2182625502387272E-2</v>
      </c>
      <c r="J2">
        <v>4.7864130602864728E-2</v>
      </c>
      <c r="K2" t="s">
        <v>163</v>
      </c>
    </row>
    <row r="3" spans="1:11" x14ac:dyDescent="0.3">
      <c r="A3" t="s">
        <v>64</v>
      </c>
      <c r="B3" t="str">
        <v>NMT - Walking</v>
      </c>
      <c r="C3">
        <v>0.40357500000000002</v>
      </c>
      <c r="D3">
        <v>0.40357500000000002</v>
      </c>
      <c r="E3">
        <v>0.57002848643023929</v>
      </c>
      <c r="F3">
        <v>0.73648197286047856</v>
      </c>
      <c r="G3">
        <v>0.90293545929071795</v>
      </c>
      <c r="H3">
        <v>1.0693889457209571</v>
      </c>
      <c r="I3">
        <v>1.2358424321511965</v>
      </c>
      <c r="J3">
        <v>1.4022959185814359</v>
      </c>
      <c r="K3" t="s">
        <v>164</v>
      </c>
    </row>
    <row r="4" spans="1:11" x14ac:dyDescent="0.3">
      <c r="A4" t="s">
        <v>64</v>
      </c>
      <c r="B4" t="str">
        <v>road - 4W</v>
      </c>
      <c r="C4">
        <v>1</v>
      </c>
      <c r="D4">
        <v>1</v>
      </c>
      <c r="E4">
        <v>0.98016185353481411</v>
      </c>
      <c r="F4">
        <v>0.96032370706962822</v>
      </c>
      <c r="G4">
        <v>0.94048556060444233</v>
      </c>
      <c r="H4">
        <v>0.92064741413925644</v>
      </c>
      <c r="I4">
        <v>0.90080926767407055</v>
      </c>
      <c r="J4">
        <v>0.88097112120888466</v>
      </c>
      <c r="K4" t="s">
        <v>166</v>
      </c>
    </row>
    <row r="5" spans="1:11" x14ac:dyDescent="0.3">
      <c r="A5" t="s">
        <v>64</v>
      </c>
      <c r="B5" t="str">
        <v>road - 2-3W</v>
      </c>
      <c r="C5">
        <v>1.2729000000000001E-2</v>
      </c>
      <c r="D5">
        <v>1.2729000000000001E-2</v>
      </c>
      <c r="E5">
        <v>1.247648023364465E-2</v>
      </c>
      <c r="F5">
        <v>1.2223960467289298E-2</v>
      </c>
      <c r="G5">
        <v>1.1971440700933946E-2</v>
      </c>
      <c r="H5">
        <v>1.1718920934578596E-2</v>
      </c>
      <c r="I5">
        <v>1.1466401168223245E-2</v>
      </c>
      <c r="J5">
        <v>1.1213881401867893E-2</v>
      </c>
      <c r="K5" t="s">
        <v>133</v>
      </c>
    </row>
    <row r="6" spans="1:11" x14ac:dyDescent="0.3">
      <c r="A6" t="s">
        <v>64</v>
      </c>
      <c r="B6" t="str">
        <v>road - bus</v>
      </c>
      <c r="C6">
        <v>0.38813399999999998</v>
      </c>
      <c r="D6">
        <v>0.38813399999999998</v>
      </c>
      <c r="E6">
        <v>0.38043414085988153</v>
      </c>
      <c r="F6">
        <v>0.37273428171976308</v>
      </c>
      <c r="G6">
        <v>0.36503442257964458</v>
      </c>
      <c r="H6">
        <v>0.35733456343952613</v>
      </c>
      <c r="I6">
        <v>0.34963470429940768</v>
      </c>
      <c r="J6">
        <v>0.34193484515928924</v>
      </c>
      <c r="K6" t="s">
        <v>131</v>
      </c>
    </row>
    <row r="7" spans="1:11" x14ac:dyDescent="0.3">
      <c r="A7" t="s">
        <v>64</v>
      </c>
      <c r="B7" t="str">
        <v>trains - HSR</v>
      </c>
      <c r="C7">
        <v>0</v>
      </c>
      <c r="D7">
        <v>5.8823499999999997E-5</v>
      </c>
      <c r="E7">
        <v>7.2741665608610763E-5</v>
      </c>
      <c r="F7">
        <v>8.6659831217221516E-5</v>
      </c>
      <c r="G7">
        <v>1.0057799682583227E-4</v>
      </c>
      <c r="H7">
        <v>1.1449616243444304E-4</v>
      </c>
      <c r="I7">
        <v>1.284143280430538E-4</v>
      </c>
      <c r="J7">
        <v>1.4233249365166455E-4</v>
      </c>
      <c r="K7" t="s">
        <v>128</v>
      </c>
    </row>
    <row r="8" spans="1:11" x14ac:dyDescent="0.3">
      <c r="A8" t="s">
        <v>64</v>
      </c>
      <c r="B8" t="str">
        <v>trains - Pass Rail</v>
      </c>
      <c r="C8">
        <v>1.32408E-2</v>
      </c>
      <c r="D8">
        <v>1.32408E-2</v>
      </c>
      <c r="E8">
        <v>1.6373691568684172E-2</v>
      </c>
      <c r="F8">
        <v>1.9506583137368343E-2</v>
      </c>
      <c r="G8">
        <v>2.2639474706052515E-2</v>
      </c>
      <c r="H8">
        <v>2.577236627473669E-2</v>
      </c>
      <c r="I8">
        <v>2.8905257843420861E-2</v>
      </c>
      <c r="J8">
        <v>3.2038149412105033E-2</v>
      </c>
      <c r="K8" t="s">
        <v>129</v>
      </c>
    </row>
    <row r="9" spans="1:11" x14ac:dyDescent="0.3">
      <c r="A9" t="s">
        <v>64</v>
      </c>
      <c r="B9" t="str">
        <v>av - Dom Av</v>
      </c>
      <c r="C9">
        <v>1.4951299999999999E-3</v>
      </c>
      <c r="D9">
        <v>1.4951299999999999E-3</v>
      </c>
      <c r="E9">
        <v>1.2459416666666665E-3</v>
      </c>
      <c r="F9">
        <v>9.9675333333333312E-4</v>
      </c>
      <c r="G9">
        <v>7.4756499999999995E-4</v>
      </c>
      <c r="H9">
        <v>4.9837666666666656E-4</v>
      </c>
      <c r="I9">
        <v>2.4918833333333339E-4</v>
      </c>
      <c r="J9">
        <v>0</v>
      </c>
      <c r="K9" t="s">
        <v>127</v>
      </c>
    </row>
    <row r="10" spans="1:11" x14ac:dyDescent="0.3">
      <c r="A10" t="s">
        <v>65</v>
      </c>
      <c r="B10" cm="1">
        <f t="array" ref="B10:J17">'TRN-Modes-computation'!O320:W327</f>
        <v>2.39487E-2</v>
      </c>
      <c r="C10">
        <v>2.39487E-2</v>
      </c>
      <c r="D10">
        <v>4.4630741107186692E-2</v>
      </c>
      <c r="E10">
        <v>6.5312782214373394E-2</v>
      </c>
      <c r="F10">
        <v>8.5994823321560082E-2</v>
      </c>
      <c r="G10">
        <v>0.10667686442874678</v>
      </c>
      <c r="H10">
        <v>0.12735890553593349</v>
      </c>
      <c r="I10">
        <v>0.14804094664312017</v>
      </c>
      <c r="J10">
        <v>6.1815859166936065</v>
      </c>
      <c r="K10" t="s">
        <v>163</v>
      </c>
    </row>
    <row r="11" spans="1:11" x14ac:dyDescent="0.3">
      <c r="A11" t="s">
        <v>65</v>
      </c>
      <c r="B11">
        <v>0.701623</v>
      </c>
      <c r="C11">
        <v>0.701623</v>
      </c>
      <c r="D11">
        <v>1.307542975938053</v>
      </c>
      <c r="E11">
        <v>1.9134629518761059</v>
      </c>
      <c r="F11">
        <v>2.5193829278141591</v>
      </c>
      <c r="G11">
        <v>3.1253029037522122</v>
      </c>
      <c r="H11">
        <v>3.7312228796902653</v>
      </c>
      <c r="I11">
        <v>4.3371428556283185</v>
      </c>
      <c r="J11">
        <v>6.1815859166936065</v>
      </c>
      <c r="K11" t="s">
        <v>164</v>
      </c>
    </row>
    <row r="12" spans="1:11" x14ac:dyDescent="0.3">
      <c r="A12" t="s">
        <v>65</v>
      </c>
      <c r="B12">
        <v>1</v>
      </c>
      <c r="C12">
        <v>1</v>
      </c>
      <c r="D12">
        <v>0.9796064803172384</v>
      </c>
      <c r="E12">
        <v>0.9592129606344767</v>
      </c>
      <c r="F12">
        <v>0.93881944095171499</v>
      </c>
      <c r="G12">
        <v>0.91842592126895339</v>
      </c>
      <c r="H12">
        <v>0.8980324015861918</v>
      </c>
      <c r="I12">
        <v>0.87763888190343009</v>
      </c>
      <c r="J12">
        <v>0.87763888190343009</v>
      </c>
      <c r="K12" t="s">
        <v>166</v>
      </c>
    </row>
    <row r="13" spans="1:11" x14ac:dyDescent="0.3">
      <c r="A13" t="s">
        <v>65</v>
      </c>
      <c r="B13">
        <v>1.95251E-2</v>
      </c>
      <c r="C13">
        <v>1.95251E-2</v>
      </c>
      <c r="D13">
        <v>1.9126914488842111E-2</v>
      </c>
      <c r="E13">
        <v>1.8728728977684222E-2</v>
      </c>
      <c r="F13">
        <v>1.8330543466526329E-2</v>
      </c>
      <c r="G13">
        <v>1.793235795536844E-2</v>
      </c>
      <c r="H13">
        <v>1.7534172444210551E-2</v>
      </c>
      <c r="I13">
        <v>1.7135986933052662E-2</v>
      </c>
      <c r="J13">
        <v>0.87763888190342998</v>
      </c>
      <c r="K13" t="s">
        <v>133</v>
      </c>
    </row>
    <row r="14" spans="1:11" x14ac:dyDescent="0.3">
      <c r="A14" t="s">
        <v>65</v>
      </c>
      <c r="B14">
        <v>5.3004000000000003E-2</v>
      </c>
      <c r="C14">
        <v>5.3004000000000003E-2</v>
      </c>
      <c r="D14">
        <v>5.1923061882734906E-2</v>
      </c>
      <c r="E14">
        <v>5.0842123765469809E-2</v>
      </c>
      <c r="F14">
        <v>4.9761185648204712E-2</v>
      </c>
      <c r="G14">
        <v>4.8680247530939608E-2</v>
      </c>
      <c r="H14">
        <v>4.7599309413674511E-2</v>
      </c>
      <c r="I14">
        <v>4.6518371296409414E-2</v>
      </c>
      <c r="J14">
        <v>0.8776388819034302</v>
      </c>
      <c r="K14" t="s">
        <v>131</v>
      </c>
    </row>
    <row r="15" spans="1:11" x14ac:dyDescent="0.3">
      <c r="A15" t="s">
        <v>65</v>
      </c>
      <c r="B15">
        <v>2.4110999999999998E-3</v>
      </c>
      <c r="C15">
        <v>2.3281E-3</v>
      </c>
      <c r="D15">
        <v>2.8738656218528467E-3</v>
      </c>
      <c r="E15">
        <v>3.4196312437056939E-3</v>
      </c>
      <c r="F15">
        <v>3.9653968655585401E-3</v>
      </c>
      <c r="G15">
        <v>4.5111624874113873E-3</v>
      </c>
      <c r="H15">
        <v>5.0569281092642335E-3</v>
      </c>
      <c r="I15">
        <v>5.6026937311170807E-3</v>
      </c>
      <c r="J15">
        <v>2.4065520085550793</v>
      </c>
      <c r="K15" t="s">
        <v>128</v>
      </c>
    </row>
    <row r="16" spans="1:11" x14ac:dyDescent="0.3">
      <c r="A16" t="s">
        <v>65</v>
      </c>
      <c r="B16">
        <v>5.0994900000000003E-2</v>
      </c>
      <c r="C16">
        <v>5.0994900000000003E-2</v>
      </c>
      <c r="D16">
        <v>6.2949396503510904E-2</v>
      </c>
      <c r="E16">
        <v>7.4903893007021813E-2</v>
      </c>
      <c r="F16">
        <v>8.6858389510532708E-2</v>
      </c>
      <c r="G16">
        <v>9.8812886014043616E-2</v>
      </c>
      <c r="H16">
        <v>0.11076738251755452</v>
      </c>
      <c r="I16">
        <v>0.12272187902106543</v>
      </c>
      <c r="J16">
        <v>2.4065520085550793</v>
      </c>
      <c r="K16" t="s">
        <v>129</v>
      </c>
    </row>
    <row r="17" spans="1:11" x14ac:dyDescent="0.3">
      <c r="A17" t="s">
        <v>65</v>
      </c>
      <c r="B17">
        <v>8.0730999999999997E-3</v>
      </c>
      <c r="C17">
        <v>8.0730999999999997E-3</v>
      </c>
      <c r="D17">
        <v>6.8096597725994133E-3</v>
      </c>
      <c r="E17">
        <v>5.5462195451988269E-3</v>
      </c>
      <c r="F17">
        <v>4.2827793177982413E-3</v>
      </c>
      <c r="G17">
        <v>3.019339090397654E-3</v>
      </c>
      <c r="H17">
        <v>1.7558988629970676E-3</v>
      </c>
      <c r="I17">
        <v>4.92458635596482E-4</v>
      </c>
      <c r="J17">
        <v>6.0999942475193178E-2</v>
      </c>
      <c r="K17" t="s">
        <v>127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A7B6-82EA-4F2C-892E-EF325E6C62BA}">
  <dimension ref="A1:AC26"/>
  <sheetViews>
    <sheetView workbookViewId="0">
      <selection activeCell="A6" sqref="A6:XFD7"/>
    </sheetView>
  </sheetViews>
  <sheetFormatPr defaultRowHeight="14.4" x14ac:dyDescent="0.3"/>
  <cols>
    <col min="1" max="1" width="8.88671875" style="17" customWidth="1"/>
    <col min="2" max="16384" width="8.88671875" style="17"/>
  </cols>
  <sheetData>
    <row r="1" spans="1:29" s="14" customFormat="1" ht="17.399999999999999" x14ac:dyDescent="0.3">
      <c r="A1" s="41" t="s">
        <v>119</v>
      </c>
      <c r="B1" s="46" t="s">
        <v>71</v>
      </c>
      <c r="C1" s="47" t="s">
        <v>75</v>
      </c>
      <c r="D1" s="42" t="s">
        <v>76</v>
      </c>
      <c r="E1" s="42" t="s">
        <v>77</v>
      </c>
      <c r="F1" s="42" t="s">
        <v>78</v>
      </c>
      <c r="G1" s="42" t="s">
        <v>79</v>
      </c>
      <c r="H1" s="42" t="s">
        <v>80</v>
      </c>
      <c r="I1" s="42" t="s">
        <v>81</v>
      </c>
      <c r="J1" s="42" t="s">
        <v>82</v>
      </c>
      <c r="K1" s="42" t="s">
        <v>83</v>
      </c>
      <c r="L1" s="42" t="s">
        <v>84</v>
      </c>
      <c r="M1" s="42" t="s">
        <v>85</v>
      </c>
      <c r="N1" s="42" t="s">
        <v>86</v>
      </c>
      <c r="O1" s="42" t="s">
        <v>87</v>
      </c>
      <c r="P1" s="42" t="s">
        <v>88</v>
      </c>
      <c r="Q1" s="42" t="s">
        <v>89</v>
      </c>
      <c r="R1" s="42" t="s">
        <v>90</v>
      </c>
      <c r="S1" s="42" t="s">
        <v>91</v>
      </c>
      <c r="T1" s="42" t="s">
        <v>92</v>
      </c>
      <c r="U1" s="42" t="s">
        <v>93</v>
      </c>
      <c r="V1" s="42" t="s">
        <v>94</v>
      </c>
      <c r="W1" s="42" t="s">
        <v>95</v>
      </c>
      <c r="X1" s="42" t="s">
        <v>96</v>
      </c>
      <c r="Y1" s="42" t="s">
        <v>97</v>
      </c>
      <c r="Z1" s="42" t="s">
        <v>98</v>
      </c>
      <c r="AA1" s="42" t="s">
        <v>99</v>
      </c>
      <c r="AB1" s="42" t="s">
        <v>100</v>
      </c>
      <c r="AC1" s="42" t="s">
        <v>101</v>
      </c>
    </row>
    <row r="2" spans="1:29" ht="40.200000000000003" x14ac:dyDescent="0.3">
      <c r="A2" s="43" t="s">
        <v>147</v>
      </c>
      <c r="B2" s="7">
        <v>2050</v>
      </c>
      <c r="C2" s="7">
        <v>1250</v>
      </c>
      <c r="D2" s="7">
        <v>1257.652079</v>
      </c>
      <c r="E2" s="7">
        <v>1250</v>
      </c>
      <c r="F2" s="7">
        <v>1250</v>
      </c>
      <c r="G2" s="7">
        <v>8916.1862669999991</v>
      </c>
      <c r="H2" s="7">
        <v>1250</v>
      </c>
      <c r="I2" s="7">
        <v>1428.977893</v>
      </c>
      <c r="J2" s="7">
        <v>1250</v>
      </c>
      <c r="K2" s="7">
        <v>1278.4051139999999</v>
      </c>
      <c r="L2" s="7">
        <v>1256.1754699999999</v>
      </c>
      <c r="M2" s="7">
        <v>1807.9800499999999</v>
      </c>
      <c r="N2" s="7">
        <v>2323.201333</v>
      </c>
      <c r="O2" s="7">
        <v>1250</v>
      </c>
      <c r="P2" s="7">
        <v>1577.3057409999999</v>
      </c>
      <c r="Q2" s="7">
        <v>1300</v>
      </c>
      <c r="R2" s="7">
        <v>1250</v>
      </c>
      <c r="S2" s="7">
        <v>1250</v>
      </c>
      <c r="T2" s="7">
        <v>1996.47613</v>
      </c>
      <c r="U2" s="7">
        <v>7379.9109269999999</v>
      </c>
      <c r="V2" s="7">
        <v>1857.2008840000001</v>
      </c>
      <c r="W2" s="7">
        <v>1250</v>
      </c>
      <c r="X2" s="7">
        <v>1250</v>
      </c>
      <c r="Y2" s="7">
        <v>1250</v>
      </c>
      <c r="Z2" s="7">
        <v>1250</v>
      </c>
      <c r="AA2" s="7">
        <v>1250</v>
      </c>
      <c r="AB2" s="7">
        <v>1270.0434600000001</v>
      </c>
      <c r="AC2" s="7">
        <v>502.69696920000001</v>
      </c>
    </row>
    <row r="3" spans="1:29" x14ac:dyDescent="0.3">
      <c r="A3" s="43" t="s">
        <v>214</v>
      </c>
      <c r="B3" s="7">
        <v>2050</v>
      </c>
      <c r="C3" s="44">
        <v>13535</v>
      </c>
      <c r="D3" s="44">
        <v>10535.391250000001</v>
      </c>
      <c r="E3" s="44">
        <v>13535</v>
      </c>
      <c r="F3" s="44">
        <v>13535</v>
      </c>
      <c r="G3" s="45">
        <v>18126.940979999999</v>
      </c>
      <c r="H3" s="44">
        <v>13535</v>
      </c>
      <c r="I3" s="44">
        <v>13325.187099999999</v>
      </c>
      <c r="J3" s="44">
        <v>13535</v>
      </c>
      <c r="K3" s="44">
        <v>13642.855530000001</v>
      </c>
      <c r="L3" s="44">
        <v>13320.794970000001</v>
      </c>
      <c r="M3" s="44">
        <v>13861.028550000001</v>
      </c>
      <c r="N3" s="44">
        <v>13803.189479999999</v>
      </c>
      <c r="O3" s="44">
        <v>13535</v>
      </c>
      <c r="P3" s="44">
        <v>13862.30574</v>
      </c>
      <c r="Q3" s="44">
        <v>12881.147080000001</v>
      </c>
      <c r="R3" s="44">
        <v>13535</v>
      </c>
      <c r="S3" s="44">
        <v>13535</v>
      </c>
      <c r="T3" s="44">
        <v>14281.476129999999</v>
      </c>
      <c r="U3" s="44">
        <v>14443.666209999999</v>
      </c>
      <c r="V3" s="44">
        <v>14142.20088</v>
      </c>
      <c r="W3" s="44">
        <v>13535</v>
      </c>
      <c r="X3" s="44">
        <v>13614.450419999999</v>
      </c>
      <c r="Y3" s="44">
        <v>13535</v>
      </c>
      <c r="Z3" s="44">
        <v>13535</v>
      </c>
      <c r="AA3" s="44">
        <v>13535</v>
      </c>
      <c r="AB3" s="44">
        <v>11308.251899999999</v>
      </c>
      <c r="AC3" s="44">
        <v>11728.371209999999</v>
      </c>
    </row>
    <row r="4" spans="1:29" ht="40.200000000000003" x14ac:dyDescent="0.3">
      <c r="A4" s="43" t="s">
        <v>147</v>
      </c>
      <c r="B4" s="7">
        <v>2020</v>
      </c>
      <c r="C4" s="7">
        <v>2528.6784029999999</v>
      </c>
      <c r="D4" s="7">
        <v>2538.392621</v>
      </c>
      <c r="E4" s="7">
        <v>819.42736590000004</v>
      </c>
      <c r="F4" s="7">
        <v>926.23752300000001</v>
      </c>
      <c r="G4" s="7">
        <v>8916.1862669999991</v>
      </c>
      <c r="H4" s="7">
        <v>888.5227261</v>
      </c>
      <c r="I4" s="7">
        <v>3313.2847080000001</v>
      </c>
      <c r="J4" s="7">
        <v>1211.5710549999999</v>
      </c>
      <c r="K4" s="7">
        <v>3733.7435099999998</v>
      </c>
      <c r="L4" s="7">
        <v>2821.1765850000002</v>
      </c>
      <c r="M4" s="7">
        <v>2099.202303</v>
      </c>
      <c r="N4" s="7">
        <v>2452.930116</v>
      </c>
      <c r="O4" s="7">
        <v>576.37105780000002</v>
      </c>
      <c r="P4" s="7">
        <v>5441.7470899999998</v>
      </c>
      <c r="Q4" s="7">
        <v>2220.1221780000001</v>
      </c>
      <c r="R4" s="7">
        <v>1814.328076</v>
      </c>
      <c r="S4" s="7">
        <v>941.49967949999996</v>
      </c>
      <c r="T4" s="7">
        <v>7837.0064540000003</v>
      </c>
      <c r="U4" s="7">
        <v>7379.9109269999999</v>
      </c>
      <c r="V4" s="7">
        <v>7041.1479060000001</v>
      </c>
      <c r="W4" s="7">
        <v>551.50016549999998</v>
      </c>
      <c r="X4" s="7">
        <v>3278.2046070000001</v>
      </c>
      <c r="Y4" s="7">
        <v>400.06381329999999</v>
      </c>
      <c r="Z4" s="7">
        <v>256.5663887</v>
      </c>
      <c r="AA4" s="7">
        <v>399.99027790000002</v>
      </c>
      <c r="AB4" s="7">
        <v>2582.3807360000001</v>
      </c>
      <c r="AC4" s="7">
        <v>910.1762602</v>
      </c>
    </row>
    <row r="5" spans="1:29" x14ac:dyDescent="0.3">
      <c r="A5" s="43" t="s">
        <v>214</v>
      </c>
      <c r="B5" s="7">
        <v>2020</v>
      </c>
      <c r="C5" s="7">
        <v>15864.75547</v>
      </c>
      <c r="D5" s="44">
        <v>14853.992620000001</v>
      </c>
      <c r="E5" s="44">
        <v>12980.74654</v>
      </c>
      <c r="F5" s="7">
        <v>8794.6974360000004</v>
      </c>
      <c r="G5" s="45">
        <v>18180.536349999998</v>
      </c>
      <c r="H5" s="44">
        <v>11824.792289999999</v>
      </c>
      <c r="I5" s="7">
        <v>16627.879209999999</v>
      </c>
      <c r="J5" s="7">
        <v>16234.740949999999</v>
      </c>
      <c r="K5" s="7">
        <v>18713.489010000001</v>
      </c>
      <c r="L5" s="7">
        <v>18197.007740000001</v>
      </c>
      <c r="M5" s="7">
        <v>15453.744919999999</v>
      </c>
      <c r="N5" s="7">
        <v>16019.85852</v>
      </c>
      <c r="O5" s="7">
        <v>9612.3714</v>
      </c>
      <c r="P5" s="7">
        <v>18912.29163</v>
      </c>
      <c r="Q5" s="7">
        <v>18512.977149999999</v>
      </c>
      <c r="R5" s="44">
        <v>11355.069799999999</v>
      </c>
      <c r="S5" s="44">
        <v>13752.79809</v>
      </c>
      <c r="T5" s="7">
        <v>23699.291720000001</v>
      </c>
      <c r="U5" s="44">
        <v>14471.42772</v>
      </c>
      <c r="V5" s="7">
        <v>16346.825210000001</v>
      </c>
      <c r="W5" s="7">
        <v>7713.9637860000003</v>
      </c>
      <c r="X5" s="44">
        <v>13232.090490000001</v>
      </c>
      <c r="Y5" s="7">
        <v>7783.0048489999999</v>
      </c>
      <c r="Z5" s="7">
        <v>7482.3175869999995</v>
      </c>
      <c r="AA5" s="7">
        <v>15309.81417</v>
      </c>
      <c r="AB5" s="44">
        <v>11925.17146</v>
      </c>
      <c r="AC5" s="44">
        <v>13604.446809999999</v>
      </c>
    </row>
    <row r="6" spans="1:29" ht="40.200000000000003" x14ac:dyDescent="0.3">
      <c r="A6" s="43" t="s">
        <v>147</v>
      </c>
      <c r="B6" s="7">
        <v>2015</v>
      </c>
      <c r="C6" s="7">
        <v>2609.185403</v>
      </c>
      <c r="D6" s="7">
        <v>2605.9440810000001</v>
      </c>
      <c r="E6" s="7">
        <v>793.34881180000002</v>
      </c>
      <c r="F6" s="7">
        <v>896.53546270000004</v>
      </c>
      <c r="G6" s="7">
        <v>9326.427533</v>
      </c>
      <c r="H6" s="7">
        <v>901.24182889999997</v>
      </c>
      <c r="I6" s="7">
        <v>3410.242389</v>
      </c>
      <c r="J6" s="7">
        <v>1226.9270630000001</v>
      </c>
      <c r="K6" s="7">
        <v>3760.879844</v>
      </c>
      <c r="L6" s="7">
        <v>2862.8982080000001</v>
      </c>
      <c r="M6" s="7">
        <v>2129.5833200000002</v>
      </c>
      <c r="N6" s="7">
        <v>2445.4750880000001</v>
      </c>
      <c r="O6" s="7">
        <v>571.45734249999998</v>
      </c>
      <c r="P6" s="7">
        <v>5830.8882389999999</v>
      </c>
      <c r="Q6" s="7">
        <v>2168.6310060000001</v>
      </c>
      <c r="R6" s="7">
        <v>1742.15858</v>
      </c>
      <c r="S6" s="7">
        <v>900.35264649999999</v>
      </c>
      <c r="T6" s="7">
        <v>8714.4031749999995</v>
      </c>
      <c r="U6" s="7">
        <v>8508.8237520000002</v>
      </c>
      <c r="V6" s="7">
        <v>7234.3730130000004</v>
      </c>
      <c r="W6" s="7">
        <v>544.38239680000004</v>
      </c>
      <c r="X6" s="7">
        <v>3262.3948519999999</v>
      </c>
      <c r="Y6" s="7">
        <v>389.1423825</v>
      </c>
      <c r="Z6" s="7">
        <v>258.06431839999999</v>
      </c>
      <c r="AA6" s="7">
        <v>406.24040170000001</v>
      </c>
      <c r="AB6" s="7">
        <v>2620.964371</v>
      </c>
      <c r="AC6" s="7">
        <v>962.33718810000005</v>
      </c>
    </row>
    <row r="7" spans="1:29" x14ac:dyDescent="0.3">
      <c r="A7" s="43" t="s">
        <v>214</v>
      </c>
      <c r="B7" s="7">
        <v>2015</v>
      </c>
      <c r="C7" s="7">
        <v>15480.32524</v>
      </c>
      <c r="D7" s="44">
        <v>13667.614250000001</v>
      </c>
      <c r="E7" s="44">
        <v>10997.153780000001</v>
      </c>
      <c r="F7" s="7">
        <v>8448.5613599999997</v>
      </c>
      <c r="G7" s="45">
        <v>18458.214390000001</v>
      </c>
      <c r="H7" s="44">
        <v>11201.830190000001</v>
      </c>
      <c r="I7" s="7">
        <v>16073.60088</v>
      </c>
      <c r="J7" s="44">
        <v>13710.261060000001</v>
      </c>
      <c r="K7" s="7">
        <v>18505.927650000001</v>
      </c>
      <c r="L7" s="7">
        <v>17292.132880000001</v>
      </c>
      <c r="M7" s="7">
        <v>15609.103419999999</v>
      </c>
      <c r="N7" s="7">
        <v>15520.3462</v>
      </c>
      <c r="O7" s="7">
        <v>9130.6438760000001</v>
      </c>
      <c r="P7" s="7">
        <v>19379.80762</v>
      </c>
      <c r="Q7" s="7">
        <v>17046.497220000001</v>
      </c>
      <c r="R7" s="44">
        <v>10329.96926</v>
      </c>
      <c r="S7" s="44">
        <v>10770.98069</v>
      </c>
      <c r="T7" s="7">
        <v>24595.769469999999</v>
      </c>
      <c r="U7" s="7">
        <v>15768.719080000001</v>
      </c>
      <c r="V7" s="7">
        <v>17039.151430000002</v>
      </c>
      <c r="W7" s="7">
        <v>7408.3476300000002</v>
      </c>
      <c r="X7" s="44">
        <v>12979.755730000001</v>
      </c>
      <c r="Y7" s="7">
        <v>6667.4545120000002</v>
      </c>
      <c r="Z7" s="7">
        <v>7145.0948360000002</v>
      </c>
      <c r="AA7" s="7">
        <v>15226.404759999999</v>
      </c>
      <c r="AB7" s="44">
        <v>11187.080550000001</v>
      </c>
      <c r="AC7" s="44">
        <v>14728.1376</v>
      </c>
    </row>
    <row r="8" spans="1:29" x14ac:dyDescent="0.3"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26" spans="3:13" x14ac:dyDescent="0.3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B5C2-CBD7-471C-8ED5-713965EF92D6}">
  <dimension ref="A1:AC397"/>
  <sheetViews>
    <sheetView topLeftCell="A59" workbookViewId="0">
      <selection activeCell="A30" sqref="A1:XFD1048576"/>
    </sheetView>
  </sheetViews>
  <sheetFormatPr defaultRowHeight="14.4" x14ac:dyDescent="0.3"/>
  <cols>
    <col min="1" max="1" width="17" customWidth="1"/>
    <col min="2" max="2" width="11.33203125" customWidth="1"/>
    <col min="3" max="3" width="10.77734375" customWidth="1"/>
    <col min="4" max="4" width="12.44140625" customWidth="1"/>
    <col min="5" max="18" width="10.77734375" customWidth="1"/>
  </cols>
  <sheetData>
    <row r="1" spans="1:29" s="2" customFormat="1" x14ac:dyDescent="0.3">
      <c r="A1" s="2" t="s">
        <v>140</v>
      </c>
    </row>
    <row r="2" spans="1:29" s="2" customFormat="1" x14ac:dyDescent="0.3"/>
    <row r="3" spans="1:29" s="5" customFormat="1" x14ac:dyDescent="0.3">
      <c r="A3" s="5" t="s">
        <v>141</v>
      </c>
    </row>
    <row r="4" spans="1:29" s="14" customFormat="1" ht="17.399999999999999" x14ac:dyDescent="0.3">
      <c r="A4" s="26" t="s">
        <v>182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113</v>
      </c>
      <c r="D5" s="19" t="s">
        <v>119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183</v>
      </c>
      <c r="B6" s="27" t="s">
        <v>64</v>
      </c>
      <c r="C6" s="19" t="s">
        <v>115</v>
      </c>
      <c r="D6" s="19" t="s">
        <v>120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51256.800000000003</v>
      </c>
      <c r="J6" s="20">
        <v>64214.1</v>
      </c>
      <c r="K6" s="20">
        <v>74527.600000000006</v>
      </c>
      <c r="L6" s="20">
        <v>80476.645538500001</v>
      </c>
      <c r="M6" s="20">
        <v>84871.662714000006</v>
      </c>
      <c r="N6" s="20">
        <v>87862.979579999999</v>
      </c>
      <c r="O6" s="20">
        <v>90269.441420000003</v>
      </c>
      <c r="P6" s="20">
        <v>0</v>
      </c>
      <c r="Q6" s="20">
        <v>0</v>
      </c>
      <c r="R6" s="20">
        <v>0</v>
      </c>
      <c r="S6" s="20" t="s">
        <v>184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183</v>
      </c>
      <c r="B7" s="27" t="s">
        <v>64</v>
      </c>
      <c r="C7" s="19" t="s">
        <v>116</v>
      </c>
      <c r="D7" s="19" t="s">
        <v>121</v>
      </c>
      <c r="E7" s="20">
        <v>70700.7</v>
      </c>
      <c r="F7" s="20">
        <v>13111.1</v>
      </c>
      <c r="G7" s="20">
        <v>17363.7</v>
      </c>
      <c r="H7" s="20">
        <v>15470.5</v>
      </c>
      <c r="I7" s="21">
        <v>18039.82</v>
      </c>
      <c r="J7" s="21">
        <v>21663.79</v>
      </c>
      <c r="K7" s="21">
        <v>26479.9</v>
      </c>
      <c r="L7" s="21">
        <v>32708.9833</v>
      </c>
      <c r="M7" s="21">
        <v>36356.352500000001</v>
      </c>
      <c r="N7" s="21">
        <v>38252.451999999997</v>
      </c>
      <c r="O7" s="21">
        <v>39725.383999999998</v>
      </c>
      <c r="P7" s="21">
        <v>0</v>
      </c>
      <c r="Q7" s="21">
        <v>0</v>
      </c>
      <c r="R7" s="21">
        <v>0</v>
      </c>
      <c r="S7" s="21" t="s">
        <v>185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183</v>
      </c>
      <c r="B8" s="28" t="s">
        <v>64</v>
      </c>
      <c r="C8" s="17" t="s">
        <v>116</v>
      </c>
      <c r="D8" s="17" t="s">
        <v>122</v>
      </c>
      <c r="E8" s="17">
        <v>262042.36</v>
      </c>
      <c r="F8" s="17">
        <v>198205.21400000001</v>
      </c>
      <c r="G8" s="17">
        <v>175160.2</v>
      </c>
      <c r="H8" s="17">
        <v>164781.043799999</v>
      </c>
      <c r="I8" s="17">
        <v>183274.3</v>
      </c>
      <c r="J8" s="17">
        <v>203259.25</v>
      </c>
      <c r="K8" s="17">
        <v>200243.09999999899</v>
      </c>
      <c r="L8" s="17">
        <v>178406.399999999</v>
      </c>
      <c r="M8" s="17">
        <v>171659.4</v>
      </c>
      <c r="N8" s="17">
        <v>175512.3</v>
      </c>
      <c r="O8" s="17">
        <v>181836.79999999999</v>
      </c>
      <c r="P8" s="17">
        <v>0</v>
      </c>
      <c r="Q8" s="17">
        <v>0</v>
      </c>
      <c r="R8" s="17">
        <v>0</v>
      </c>
      <c r="S8" s="17" t="s">
        <v>185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183</v>
      </c>
      <c r="B9" s="28" t="s">
        <v>64</v>
      </c>
      <c r="C9" s="17" t="s">
        <v>116</v>
      </c>
      <c r="D9" s="17" t="s">
        <v>162</v>
      </c>
      <c r="E9" s="17">
        <v>263310</v>
      </c>
      <c r="F9" s="17">
        <v>397360</v>
      </c>
      <c r="G9" s="17">
        <v>479298</v>
      </c>
      <c r="H9" s="17">
        <v>494165</v>
      </c>
      <c r="I9" s="17">
        <v>545552</v>
      </c>
      <c r="J9" s="17">
        <v>614375</v>
      </c>
      <c r="K9" s="17">
        <v>688784</v>
      </c>
      <c r="L9" s="17">
        <v>758104</v>
      </c>
      <c r="M9" s="17">
        <v>809231</v>
      </c>
      <c r="N9" s="17">
        <v>841914</v>
      </c>
      <c r="O9" s="17">
        <v>866222</v>
      </c>
      <c r="P9" s="17">
        <v>0</v>
      </c>
      <c r="Q9" s="17">
        <v>0</v>
      </c>
      <c r="R9" s="17">
        <v>0</v>
      </c>
      <c r="S9" s="17" t="s">
        <v>185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183</v>
      </c>
      <c r="B10" s="28" t="s">
        <v>64</v>
      </c>
      <c r="C10" s="17" t="s">
        <v>123</v>
      </c>
      <c r="D10" s="17" t="s">
        <v>124</v>
      </c>
      <c r="E10" s="17">
        <v>233530</v>
      </c>
      <c r="F10" s="17">
        <v>354422</v>
      </c>
      <c r="G10" s="17">
        <v>427651</v>
      </c>
      <c r="H10" s="17">
        <v>440708</v>
      </c>
      <c r="I10" s="17">
        <v>486585.21</v>
      </c>
      <c r="J10" s="17">
        <v>547583.21304459998</v>
      </c>
      <c r="K10" s="17">
        <v>613347.85728717002</v>
      </c>
      <c r="L10" s="17">
        <v>674826.57943628996</v>
      </c>
      <c r="M10" s="17">
        <v>720337.52413339994</v>
      </c>
      <c r="N10" s="17">
        <v>749169.94235399901</v>
      </c>
      <c r="O10" s="17">
        <v>770004.83274999994</v>
      </c>
      <c r="P10" s="17">
        <v>0</v>
      </c>
      <c r="Q10" s="17">
        <v>0</v>
      </c>
      <c r="R10" s="17">
        <v>0</v>
      </c>
      <c r="S10" s="17" t="s">
        <v>185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183</v>
      </c>
      <c r="B11" s="27" t="s">
        <v>64</v>
      </c>
      <c r="C11" s="19" t="s">
        <v>123</v>
      </c>
      <c r="D11" s="19" t="s">
        <v>125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12126.703</v>
      </c>
      <c r="J11" s="20">
        <v>13721.919099999999</v>
      </c>
      <c r="K11" s="20">
        <v>15470.392249999901</v>
      </c>
      <c r="L11" s="20">
        <v>17081.813999999998</v>
      </c>
      <c r="M11" s="20">
        <v>18235.023450000001</v>
      </c>
      <c r="N11" s="20">
        <v>18968.250400000001</v>
      </c>
      <c r="O11" s="20">
        <v>19542.9189999999</v>
      </c>
      <c r="P11" s="20">
        <v>0</v>
      </c>
      <c r="Q11" s="20">
        <v>0</v>
      </c>
      <c r="R11" s="20">
        <v>0</v>
      </c>
      <c r="S11" s="20" t="s">
        <v>185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183</v>
      </c>
      <c r="B12" s="27" t="s">
        <v>64</v>
      </c>
      <c r="C12" s="19" t="s">
        <v>123</v>
      </c>
      <c r="D12" s="19" t="s">
        <v>126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46839.48</v>
      </c>
      <c r="J12" s="20">
        <v>53072.465399999899</v>
      </c>
      <c r="K12" s="20">
        <v>59976.177100000001</v>
      </c>
      <c r="L12" s="20">
        <v>66215.461500000005</v>
      </c>
      <c r="M12" s="20">
        <v>70689.365900000004</v>
      </c>
      <c r="N12" s="20">
        <v>73812.971999999994</v>
      </c>
      <c r="O12" s="20">
        <v>76719.62</v>
      </c>
      <c r="P12" s="20">
        <v>0</v>
      </c>
      <c r="Q12" s="20">
        <v>0</v>
      </c>
      <c r="R12" s="20">
        <v>0</v>
      </c>
      <c r="S12" s="20" t="s">
        <v>185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30" customFormat="1" x14ac:dyDescent="0.3">
      <c r="A13" s="30" t="s">
        <v>183</v>
      </c>
      <c r="B13" s="31" t="s">
        <v>64</v>
      </c>
      <c r="C13" s="32" t="s">
        <v>117</v>
      </c>
      <c r="D13" s="32" t="s">
        <v>163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14467.3</v>
      </c>
      <c r="J13" s="33">
        <v>12908.4</v>
      </c>
      <c r="K13" s="33">
        <v>11555.2</v>
      </c>
      <c r="L13" s="33">
        <v>10533.8</v>
      </c>
      <c r="M13" s="33">
        <v>9884.5300000000007</v>
      </c>
      <c r="N13" s="33">
        <v>9341.42</v>
      </c>
      <c r="O13" s="33">
        <v>8867.4699999999993</v>
      </c>
      <c r="P13" s="33">
        <v>0</v>
      </c>
      <c r="Q13" s="33">
        <v>0</v>
      </c>
      <c r="R13" s="33">
        <v>0</v>
      </c>
      <c r="S13" s="33" t="s">
        <v>184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s="30" customFormat="1" x14ac:dyDescent="0.3">
      <c r="A14" s="30" t="s">
        <v>183</v>
      </c>
      <c r="B14" s="31" t="s">
        <v>64</v>
      </c>
      <c r="C14" s="32" t="s">
        <v>117</v>
      </c>
      <c r="D14" s="32" t="s">
        <v>127</v>
      </c>
      <c r="E14" s="34">
        <v>5331.03</v>
      </c>
      <c r="F14" s="34">
        <v>5193.26</v>
      </c>
      <c r="G14" s="34">
        <v>5821.69</v>
      </c>
      <c r="H14" s="34">
        <v>6241.59</v>
      </c>
      <c r="I14" s="34">
        <v>7592.54</v>
      </c>
      <c r="J14" s="34">
        <v>10863.3</v>
      </c>
      <c r="K14" s="34">
        <v>13870.3</v>
      </c>
      <c r="L14" s="34">
        <v>15597.6482</v>
      </c>
      <c r="M14" s="34">
        <v>17104.3207</v>
      </c>
      <c r="N14" s="34">
        <v>18098.761999999999</v>
      </c>
      <c r="O14" s="34">
        <v>18826.929</v>
      </c>
      <c r="P14" s="34">
        <v>0</v>
      </c>
      <c r="Q14" s="34">
        <v>0</v>
      </c>
      <c r="R14" s="34">
        <v>0</v>
      </c>
      <c r="S14" s="34" t="s">
        <v>184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s="30" customFormat="1" x14ac:dyDescent="0.3">
      <c r="A15" s="30" t="s">
        <v>183</v>
      </c>
      <c r="B15" s="31" t="s">
        <v>64</v>
      </c>
      <c r="C15" s="32" t="s">
        <v>117</v>
      </c>
      <c r="D15" s="32" t="s">
        <v>128</v>
      </c>
      <c r="E15" s="34">
        <v>0</v>
      </c>
      <c r="F15" s="34">
        <v>0</v>
      </c>
      <c r="G15" s="34">
        <v>0</v>
      </c>
      <c r="H15" s="34">
        <v>0</v>
      </c>
      <c r="I15" s="34">
        <v>332.38499999999999</v>
      </c>
      <c r="J15" s="34">
        <v>872.17499999999995</v>
      </c>
      <c r="K15" s="34">
        <v>1538.51</v>
      </c>
      <c r="L15" s="34">
        <v>2331.1</v>
      </c>
      <c r="M15" s="34">
        <v>3182.59</v>
      </c>
      <c r="N15" s="34">
        <v>4189.79</v>
      </c>
      <c r="O15" s="34">
        <v>5365.01</v>
      </c>
      <c r="P15" s="34">
        <v>0</v>
      </c>
      <c r="Q15" s="34">
        <v>0</v>
      </c>
      <c r="R15" s="34">
        <v>0</v>
      </c>
      <c r="S15" s="34" t="s">
        <v>184</v>
      </c>
      <c r="T15" s="33"/>
      <c r="U15" s="33"/>
      <c r="V15" s="33"/>
      <c r="W15" s="33"/>
      <c r="X15" s="33"/>
      <c r="Y15" s="34"/>
      <c r="Z15" s="34"/>
      <c r="AA15" s="34"/>
      <c r="AB15" s="34"/>
      <c r="AC15" s="34"/>
    </row>
    <row r="16" spans="1:29" s="30" customFormat="1" x14ac:dyDescent="0.3">
      <c r="A16" s="30" t="s">
        <v>183</v>
      </c>
      <c r="B16" s="31" t="s">
        <v>64</v>
      </c>
      <c r="C16" s="32" t="s">
        <v>117</v>
      </c>
      <c r="D16" s="32" t="s">
        <v>129</v>
      </c>
      <c r="E16" s="34">
        <v>88848.87</v>
      </c>
      <c r="F16" s="34">
        <v>70151.399999999994</v>
      </c>
      <c r="G16" s="34">
        <v>61930.3</v>
      </c>
      <c r="H16" s="34">
        <v>57839.1</v>
      </c>
      <c r="I16" s="34">
        <v>61252.1</v>
      </c>
      <c r="J16" s="34">
        <v>65091.5</v>
      </c>
      <c r="K16" s="34">
        <v>65146.9</v>
      </c>
      <c r="L16" s="34">
        <v>64534</v>
      </c>
      <c r="M16" s="34">
        <v>63134.1</v>
      </c>
      <c r="N16" s="34">
        <v>62053.8999999999</v>
      </c>
      <c r="O16" s="34">
        <v>61115.7</v>
      </c>
      <c r="P16" s="34">
        <v>0</v>
      </c>
      <c r="Q16" s="34">
        <v>0</v>
      </c>
      <c r="R16" s="34">
        <v>0</v>
      </c>
      <c r="S16" s="34" t="s">
        <v>184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s="17" customFormat="1" x14ac:dyDescent="0.3">
      <c r="A17" s="17" t="s">
        <v>183</v>
      </c>
      <c r="B17" s="28" t="s">
        <v>64</v>
      </c>
      <c r="C17" s="17" t="s">
        <v>117</v>
      </c>
      <c r="D17" s="17" t="s">
        <v>162</v>
      </c>
      <c r="E17" s="17">
        <v>583892</v>
      </c>
      <c r="F17" s="17">
        <v>863587</v>
      </c>
      <c r="G17" s="17">
        <v>1063160</v>
      </c>
      <c r="H17" s="17">
        <v>1126550</v>
      </c>
      <c r="I17" s="17">
        <v>1216640</v>
      </c>
      <c r="J17" s="17">
        <v>1332020</v>
      </c>
      <c r="K17" s="17">
        <v>1387010</v>
      </c>
      <c r="L17" s="17">
        <v>1421940</v>
      </c>
      <c r="M17" s="17">
        <v>1398090</v>
      </c>
      <c r="N17" s="17">
        <v>1382210</v>
      </c>
      <c r="O17" s="17">
        <v>1372190</v>
      </c>
      <c r="P17" s="17">
        <v>0</v>
      </c>
      <c r="Q17" s="17">
        <v>0</v>
      </c>
      <c r="R17" s="17">
        <v>0</v>
      </c>
      <c r="S17" s="17" t="s">
        <v>184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s="30" customFormat="1" x14ac:dyDescent="0.3">
      <c r="A18" s="30" t="s">
        <v>183</v>
      </c>
      <c r="B18" s="31" t="s">
        <v>64</v>
      </c>
      <c r="C18" s="32" t="s">
        <v>117</v>
      </c>
      <c r="D18" s="32" t="s">
        <v>164</v>
      </c>
      <c r="E18" s="34">
        <v>51798.400000000001</v>
      </c>
      <c r="F18" s="34">
        <v>49595.6</v>
      </c>
      <c r="G18" s="34">
        <v>48833.7</v>
      </c>
      <c r="H18" s="34">
        <v>48072.800000000003</v>
      </c>
      <c r="I18" s="34">
        <v>43402.9</v>
      </c>
      <c r="J18" s="34">
        <v>38725.9</v>
      </c>
      <c r="K18" s="34">
        <v>34666.400000000001</v>
      </c>
      <c r="L18" s="34">
        <v>31602.1</v>
      </c>
      <c r="M18" s="34">
        <v>29654.2</v>
      </c>
      <c r="N18" s="34">
        <v>28024.799999999999</v>
      </c>
      <c r="O18" s="34">
        <v>26602.9</v>
      </c>
      <c r="P18" s="34">
        <v>0</v>
      </c>
      <c r="Q18" s="34">
        <v>0</v>
      </c>
      <c r="R18" s="34">
        <v>0</v>
      </c>
      <c r="S18" s="34" t="s">
        <v>184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s="30" customFormat="1" x14ac:dyDescent="0.3">
      <c r="A19" s="30" t="s">
        <v>183</v>
      </c>
      <c r="B19" s="35" t="s">
        <v>64</v>
      </c>
      <c r="C19" s="30" t="s">
        <v>130</v>
      </c>
      <c r="D19" s="30" t="s">
        <v>131</v>
      </c>
      <c r="E19" s="30">
        <v>130827.109</v>
      </c>
      <c r="F19" s="30">
        <v>193847.13</v>
      </c>
      <c r="G19" s="30">
        <v>234020.79</v>
      </c>
      <c r="H19" s="30">
        <v>244407.8</v>
      </c>
      <c r="I19" s="30">
        <v>262509.03000000003</v>
      </c>
      <c r="J19" s="30">
        <v>289702.09999999998</v>
      </c>
      <c r="K19" s="30">
        <v>295108.57</v>
      </c>
      <c r="L19" s="30">
        <v>301370.46000000002</v>
      </c>
      <c r="M19" s="30">
        <v>308050.61</v>
      </c>
      <c r="N19" s="30">
        <v>317425.73</v>
      </c>
      <c r="O19" s="30">
        <v>330794.84999999998</v>
      </c>
      <c r="P19" s="30">
        <v>0</v>
      </c>
      <c r="Q19" s="30">
        <v>0</v>
      </c>
      <c r="R19" s="30">
        <v>0</v>
      </c>
      <c r="S19" s="30" t="s">
        <v>184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s="17" customFormat="1" x14ac:dyDescent="0.3">
      <c r="A20" s="17" t="s">
        <v>183</v>
      </c>
      <c r="B20" s="28" t="s">
        <v>64</v>
      </c>
      <c r="C20" s="17" t="s">
        <v>130</v>
      </c>
      <c r="D20" s="17" t="s">
        <v>165</v>
      </c>
      <c r="E20" s="17">
        <v>453065</v>
      </c>
      <c r="F20" s="17">
        <v>669740</v>
      </c>
      <c r="G20" s="17">
        <v>829140</v>
      </c>
      <c r="H20" s="17">
        <v>882142</v>
      </c>
      <c r="I20" s="17">
        <v>954132</v>
      </c>
      <c r="J20" s="17">
        <v>1042310</v>
      </c>
      <c r="K20" s="17">
        <v>1091900</v>
      </c>
      <c r="L20" s="17">
        <v>1120570</v>
      </c>
      <c r="M20" s="17">
        <v>1090040</v>
      </c>
      <c r="N20" s="17">
        <v>1064780</v>
      </c>
      <c r="O20" s="17">
        <v>1041400</v>
      </c>
      <c r="P20" s="17">
        <v>0</v>
      </c>
      <c r="Q20" s="17">
        <v>0</v>
      </c>
      <c r="R20" s="17">
        <v>0</v>
      </c>
      <c r="S20" s="17" t="s">
        <v>184</v>
      </c>
    </row>
    <row r="21" spans="1:29" s="30" customFormat="1" x14ac:dyDescent="0.3">
      <c r="A21" s="30" t="s">
        <v>183</v>
      </c>
      <c r="B21" s="31" t="s">
        <v>64</v>
      </c>
      <c r="C21" s="32" t="s">
        <v>132</v>
      </c>
      <c r="D21" s="32" t="s">
        <v>133</v>
      </c>
      <c r="E21" s="34">
        <v>22360.7</v>
      </c>
      <c r="F21" s="34">
        <v>31155.7</v>
      </c>
      <c r="G21" s="34">
        <v>38297.300000000003</v>
      </c>
      <c r="H21" s="34">
        <v>40976.699999999997</v>
      </c>
      <c r="I21" s="34">
        <v>41033</v>
      </c>
      <c r="J21" s="34">
        <v>42091.4</v>
      </c>
      <c r="K21" s="34">
        <v>39974.699999999997</v>
      </c>
      <c r="L21" s="34">
        <v>37613.300000000003</v>
      </c>
      <c r="M21" s="34">
        <v>35369.4</v>
      </c>
      <c r="N21" s="34">
        <v>33551</v>
      </c>
      <c r="O21" s="34">
        <v>31908.5</v>
      </c>
      <c r="P21" s="34">
        <v>0</v>
      </c>
      <c r="Q21" s="34">
        <v>0</v>
      </c>
      <c r="R21" s="34">
        <v>0</v>
      </c>
      <c r="S21" s="34" t="s">
        <v>184</v>
      </c>
    </row>
    <row r="22" spans="1:29" s="30" customFormat="1" x14ac:dyDescent="0.3">
      <c r="A22" s="30" t="s">
        <v>183</v>
      </c>
      <c r="B22" s="35" t="s">
        <v>64</v>
      </c>
      <c r="C22" s="30" t="s">
        <v>132</v>
      </c>
      <c r="D22" s="30" t="s">
        <v>166</v>
      </c>
      <c r="E22" s="30">
        <v>430704</v>
      </c>
      <c r="F22" s="30">
        <v>638584</v>
      </c>
      <c r="G22" s="30">
        <v>790843</v>
      </c>
      <c r="H22" s="30">
        <v>841165</v>
      </c>
      <c r="I22" s="30">
        <v>913099</v>
      </c>
      <c r="J22" s="30">
        <v>1000220</v>
      </c>
      <c r="K22" s="30">
        <v>1051920</v>
      </c>
      <c r="L22" s="30">
        <v>1082960</v>
      </c>
      <c r="M22" s="30">
        <v>1054670</v>
      </c>
      <c r="N22" s="30">
        <v>1031230</v>
      </c>
      <c r="O22" s="30">
        <v>1009490</v>
      </c>
      <c r="P22" s="30">
        <v>0</v>
      </c>
      <c r="Q22" s="30">
        <v>0</v>
      </c>
      <c r="R22" s="30">
        <v>0</v>
      </c>
      <c r="S22" s="30" t="s">
        <v>184</v>
      </c>
    </row>
    <row r="23" spans="1:29" s="17" customFormat="1" x14ac:dyDescent="0.3">
      <c r="A23" s="17" t="s">
        <v>183</v>
      </c>
      <c r="B23" s="28" t="s">
        <v>64</v>
      </c>
      <c r="C23" s="17" t="s">
        <v>134</v>
      </c>
      <c r="D23" s="17" t="s">
        <v>135</v>
      </c>
      <c r="E23" s="17">
        <v>423194.69020000001</v>
      </c>
      <c r="F23" s="17">
        <v>630800.50026</v>
      </c>
      <c r="G23" s="17">
        <v>782030.37889000005</v>
      </c>
      <c r="H23" s="17">
        <v>832141.27720000001</v>
      </c>
      <c r="I23" s="17">
        <v>902827.872299999</v>
      </c>
      <c r="J23" s="17">
        <v>987910.43579999998</v>
      </c>
      <c r="K23" s="17">
        <v>1037230.22050999</v>
      </c>
      <c r="L23" s="17">
        <v>1066036.5930299901</v>
      </c>
      <c r="M23" s="17">
        <v>1036901.40499</v>
      </c>
      <c r="N23" s="17">
        <v>1013175.12373</v>
      </c>
      <c r="O23" s="17">
        <v>991038.44267000002</v>
      </c>
      <c r="P23" s="17">
        <v>0</v>
      </c>
      <c r="Q23" s="17">
        <v>0</v>
      </c>
      <c r="R23" s="17">
        <v>0</v>
      </c>
      <c r="S23" s="17" t="s">
        <v>184</v>
      </c>
    </row>
    <row r="24" spans="1:29" s="17" customFormat="1" x14ac:dyDescent="0.3">
      <c r="A24" s="17" t="s">
        <v>183</v>
      </c>
      <c r="B24" s="27" t="s">
        <v>64</v>
      </c>
      <c r="C24" s="19" t="s">
        <v>134</v>
      </c>
      <c r="D24" s="19" t="s">
        <v>136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10270.826859999999</v>
      </c>
      <c r="J24" s="20">
        <v>12312.51873</v>
      </c>
      <c r="K24" s="20">
        <v>14691.450316</v>
      </c>
      <c r="L24" s="20">
        <v>16920.8296449999</v>
      </c>
      <c r="M24" s="20">
        <v>17771.375110000001</v>
      </c>
      <c r="N24" s="20">
        <v>18053.676106999999</v>
      </c>
      <c r="O24" s="20">
        <v>18449.645885999998</v>
      </c>
      <c r="P24" s="20">
        <v>0</v>
      </c>
      <c r="Q24" s="20">
        <v>0</v>
      </c>
      <c r="R24" s="20">
        <v>0</v>
      </c>
      <c r="S24" s="20" t="s">
        <v>184</v>
      </c>
    </row>
    <row r="25" spans="1:29" s="17" customFormat="1" x14ac:dyDescent="0.3">
      <c r="A25" s="17" t="s">
        <v>183</v>
      </c>
      <c r="B25" s="28" t="s">
        <v>64</v>
      </c>
      <c r="C25" s="17" t="s">
        <v>118</v>
      </c>
      <c r="D25" s="17" t="s">
        <v>137</v>
      </c>
      <c r="E25" s="17">
        <v>318546</v>
      </c>
      <c r="F25" s="17">
        <v>629335</v>
      </c>
      <c r="G25" s="17">
        <v>1326250</v>
      </c>
      <c r="H25" s="17">
        <v>1324840</v>
      </c>
      <c r="I25" s="17">
        <v>1413956.9</v>
      </c>
      <c r="J25" s="17">
        <v>1515182</v>
      </c>
      <c r="K25" s="17">
        <v>1616524</v>
      </c>
      <c r="L25" s="17">
        <v>1742954.395</v>
      </c>
      <c r="M25" s="17">
        <v>1817789.55</v>
      </c>
      <c r="N25" s="17">
        <v>1866831.861</v>
      </c>
      <c r="O25" s="17">
        <v>1909283.8400000001</v>
      </c>
      <c r="P25" s="17">
        <v>0</v>
      </c>
      <c r="Q25" s="17">
        <v>0</v>
      </c>
      <c r="R25" s="17">
        <v>0</v>
      </c>
      <c r="S25" s="17" t="s">
        <v>185</v>
      </c>
    </row>
    <row r="26" spans="1:29" s="17" customFormat="1" x14ac:dyDescent="0.3">
      <c r="A26" s="17" t="s">
        <v>183</v>
      </c>
      <c r="B26" s="28" t="s">
        <v>65</v>
      </c>
      <c r="C26" s="17" t="s">
        <v>115</v>
      </c>
      <c r="D26" s="17" t="s">
        <v>120</v>
      </c>
      <c r="E26" s="17">
        <v>212576</v>
      </c>
      <c r="F26" s="17">
        <v>353555</v>
      </c>
      <c r="G26" s="17">
        <v>368359</v>
      </c>
      <c r="H26" s="17">
        <v>399505</v>
      </c>
      <c r="I26" s="17">
        <v>411219</v>
      </c>
      <c r="J26" s="17">
        <v>489648</v>
      </c>
      <c r="K26" s="17">
        <v>535402</v>
      </c>
      <c r="L26" s="17">
        <v>564937.310466</v>
      </c>
      <c r="M26" s="17">
        <v>593852.57394999999</v>
      </c>
      <c r="N26" s="17">
        <v>621315.45430999994</v>
      </c>
      <c r="O26" s="17">
        <v>648272.47320000001</v>
      </c>
      <c r="P26" s="17">
        <v>0</v>
      </c>
      <c r="Q26" s="17">
        <v>0</v>
      </c>
      <c r="R26" s="17">
        <v>0</v>
      </c>
      <c r="S26" s="17" t="s">
        <v>184</v>
      </c>
    </row>
    <row r="27" spans="1:29" s="17" customFormat="1" x14ac:dyDescent="0.3">
      <c r="A27" s="17" t="s">
        <v>183</v>
      </c>
      <c r="B27" s="28" t="s">
        <v>65</v>
      </c>
      <c r="C27" s="17" t="s">
        <v>116</v>
      </c>
      <c r="D27" s="17" t="s">
        <v>121</v>
      </c>
      <c r="E27" s="17">
        <v>568313</v>
      </c>
      <c r="F27" s="17">
        <v>667205</v>
      </c>
      <c r="G27" s="17">
        <v>602977</v>
      </c>
      <c r="H27" s="17">
        <v>455554</v>
      </c>
      <c r="I27" s="17">
        <v>462211</v>
      </c>
      <c r="J27" s="17">
        <v>535128.30000000005</v>
      </c>
      <c r="K27" s="17">
        <v>611202</v>
      </c>
      <c r="L27" s="17">
        <v>724650.95</v>
      </c>
      <c r="M27" s="17">
        <v>802434.84699999995</v>
      </c>
      <c r="N27" s="17">
        <v>852939.41</v>
      </c>
      <c r="O27" s="17">
        <v>901658.46</v>
      </c>
      <c r="P27" s="17">
        <v>0</v>
      </c>
      <c r="Q27" s="17">
        <v>0</v>
      </c>
      <c r="R27" s="17">
        <v>0</v>
      </c>
      <c r="S27" s="17" t="s">
        <v>185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183</v>
      </c>
      <c r="B28" s="28" t="s">
        <v>65</v>
      </c>
      <c r="C28" s="17" t="s">
        <v>116</v>
      </c>
      <c r="D28" s="17" t="s">
        <v>122</v>
      </c>
      <c r="E28" s="17">
        <v>250445.02100000001</v>
      </c>
      <c r="F28" s="17">
        <v>306181.59999999998</v>
      </c>
      <c r="G28" s="17">
        <v>294236.7</v>
      </c>
      <c r="H28" s="17">
        <v>303575.09999999998</v>
      </c>
      <c r="I28" s="17">
        <v>311918.5</v>
      </c>
      <c r="J28" s="17">
        <v>339875.04</v>
      </c>
      <c r="K28" s="17">
        <v>326950.40000000002</v>
      </c>
      <c r="L28" s="17">
        <v>294552.59999999998</v>
      </c>
      <c r="M28" s="17">
        <v>288758.19999999902</v>
      </c>
      <c r="N28" s="17">
        <v>302088.8</v>
      </c>
      <c r="O28" s="17">
        <v>320250.90000000002</v>
      </c>
      <c r="P28" s="17">
        <v>0</v>
      </c>
      <c r="Q28" s="17">
        <v>0</v>
      </c>
      <c r="R28" s="17">
        <v>0</v>
      </c>
      <c r="S28" s="17" t="s">
        <v>185</v>
      </c>
    </row>
    <row r="29" spans="1:29" s="17" customFormat="1" x14ac:dyDescent="0.3">
      <c r="A29" s="17" t="s">
        <v>183</v>
      </c>
      <c r="B29" s="28" t="s">
        <v>65</v>
      </c>
      <c r="C29" s="17" t="s">
        <v>116</v>
      </c>
      <c r="D29" s="17" t="s">
        <v>162</v>
      </c>
      <c r="E29" s="17">
        <v>1112710</v>
      </c>
      <c r="F29" s="17">
        <v>1402240</v>
      </c>
      <c r="G29" s="17">
        <v>1362490</v>
      </c>
      <c r="H29" s="17">
        <v>1331530</v>
      </c>
      <c r="I29" s="17">
        <v>1340410</v>
      </c>
      <c r="J29" s="17">
        <v>1470350</v>
      </c>
      <c r="K29" s="17">
        <v>1544390</v>
      </c>
      <c r="L29" s="17">
        <v>1620540</v>
      </c>
      <c r="M29" s="17">
        <v>1702000</v>
      </c>
      <c r="N29" s="17">
        <v>1783500</v>
      </c>
      <c r="O29" s="17">
        <v>1861110</v>
      </c>
      <c r="P29" s="17">
        <v>0</v>
      </c>
      <c r="Q29" s="17">
        <v>0</v>
      </c>
      <c r="R29" s="17">
        <v>0</v>
      </c>
      <c r="S29" s="17" t="s">
        <v>185</v>
      </c>
    </row>
    <row r="30" spans="1:29" s="17" customFormat="1" x14ac:dyDescent="0.3">
      <c r="A30" s="17" t="s">
        <v>183</v>
      </c>
      <c r="B30" s="28" t="s">
        <v>65</v>
      </c>
      <c r="C30" s="17" t="s">
        <v>123</v>
      </c>
      <c r="D30" s="17" t="s">
        <v>124</v>
      </c>
      <c r="E30" s="17">
        <v>1024130</v>
      </c>
      <c r="F30" s="17">
        <v>1290600</v>
      </c>
      <c r="G30" s="17">
        <v>1253810</v>
      </c>
      <c r="H30" s="17">
        <v>1225120</v>
      </c>
      <c r="I30" s="17">
        <v>1233300.46</v>
      </c>
      <c r="J30" s="17">
        <v>1352544.1373167399</v>
      </c>
      <c r="K30" s="17">
        <v>1420149.38172378</v>
      </c>
      <c r="L30" s="17">
        <v>1490126.3994010701</v>
      </c>
      <c r="M30" s="17">
        <v>1565299.76211936</v>
      </c>
      <c r="N30" s="17">
        <v>1640159.1890781</v>
      </c>
      <c r="O30" s="17">
        <v>1710771.88903</v>
      </c>
      <c r="P30" s="17">
        <v>0</v>
      </c>
      <c r="Q30" s="17">
        <v>0</v>
      </c>
      <c r="R30" s="17">
        <v>0</v>
      </c>
      <c r="S30" s="17" t="s">
        <v>185</v>
      </c>
    </row>
    <row r="31" spans="1:29" s="17" customFormat="1" x14ac:dyDescent="0.3">
      <c r="A31" s="17" t="s">
        <v>183</v>
      </c>
      <c r="B31" s="27" t="s">
        <v>65</v>
      </c>
      <c r="C31" s="19" t="s">
        <v>123</v>
      </c>
      <c r="D31" s="19" t="s">
        <v>125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36476.119999999901</v>
      </c>
      <c r="J31" s="20">
        <v>40149.544999999998</v>
      </c>
      <c r="K31" s="20">
        <v>42334.614699999998</v>
      </c>
      <c r="L31" s="20">
        <v>44494.729700000004</v>
      </c>
      <c r="M31" s="20">
        <v>46673.099300000002</v>
      </c>
      <c r="N31" s="20">
        <v>48872.231699999997</v>
      </c>
      <c r="O31" s="20">
        <v>51053.737999999998</v>
      </c>
      <c r="P31" s="20">
        <v>0</v>
      </c>
      <c r="Q31" s="20">
        <v>0</v>
      </c>
      <c r="R31" s="20">
        <v>0</v>
      </c>
      <c r="S31" s="20" t="s">
        <v>185</v>
      </c>
    </row>
    <row r="32" spans="1:29" s="17" customFormat="1" x14ac:dyDescent="0.3">
      <c r="A32" s="17" t="s">
        <v>183</v>
      </c>
      <c r="B32" s="28" t="s">
        <v>65</v>
      </c>
      <c r="C32" s="17" t="s">
        <v>123</v>
      </c>
      <c r="D32" s="17" t="s">
        <v>126</v>
      </c>
      <c r="E32" s="17">
        <v>58674.9</v>
      </c>
      <c r="F32" s="17">
        <v>73941.7</v>
      </c>
      <c r="G32" s="17">
        <v>71833.600000000006</v>
      </c>
      <c r="H32" s="17">
        <v>70189.600000000006</v>
      </c>
      <c r="I32" s="17">
        <v>70630.080000000002</v>
      </c>
      <c r="J32" s="17">
        <v>77678.692299999995</v>
      </c>
      <c r="K32" s="17">
        <v>81965.741599999994</v>
      </c>
      <c r="L32" s="17">
        <v>86034.179199999897</v>
      </c>
      <c r="M32" s="17">
        <v>90182.298699999999</v>
      </c>
      <c r="N32" s="17">
        <v>94651.724999999904</v>
      </c>
      <c r="O32" s="17">
        <v>99514.5</v>
      </c>
      <c r="P32" s="17">
        <v>0</v>
      </c>
      <c r="Q32" s="17">
        <v>0</v>
      </c>
      <c r="R32" s="17">
        <v>0</v>
      </c>
      <c r="S32" s="17" t="s">
        <v>185</v>
      </c>
    </row>
    <row r="33" spans="1:19" s="30" customFormat="1" x14ac:dyDescent="0.3">
      <c r="A33" s="30" t="s">
        <v>183</v>
      </c>
      <c r="B33" s="31" t="s">
        <v>65</v>
      </c>
      <c r="C33" s="32" t="s">
        <v>117</v>
      </c>
      <c r="D33" s="32" t="s">
        <v>163</v>
      </c>
      <c r="E33" s="34">
        <v>34966.699999999997</v>
      </c>
      <c r="F33" s="34">
        <v>37111.599999999999</v>
      </c>
      <c r="G33" s="34">
        <v>37862.6</v>
      </c>
      <c r="H33" s="34">
        <v>38400.6</v>
      </c>
      <c r="I33" s="34">
        <v>38657.699999999997</v>
      </c>
      <c r="J33" s="34">
        <v>35817.1</v>
      </c>
      <c r="K33" s="34">
        <v>34538.199999999997</v>
      </c>
      <c r="L33" s="34">
        <v>33410.5</v>
      </c>
      <c r="M33" s="34">
        <v>32485.3</v>
      </c>
      <c r="N33" s="34">
        <v>31565.7</v>
      </c>
      <c r="O33" s="34">
        <v>30658.1</v>
      </c>
      <c r="P33" s="34">
        <v>0</v>
      </c>
      <c r="Q33" s="34">
        <v>0</v>
      </c>
      <c r="R33" s="34">
        <v>0</v>
      </c>
      <c r="S33" s="34" t="s">
        <v>184</v>
      </c>
    </row>
    <row r="34" spans="1:19" s="30" customFormat="1" x14ac:dyDescent="0.3">
      <c r="A34" s="30" t="s">
        <v>183</v>
      </c>
      <c r="B34" s="35" t="s">
        <v>65</v>
      </c>
      <c r="C34" s="30" t="s">
        <v>117</v>
      </c>
      <c r="D34" s="30" t="s">
        <v>127</v>
      </c>
      <c r="E34" s="36">
        <v>147471</v>
      </c>
      <c r="F34" s="36">
        <v>245272</v>
      </c>
      <c r="G34" s="36">
        <v>255527</v>
      </c>
      <c r="H34" s="36">
        <v>277139</v>
      </c>
      <c r="I34" s="36">
        <v>288496</v>
      </c>
      <c r="J34" s="36">
        <v>378904</v>
      </c>
      <c r="K34" s="36">
        <v>439370</v>
      </c>
      <c r="L34" s="36">
        <v>474600.73100000003</v>
      </c>
      <c r="M34" s="36">
        <v>508166.11</v>
      </c>
      <c r="N34" s="36">
        <v>536592.27</v>
      </c>
      <c r="O34" s="36">
        <v>561748.1</v>
      </c>
      <c r="P34" s="36">
        <v>0</v>
      </c>
      <c r="Q34" s="36">
        <v>0</v>
      </c>
      <c r="R34" s="36">
        <v>0</v>
      </c>
      <c r="S34" s="36" t="s">
        <v>184</v>
      </c>
    </row>
    <row r="35" spans="1:19" s="30" customFormat="1" x14ac:dyDescent="0.3">
      <c r="A35" s="30" t="s">
        <v>183</v>
      </c>
      <c r="B35" s="31" t="s">
        <v>65</v>
      </c>
      <c r="C35" s="32" t="s">
        <v>117</v>
      </c>
      <c r="D35" s="32" t="s">
        <v>128</v>
      </c>
      <c r="E35" s="34">
        <v>17093.7</v>
      </c>
      <c r="F35" s="34">
        <v>20739.3</v>
      </c>
      <c r="G35" s="34">
        <v>19886.5</v>
      </c>
      <c r="H35" s="34">
        <v>21169.9</v>
      </c>
      <c r="I35" s="34">
        <v>21370.7</v>
      </c>
      <c r="J35" s="34">
        <v>28026.799999999999</v>
      </c>
      <c r="K35" s="34">
        <v>31977.200000000001</v>
      </c>
      <c r="L35" s="34">
        <v>35922.400000000001</v>
      </c>
      <c r="M35" s="34">
        <v>35607.199999999997</v>
      </c>
      <c r="N35" s="34">
        <v>35780.800000000003</v>
      </c>
      <c r="O35" s="34">
        <v>36397.300000000003</v>
      </c>
      <c r="P35" s="34">
        <v>0</v>
      </c>
      <c r="Q35" s="34">
        <v>0</v>
      </c>
      <c r="R35" s="34">
        <v>0</v>
      </c>
      <c r="S35" s="34" t="s">
        <v>184</v>
      </c>
    </row>
    <row r="36" spans="1:19" s="30" customFormat="1" x14ac:dyDescent="0.3">
      <c r="A36" s="30" t="s">
        <v>183</v>
      </c>
      <c r="B36" s="35" t="s">
        <v>65</v>
      </c>
      <c r="C36" s="30" t="s">
        <v>117</v>
      </c>
      <c r="D36" s="30" t="s">
        <v>129</v>
      </c>
      <c r="E36" s="30">
        <v>296811</v>
      </c>
      <c r="F36" s="30">
        <v>362300.8</v>
      </c>
      <c r="G36" s="30">
        <v>347860.3</v>
      </c>
      <c r="H36" s="30">
        <v>365615</v>
      </c>
      <c r="I36" s="30">
        <v>376946.2</v>
      </c>
      <c r="J36" s="30">
        <v>417613.2</v>
      </c>
      <c r="K36" s="30">
        <v>430627</v>
      </c>
      <c r="L36" s="30">
        <v>439863.3</v>
      </c>
      <c r="M36" s="30">
        <v>443022.5</v>
      </c>
      <c r="N36" s="30">
        <v>449764.7</v>
      </c>
      <c r="O36" s="30">
        <v>459813.4</v>
      </c>
      <c r="P36" s="30">
        <v>0</v>
      </c>
      <c r="Q36" s="30">
        <v>0</v>
      </c>
      <c r="R36" s="30">
        <v>0</v>
      </c>
      <c r="S36" s="30" t="s">
        <v>184</v>
      </c>
    </row>
    <row r="37" spans="1:19" s="17" customFormat="1" x14ac:dyDescent="0.3">
      <c r="A37" s="17" t="s">
        <v>183</v>
      </c>
      <c r="B37" s="28" t="s">
        <v>65</v>
      </c>
      <c r="C37" s="17" t="s">
        <v>117</v>
      </c>
      <c r="D37" s="17" t="s">
        <v>162</v>
      </c>
      <c r="E37" s="17">
        <v>4231630</v>
      </c>
      <c r="F37" s="17">
        <v>5349060</v>
      </c>
      <c r="G37" s="17">
        <v>5368570</v>
      </c>
      <c r="H37" s="17">
        <v>5484900</v>
      </c>
      <c r="I37" s="17">
        <v>5594420</v>
      </c>
      <c r="J37" s="17">
        <v>5972880</v>
      </c>
      <c r="K37" s="17">
        <v>6109890</v>
      </c>
      <c r="L37" s="17">
        <v>6242380</v>
      </c>
      <c r="M37" s="17">
        <v>6331320</v>
      </c>
      <c r="N37" s="17">
        <v>6445650</v>
      </c>
      <c r="O37" s="17">
        <v>6586200</v>
      </c>
      <c r="P37" s="17">
        <v>0</v>
      </c>
      <c r="Q37" s="17">
        <v>0</v>
      </c>
      <c r="R37" s="17">
        <v>0</v>
      </c>
      <c r="S37" s="17" t="s">
        <v>184</v>
      </c>
    </row>
    <row r="38" spans="1:19" s="30" customFormat="1" x14ac:dyDescent="0.3">
      <c r="A38" s="30" t="s">
        <v>183</v>
      </c>
      <c r="B38" s="35" t="s">
        <v>65</v>
      </c>
      <c r="C38" s="30" t="s">
        <v>117</v>
      </c>
      <c r="D38" s="30" t="s">
        <v>164</v>
      </c>
      <c r="E38" s="30">
        <v>104898</v>
      </c>
      <c r="F38" s="30">
        <v>111333</v>
      </c>
      <c r="G38" s="30">
        <v>113588</v>
      </c>
      <c r="H38" s="30">
        <v>115202</v>
      </c>
      <c r="I38" s="30">
        <v>115973</v>
      </c>
      <c r="J38" s="30">
        <v>107451</v>
      </c>
      <c r="K38" s="30">
        <v>103615</v>
      </c>
      <c r="L38" s="30">
        <v>100231</v>
      </c>
      <c r="M38" s="30">
        <v>97455.8</v>
      </c>
      <c r="N38" s="30">
        <v>94697.1</v>
      </c>
      <c r="O38" s="30">
        <v>91974.399999999994</v>
      </c>
      <c r="P38" s="30">
        <v>0</v>
      </c>
      <c r="Q38" s="30">
        <v>0</v>
      </c>
      <c r="R38" s="30">
        <v>0</v>
      </c>
      <c r="S38" s="30" t="s">
        <v>184</v>
      </c>
    </row>
    <row r="39" spans="1:19" s="30" customFormat="1" x14ac:dyDescent="0.3">
      <c r="A39" s="30" t="s">
        <v>183</v>
      </c>
      <c r="B39" s="35" t="s">
        <v>65</v>
      </c>
      <c r="C39" s="30" t="s">
        <v>130</v>
      </c>
      <c r="D39" s="30" t="s">
        <v>131</v>
      </c>
      <c r="E39" s="30">
        <v>573900.19999999995</v>
      </c>
      <c r="F39" s="30">
        <v>739489.7</v>
      </c>
      <c r="G39" s="30">
        <v>752113.8</v>
      </c>
      <c r="H39" s="30">
        <v>781792</v>
      </c>
      <c r="I39" s="30">
        <v>781697.299999999</v>
      </c>
      <c r="J39" s="30">
        <v>731664.80999999901</v>
      </c>
      <c r="K39" s="30">
        <v>700375</v>
      </c>
      <c r="L39" s="30">
        <v>669149.89999999898</v>
      </c>
      <c r="M39" s="30">
        <v>645129.6</v>
      </c>
      <c r="N39" s="30">
        <v>625332.30000000005</v>
      </c>
      <c r="O39" s="30">
        <v>607617</v>
      </c>
      <c r="P39" s="30">
        <v>0</v>
      </c>
      <c r="Q39" s="30">
        <v>0</v>
      </c>
      <c r="R39" s="30">
        <v>0</v>
      </c>
      <c r="S39" s="30" t="s">
        <v>184</v>
      </c>
    </row>
    <row r="40" spans="1:19" s="17" customFormat="1" x14ac:dyDescent="0.3">
      <c r="A40" s="17" t="s">
        <v>183</v>
      </c>
      <c r="B40" s="28" t="s">
        <v>65</v>
      </c>
      <c r="C40" s="17" t="s">
        <v>130</v>
      </c>
      <c r="D40" s="17" t="s">
        <v>165</v>
      </c>
      <c r="E40" s="17">
        <v>3657730</v>
      </c>
      <c r="F40" s="17">
        <v>4609570</v>
      </c>
      <c r="G40" s="17">
        <v>4616450</v>
      </c>
      <c r="H40" s="17">
        <v>4703110</v>
      </c>
      <c r="I40" s="17">
        <v>4812720</v>
      </c>
      <c r="J40" s="17">
        <v>5241220</v>
      </c>
      <c r="K40" s="17">
        <v>5409520</v>
      </c>
      <c r="L40" s="17">
        <v>5573230</v>
      </c>
      <c r="M40" s="17">
        <v>5686190</v>
      </c>
      <c r="N40" s="17">
        <v>5820310</v>
      </c>
      <c r="O40" s="17">
        <v>5978580</v>
      </c>
      <c r="P40" s="17">
        <v>0</v>
      </c>
      <c r="Q40" s="17">
        <v>0</v>
      </c>
      <c r="R40" s="17">
        <v>0</v>
      </c>
      <c r="S40" s="17" t="s">
        <v>184</v>
      </c>
    </row>
    <row r="41" spans="1:19" s="30" customFormat="1" x14ac:dyDescent="0.3">
      <c r="A41" s="30" t="s">
        <v>183</v>
      </c>
      <c r="B41" s="35" t="s">
        <v>65</v>
      </c>
      <c r="C41" s="30" t="s">
        <v>132</v>
      </c>
      <c r="D41" s="30" t="s">
        <v>133</v>
      </c>
      <c r="E41" s="30">
        <v>72561.2</v>
      </c>
      <c r="F41" s="30">
        <v>91441</v>
      </c>
      <c r="G41" s="30">
        <v>91678.399999999994</v>
      </c>
      <c r="H41" s="30">
        <v>93507.199999999997</v>
      </c>
      <c r="I41" s="30">
        <v>97021.1</v>
      </c>
      <c r="J41" s="30">
        <v>107249.4</v>
      </c>
      <c r="K41" s="30">
        <v>109920.799999999</v>
      </c>
      <c r="L41" s="30">
        <v>111856</v>
      </c>
      <c r="M41" s="30">
        <v>111779</v>
      </c>
      <c r="N41" s="30">
        <v>112875.2</v>
      </c>
      <c r="O41" s="30">
        <v>115078.7</v>
      </c>
      <c r="P41" s="30">
        <v>0</v>
      </c>
      <c r="Q41" s="30">
        <v>0</v>
      </c>
      <c r="R41" s="30">
        <v>0</v>
      </c>
      <c r="S41" s="30" t="s">
        <v>184</v>
      </c>
    </row>
    <row r="42" spans="1:19" s="30" customFormat="1" x14ac:dyDescent="0.3">
      <c r="A42" s="30" t="s">
        <v>183</v>
      </c>
      <c r="B42" s="35" t="s">
        <v>65</v>
      </c>
      <c r="C42" s="30" t="s">
        <v>132</v>
      </c>
      <c r="D42" s="30" t="s">
        <v>166</v>
      </c>
      <c r="E42" s="30">
        <v>3585170</v>
      </c>
      <c r="F42" s="30">
        <v>4518130</v>
      </c>
      <c r="G42" s="30">
        <v>4524770</v>
      </c>
      <c r="H42" s="30">
        <v>4609600</v>
      </c>
      <c r="I42" s="30">
        <v>4715700</v>
      </c>
      <c r="J42" s="30">
        <v>5133970</v>
      </c>
      <c r="K42" s="30">
        <v>5299600</v>
      </c>
      <c r="L42" s="30">
        <v>5461370</v>
      </c>
      <c r="M42" s="30">
        <v>5574410</v>
      </c>
      <c r="N42" s="30">
        <v>5707440</v>
      </c>
      <c r="O42" s="30">
        <v>5863510</v>
      </c>
      <c r="P42" s="30">
        <v>0</v>
      </c>
      <c r="Q42" s="30">
        <v>0</v>
      </c>
      <c r="R42" s="30">
        <v>0</v>
      </c>
      <c r="S42" s="30" t="s">
        <v>184</v>
      </c>
    </row>
    <row r="43" spans="1:19" s="17" customFormat="1" x14ac:dyDescent="0.3">
      <c r="A43" s="17" t="s">
        <v>183</v>
      </c>
      <c r="B43" s="28" t="s">
        <v>65</v>
      </c>
      <c r="C43" s="17" t="s">
        <v>134</v>
      </c>
      <c r="D43" s="17" t="s">
        <v>135</v>
      </c>
      <c r="E43" s="17">
        <v>2925308.7354000001</v>
      </c>
      <c r="F43" s="17">
        <v>3686544.997</v>
      </c>
      <c r="G43" s="17">
        <v>3690967.2480000001</v>
      </c>
      <c r="H43" s="17">
        <v>3759076.3509999998</v>
      </c>
      <c r="I43" s="17">
        <v>3833519.8149999999</v>
      </c>
      <c r="J43" s="17">
        <v>4150971.4369999999</v>
      </c>
      <c r="K43" s="17">
        <v>4232844.6852000002</v>
      </c>
      <c r="L43" s="17">
        <v>4316042.7168999901</v>
      </c>
      <c r="M43" s="17">
        <v>4378793.2215999998</v>
      </c>
      <c r="N43" s="17">
        <v>4486067.4977000002</v>
      </c>
      <c r="O43" s="17">
        <v>4605297.7399000004</v>
      </c>
      <c r="P43" s="17">
        <v>0</v>
      </c>
      <c r="Q43" s="17">
        <v>0</v>
      </c>
      <c r="R43" s="17">
        <v>0</v>
      </c>
      <c r="S43" s="17" t="s">
        <v>184</v>
      </c>
    </row>
    <row r="44" spans="1:19" s="17" customFormat="1" x14ac:dyDescent="0.3">
      <c r="A44" s="17" t="s">
        <v>183</v>
      </c>
      <c r="B44" s="28" t="s">
        <v>65</v>
      </c>
      <c r="C44" s="17" t="s">
        <v>134</v>
      </c>
      <c r="D44" s="17" t="s">
        <v>136</v>
      </c>
      <c r="E44" s="17">
        <v>659861.15659999999</v>
      </c>
      <c r="F44" s="17">
        <v>831577.60019999999</v>
      </c>
      <c r="G44" s="17">
        <v>833806.93700000003</v>
      </c>
      <c r="H44" s="17">
        <v>850525.37199999997</v>
      </c>
      <c r="I44" s="17">
        <v>882174.02139999997</v>
      </c>
      <c r="J44" s="17">
        <v>982993.24600000004</v>
      </c>
      <c r="K44" s="17">
        <v>1066750.5122</v>
      </c>
      <c r="L44" s="17">
        <v>1145326.91719999</v>
      </c>
      <c r="M44" s="17">
        <v>1195622.2333500001</v>
      </c>
      <c r="N44" s="17">
        <v>1221370.5997299999</v>
      </c>
      <c r="O44" s="17">
        <v>1258207.49198999</v>
      </c>
      <c r="P44" s="17">
        <v>0</v>
      </c>
      <c r="Q44" s="17">
        <v>0</v>
      </c>
      <c r="R44" s="17">
        <v>0</v>
      </c>
      <c r="S44" s="17" t="s">
        <v>184</v>
      </c>
    </row>
    <row r="45" spans="1:19" s="17" customFormat="1" x14ac:dyDescent="0.3">
      <c r="A45" s="17" t="s">
        <v>183</v>
      </c>
      <c r="B45" s="28" t="s">
        <v>65</v>
      </c>
      <c r="C45" s="17" t="s">
        <v>118</v>
      </c>
      <c r="D45" s="17" t="s">
        <v>137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14055230</v>
      </c>
      <c r="J45" s="22">
        <v>14856130</v>
      </c>
      <c r="K45" s="22">
        <v>15426040</v>
      </c>
      <c r="L45" s="22">
        <v>16455166.641000001</v>
      </c>
      <c r="M45" s="22">
        <v>17170537.439999901</v>
      </c>
      <c r="N45" s="22">
        <v>17741282.189999901</v>
      </c>
      <c r="O45" s="22">
        <v>18312827.899999999</v>
      </c>
      <c r="P45" s="17">
        <v>0</v>
      </c>
      <c r="Q45" s="17">
        <v>0</v>
      </c>
      <c r="R45" s="17">
        <v>0</v>
      </c>
      <c r="S45" s="17" t="s">
        <v>185</v>
      </c>
    </row>
    <row r="47" spans="1:19" x14ac:dyDescent="0.3">
      <c r="A47" s="11" t="s">
        <v>138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115</v>
      </c>
      <c r="D48" s="9" t="s">
        <v>120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139</v>
      </c>
    </row>
    <row r="49" spans="1:29" x14ac:dyDescent="0.3">
      <c r="B49" t="s">
        <v>65</v>
      </c>
      <c r="C49" s="9" t="s">
        <v>115</v>
      </c>
      <c r="D49" s="9" t="s">
        <v>120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139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159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113</v>
      </c>
      <c r="D52" s="19" t="s">
        <v>160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114</v>
      </c>
      <c r="B53" s="18" t="s">
        <v>64</v>
      </c>
      <c r="C53" s="19" t="s">
        <v>115</v>
      </c>
      <c r="D53" s="19" t="s">
        <v>120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161</v>
      </c>
      <c r="AA53" s="20"/>
      <c r="AB53" s="20"/>
      <c r="AC53" s="20"/>
    </row>
    <row r="54" spans="1:29" s="17" customFormat="1" x14ac:dyDescent="0.3">
      <c r="A54" s="17" t="s">
        <v>114</v>
      </c>
      <c r="B54" s="18" t="s">
        <v>64</v>
      </c>
      <c r="C54" s="19" t="s">
        <v>116</v>
      </c>
      <c r="D54" s="19" t="s">
        <v>121</v>
      </c>
      <c r="E54" s="21">
        <v>7.9557499999999997E-4</v>
      </c>
      <c r="F54" s="21">
        <v>1.14108E-4</v>
      </c>
      <c r="G54" s="21">
        <v>2.4071100000000001E-4</v>
      </c>
      <c r="H54" s="21">
        <v>2.29626E-4</v>
      </c>
      <c r="I54" s="21">
        <v>2.29626E-4</v>
      </c>
      <c r="J54" s="21">
        <v>2.29626E-4</v>
      </c>
      <c r="K54" s="21">
        <v>2.29626E-4</v>
      </c>
      <c r="L54" s="21">
        <v>2.29626E-4</v>
      </c>
      <c r="M54" s="21">
        <v>2.29626E-4</v>
      </c>
      <c r="N54" s="21">
        <v>2.29626E-4</v>
      </c>
      <c r="O54" s="21">
        <v>2.29626E-4</v>
      </c>
      <c r="P54" s="21">
        <v>2.29626E-4</v>
      </c>
      <c r="Q54" s="21">
        <v>2.29626E-4</v>
      </c>
      <c r="R54" s="21">
        <v>2.29626E-4</v>
      </c>
      <c r="S54" s="21">
        <v>2.29626E-4</v>
      </c>
      <c r="T54" s="21">
        <v>2.29626E-4</v>
      </c>
      <c r="U54" s="21">
        <v>2.29626E-4</v>
      </c>
      <c r="V54" s="21">
        <v>2.29626E-4</v>
      </c>
      <c r="W54" s="21">
        <v>2.29626E-4</v>
      </c>
      <c r="X54" s="21">
        <v>2.29626E-4</v>
      </c>
      <c r="Y54" s="21">
        <v>2.29626E-4</v>
      </c>
      <c r="Z54" s="20" t="s">
        <v>161</v>
      </c>
      <c r="AA54" s="20"/>
      <c r="AB54" s="20"/>
      <c r="AC54" s="20"/>
    </row>
    <row r="55" spans="1:29" s="17" customFormat="1" x14ac:dyDescent="0.3">
      <c r="A55" s="17" t="s">
        <v>114</v>
      </c>
      <c r="B55" s="18" t="s">
        <v>64</v>
      </c>
      <c r="C55" s="19" t="s">
        <v>116</v>
      </c>
      <c r="D55" s="19" t="s">
        <v>122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161</v>
      </c>
      <c r="AA55" s="20"/>
      <c r="AB55" s="20"/>
      <c r="AC55" s="20"/>
    </row>
    <row r="56" spans="1:29" s="17" customFormat="1" x14ac:dyDescent="0.3">
      <c r="A56" s="17" t="s">
        <v>114</v>
      </c>
      <c r="B56" s="18" t="s">
        <v>64</v>
      </c>
      <c r="C56" s="19" t="s">
        <v>116</v>
      </c>
      <c r="D56" s="19" t="s">
        <v>162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161</v>
      </c>
      <c r="AA56" s="20"/>
      <c r="AB56" s="20"/>
      <c r="AC56" s="20"/>
    </row>
    <row r="57" spans="1:29" s="17" customFormat="1" x14ac:dyDescent="0.3">
      <c r="A57" s="17" t="s">
        <v>114</v>
      </c>
      <c r="B57" s="18" t="s">
        <v>64</v>
      </c>
      <c r="C57" s="19" t="s">
        <v>123</v>
      </c>
      <c r="D57" s="19" t="s">
        <v>124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161</v>
      </c>
      <c r="AA57" s="20"/>
      <c r="AB57" s="20"/>
      <c r="AC57" s="20"/>
    </row>
    <row r="58" spans="1:29" s="17" customFormat="1" x14ac:dyDescent="0.3">
      <c r="A58" s="17" t="s">
        <v>114</v>
      </c>
      <c r="B58" s="18" t="s">
        <v>64</v>
      </c>
      <c r="C58" s="19" t="s">
        <v>123</v>
      </c>
      <c r="D58" s="19" t="s">
        <v>125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161</v>
      </c>
      <c r="AA58" s="20"/>
      <c r="AB58" s="20"/>
      <c r="AC58" s="20"/>
    </row>
    <row r="59" spans="1:29" s="17" customFormat="1" x14ac:dyDescent="0.3">
      <c r="A59" s="17" t="s">
        <v>114</v>
      </c>
      <c r="B59" s="18" t="s">
        <v>64</v>
      </c>
      <c r="C59" s="19" t="s">
        <v>123</v>
      </c>
      <c r="D59" s="19" t="s">
        <v>126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161</v>
      </c>
      <c r="AA59" s="20"/>
      <c r="AB59" s="20"/>
      <c r="AC59" s="20"/>
    </row>
    <row r="60" spans="1:29" s="17" customFormat="1" x14ac:dyDescent="0.3">
      <c r="A60" s="17" t="s">
        <v>114</v>
      </c>
      <c r="B60" s="18" t="s">
        <v>64</v>
      </c>
      <c r="C60" s="19" t="s">
        <v>117</v>
      </c>
      <c r="D60" s="19" t="s">
        <v>163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161</v>
      </c>
      <c r="AA60" s="20"/>
      <c r="AB60" s="20"/>
      <c r="AC60" s="20"/>
    </row>
    <row r="61" spans="1:29" s="17" customFormat="1" x14ac:dyDescent="0.3">
      <c r="A61" s="17" t="s">
        <v>114</v>
      </c>
      <c r="B61" s="18" t="s">
        <v>64</v>
      </c>
      <c r="C61" s="19" t="s">
        <v>117</v>
      </c>
      <c r="D61" s="19" t="s">
        <v>127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161</v>
      </c>
      <c r="AA61" s="20"/>
      <c r="AB61" s="20"/>
      <c r="AC61" s="20"/>
    </row>
    <row r="62" spans="1:29" s="17" customFormat="1" x14ac:dyDescent="0.3">
      <c r="A62" s="17" t="s">
        <v>114</v>
      </c>
      <c r="B62" s="18" t="s">
        <v>64</v>
      </c>
      <c r="C62" s="19" t="s">
        <v>117</v>
      </c>
      <c r="D62" s="19" t="s">
        <v>128</v>
      </c>
      <c r="E62" s="20">
        <v>0</v>
      </c>
      <c r="F62" s="20">
        <v>0</v>
      </c>
      <c r="G62" s="20">
        <v>0</v>
      </c>
      <c r="H62" s="20">
        <v>0</v>
      </c>
      <c r="I62" s="21">
        <v>5.8823499999999997E-5</v>
      </c>
      <c r="J62" s="21">
        <v>1.1764699999999999E-4</v>
      </c>
      <c r="K62" s="21">
        <v>1.7647100000000001E-4</v>
      </c>
      <c r="L62" s="21">
        <v>2.3529399999999999E-4</v>
      </c>
      <c r="M62" s="21">
        <v>2.9411800000000001E-4</v>
      </c>
      <c r="N62" s="21">
        <v>3.5294100000000001E-4</v>
      </c>
      <c r="O62" s="21">
        <v>4.1176500000000003E-4</v>
      </c>
      <c r="P62" s="21">
        <v>4.7058799999999997E-4</v>
      </c>
      <c r="Q62" s="21">
        <v>5.2941200000000005E-4</v>
      </c>
      <c r="R62" s="21">
        <v>5.8823499999999999E-4</v>
      </c>
      <c r="S62" s="21">
        <v>6.4705899999999996E-4</v>
      </c>
      <c r="T62" s="21">
        <v>7.0588200000000002E-4</v>
      </c>
      <c r="U62" s="21">
        <v>7.6470599999999998E-4</v>
      </c>
      <c r="V62" s="21">
        <v>8.2352900000000004E-4</v>
      </c>
      <c r="W62" s="21">
        <v>8.82353E-4</v>
      </c>
      <c r="X62" s="21">
        <v>9.4117599999999995E-4</v>
      </c>
      <c r="Y62" s="20">
        <v>1E-3</v>
      </c>
      <c r="Z62" s="20" t="s">
        <v>161</v>
      </c>
      <c r="AA62" s="20"/>
      <c r="AB62" s="20"/>
      <c r="AC62" s="20"/>
    </row>
    <row r="63" spans="1:29" s="17" customFormat="1" x14ac:dyDescent="0.3">
      <c r="A63" s="17" t="s">
        <v>114</v>
      </c>
      <c r="B63" s="18" t="s">
        <v>64</v>
      </c>
      <c r="C63" s="19" t="s">
        <v>117</v>
      </c>
      <c r="D63" s="19" t="s">
        <v>129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161</v>
      </c>
      <c r="AA63" s="20"/>
      <c r="AB63" s="20"/>
      <c r="AC63" s="20"/>
    </row>
    <row r="64" spans="1:29" s="17" customFormat="1" x14ac:dyDescent="0.3">
      <c r="A64" s="17" t="s">
        <v>114</v>
      </c>
      <c r="B64" s="18" t="s">
        <v>64</v>
      </c>
      <c r="C64" s="19" t="s">
        <v>117</v>
      </c>
      <c r="D64" s="19" t="s">
        <v>164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161</v>
      </c>
      <c r="AA64" s="20"/>
      <c r="AB64" s="20"/>
      <c r="AC64" s="20"/>
    </row>
    <row r="65" spans="1:29" s="17" customFormat="1" x14ac:dyDescent="0.3">
      <c r="A65" s="17" t="s">
        <v>114</v>
      </c>
      <c r="B65" s="23" t="s">
        <v>64</v>
      </c>
      <c r="C65" s="19" t="s">
        <v>117</v>
      </c>
      <c r="D65" s="19" t="s">
        <v>162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161</v>
      </c>
      <c r="AA65" s="20"/>
      <c r="AB65" s="20"/>
      <c r="AC65" s="20"/>
    </row>
    <row r="66" spans="1:29" s="17" customFormat="1" x14ac:dyDescent="0.3">
      <c r="A66" s="17" t="s">
        <v>114</v>
      </c>
      <c r="B66" s="23" t="s">
        <v>64</v>
      </c>
      <c r="C66" s="19" t="s">
        <v>130</v>
      </c>
      <c r="D66" s="19" t="s">
        <v>131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161</v>
      </c>
      <c r="AA66" s="20"/>
      <c r="AB66" s="20"/>
      <c r="AC66" s="20"/>
    </row>
    <row r="67" spans="1:29" s="17" customFormat="1" x14ac:dyDescent="0.3">
      <c r="A67" s="17" t="s">
        <v>114</v>
      </c>
      <c r="B67" s="24" t="s">
        <v>64</v>
      </c>
      <c r="C67" s="17" t="s">
        <v>130</v>
      </c>
      <c r="D67" s="17" t="s">
        <v>165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 t="s">
        <v>161</v>
      </c>
    </row>
    <row r="68" spans="1:29" s="17" customFormat="1" x14ac:dyDescent="0.3">
      <c r="A68" s="17" t="s">
        <v>114</v>
      </c>
      <c r="B68" s="24" t="s">
        <v>64</v>
      </c>
      <c r="C68" s="17" t="s">
        <v>132</v>
      </c>
      <c r="D68" s="17" t="s">
        <v>133</v>
      </c>
      <c r="E68" s="17">
        <v>1.2316300000000001E-2</v>
      </c>
      <c r="F68" s="17">
        <v>1.07405E-2</v>
      </c>
      <c r="G68" s="17">
        <v>1.1504500000000001E-2</v>
      </c>
      <c r="H68" s="17">
        <v>1.2729000000000001E-2</v>
      </c>
      <c r="I68" s="17">
        <v>1.2729000000000001E-2</v>
      </c>
      <c r="J68" s="17">
        <v>1.2729000000000001E-2</v>
      </c>
      <c r="K68" s="17">
        <v>1.2729000000000001E-2</v>
      </c>
      <c r="L68" s="17">
        <v>1.2729000000000001E-2</v>
      </c>
      <c r="M68" s="17">
        <v>1.2729000000000001E-2</v>
      </c>
      <c r="N68" s="17">
        <v>1.2729000000000001E-2</v>
      </c>
      <c r="O68" s="17">
        <v>1.2729000000000001E-2</v>
      </c>
      <c r="P68" s="17">
        <v>1.2729000000000001E-2</v>
      </c>
      <c r="Q68" s="17">
        <v>1.2729000000000001E-2</v>
      </c>
      <c r="R68" s="17">
        <v>1.2729000000000001E-2</v>
      </c>
      <c r="S68" s="17">
        <v>1.2729000000000001E-2</v>
      </c>
      <c r="T68" s="17">
        <v>1.2729000000000001E-2</v>
      </c>
      <c r="U68" s="17">
        <v>1.2729000000000001E-2</v>
      </c>
      <c r="V68" s="17">
        <v>1.2729000000000001E-2</v>
      </c>
      <c r="W68" s="17">
        <v>1.2729000000000001E-2</v>
      </c>
      <c r="X68" s="17">
        <v>1.2729000000000001E-2</v>
      </c>
      <c r="Y68" s="17">
        <v>1.2729000000000001E-2</v>
      </c>
      <c r="Z68" s="17" t="s">
        <v>161</v>
      </c>
    </row>
    <row r="69" spans="1:29" s="17" customFormat="1" x14ac:dyDescent="0.3">
      <c r="A69" s="17" t="s">
        <v>114</v>
      </c>
      <c r="B69" s="24" t="s">
        <v>64</v>
      </c>
      <c r="C69" s="17" t="s">
        <v>132</v>
      </c>
      <c r="D69" s="17" t="s">
        <v>166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 t="s">
        <v>161</v>
      </c>
    </row>
    <row r="70" spans="1:29" s="17" customFormat="1" x14ac:dyDescent="0.3">
      <c r="A70" s="17" t="s">
        <v>114</v>
      </c>
      <c r="B70" s="24" t="s">
        <v>64</v>
      </c>
      <c r="C70" s="17" t="s">
        <v>134</v>
      </c>
      <c r="D70" s="17" t="s">
        <v>135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 t="s">
        <v>161</v>
      </c>
    </row>
    <row r="71" spans="1:29" s="17" customFormat="1" x14ac:dyDescent="0.3">
      <c r="A71" s="17" t="s">
        <v>114</v>
      </c>
      <c r="B71" s="24" t="s">
        <v>64</v>
      </c>
      <c r="C71" s="17" t="s">
        <v>134</v>
      </c>
      <c r="D71" s="17" t="s">
        <v>136</v>
      </c>
      <c r="E71" s="17">
        <v>0.359823</v>
      </c>
      <c r="F71" s="17">
        <v>0.26042300000000002</v>
      </c>
      <c r="G71" s="17">
        <v>0.208065</v>
      </c>
      <c r="H71" s="17">
        <v>0.175646</v>
      </c>
      <c r="I71" s="17">
        <v>0.175646</v>
      </c>
      <c r="J71" s="17">
        <v>0.175646</v>
      </c>
      <c r="K71" s="17">
        <v>0.175646</v>
      </c>
      <c r="L71" s="17">
        <v>0.175646</v>
      </c>
      <c r="M71" s="17">
        <v>0.175646</v>
      </c>
      <c r="N71" s="17">
        <v>0.175646</v>
      </c>
      <c r="O71" s="17">
        <v>0.175646</v>
      </c>
      <c r="P71" s="17">
        <v>0.175646</v>
      </c>
      <c r="Q71" s="17">
        <v>0.175646</v>
      </c>
      <c r="R71" s="17">
        <v>0.175646</v>
      </c>
      <c r="S71" s="17">
        <v>0.175646</v>
      </c>
      <c r="T71" s="17">
        <v>0.175646</v>
      </c>
      <c r="U71" s="17">
        <v>0.175646</v>
      </c>
      <c r="V71" s="17">
        <v>0.175646</v>
      </c>
      <c r="W71" s="17">
        <v>0.175646</v>
      </c>
      <c r="X71" s="17">
        <v>0.175646</v>
      </c>
      <c r="Y71" s="17">
        <v>0.175646</v>
      </c>
      <c r="Z71" s="17" t="s">
        <v>161</v>
      </c>
    </row>
    <row r="72" spans="1:29" s="17" customFormat="1" x14ac:dyDescent="0.3">
      <c r="A72" s="17" t="s">
        <v>114</v>
      </c>
      <c r="B72" s="24" t="s">
        <v>64</v>
      </c>
      <c r="C72" s="17" t="s">
        <v>118</v>
      </c>
      <c r="D72" s="17" t="s">
        <v>137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 t="s">
        <v>161</v>
      </c>
    </row>
    <row r="73" spans="1:29" s="17" customFormat="1" x14ac:dyDescent="0.3">
      <c r="A73" s="17" t="s">
        <v>114</v>
      </c>
      <c r="B73" s="24" t="s">
        <v>65</v>
      </c>
      <c r="C73" s="17" t="s">
        <v>115</v>
      </c>
      <c r="D73" s="17" t="s">
        <v>120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 t="s">
        <v>161</v>
      </c>
    </row>
    <row r="74" spans="1:29" s="17" customFormat="1" x14ac:dyDescent="0.3">
      <c r="A74" s="17" t="s">
        <v>114</v>
      </c>
      <c r="B74" s="24" t="s">
        <v>65</v>
      </c>
      <c r="C74" s="17" t="s">
        <v>116</v>
      </c>
      <c r="D74" s="17" t="s">
        <v>121</v>
      </c>
      <c r="E74" s="22">
        <v>4.7439200000000002E-4</v>
      </c>
      <c r="F74" s="22">
        <v>4.8746199999999998E-4</v>
      </c>
      <c r="G74" s="22">
        <v>9.3373000000000002E-4</v>
      </c>
      <c r="H74" s="22">
        <v>8.18087E-4</v>
      </c>
      <c r="I74" s="22">
        <v>8.18087E-4</v>
      </c>
      <c r="J74" s="22">
        <v>8.18087E-4</v>
      </c>
      <c r="K74" s="22">
        <v>8.18087E-4</v>
      </c>
      <c r="L74" s="22">
        <v>8.18087E-4</v>
      </c>
      <c r="M74" s="22">
        <v>8.18087E-4</v>
      </c>
      <c r="N74" s="22">
        <v>8.18087E-4</v>
      </c>
      <c r="O74" s="22">
        <v>8.18087E-4</v>
      </c>
      <c r="P74" s="22">
        <v>8.18087E-4</v>
      </c>
      <c r="Q74" s="22">
        <v>8.18087E-4</v>
      </c>
      <c r="R74" s="22">
        <v>8.18087E-4</v>
      </c>
      <c r="S74" s="22">
        <v>8.18087E-4</v>
      </c>
      <c r="T74" s="22">
        <v>8.18087E-4</v>
      </c>
      <c r="U74" s="22">
        <v>8.18087E-4</v>
      </c>
      <c r="V74" s="22">
        <v>8.18087E-4</v>
      </c>
      <c r="W74" s="22">
        <v>8.18087E-4</v>
      </c>
      <c r="X74" s="22">
        <v>8.18087E-4</v>
      </c>
      <c r="Y74" s="22">
        <v>8.18087E-4</v>
      </c>
      <c r="Z74" s="17" t="s">
        <v>161</v>
      </c>
    </row>
    <row r="75" spans="1:29" s="17" customFormat="1" x14ac:dyDescent="0.3">
      <c r="A75" s="17" t="s">
        <v>114</v>
      </c>
      <c r="B75" s="24" t="s">
        <v>65</v>
      </c>
      <c r="C75" s="17" t="s">
        <v>116</v>
      </c>
      <c r="D75" s="17" t="s">
        <v>122</v>
      </c>
      <c r="E75" s="17">
        <v>1.54354E-2</v>
      </c>
      <c r="F75" s="17">
        <v>1.49341E-2</v>
      </c>
      <c r="G75" s="17">
        <v>1.4138100000000001E-2</v>
      </c>
      <c r="H75" s="17">
        <v>1.46433E-2</v>
      </c>
      <c r="I75" s="17">
        <v>1.46433E-2</v>
      </c>
      <c r="J75" s="17">
        <v>1.46433E-2</v>
      </c>
      <c r="K75" s="17">
        <v>1.46433E-2</v>
      </c>
      <c r="L75" s="17">
        <v>1.46433E-2</v>
      </c>
      <c r="M75" s="17">
        <v>1.46433E-2</v>
      </c>
      <c r="N75" s="17">
        <v>1.46433E-2</v>
      </c>
      <c r="O75" s="17">
        <v>1.46433E-2</v>
      </c>
      <c r="P75" s="17">
        <v>1.46433E-2</v>
      </c>
      <c r="Q75" s="17">
        <v>1.46433E-2</v>
      </c>
      <c r="R75" s="17">
        <v>1.46433E-2</v>
      </c>
      <c r="S75" s="17">
        <v>1.46433E-2</v>
      </c>
      <c r="T75" s="17">
        <v>1.46433E-2</v>
      </c>
      <c r="U75" s="17">
        <v>1.46433E-2</v>
      </c>
      <c r="V75" s="17">
        <v>1.46433E-2</v>
      </c>
      <c r="W75" s="17">
        <v>1.46433E-2</v>
      </c>
      <c r="X75" s="17">
        <v>1.46433E-2</v>
      </c>
      <c r="Y75" s="17">
        <v>1.46433E-2</v>
      </c>
      <c r="Z75" s="17" t="s">
        <v>161</v>
      </c>
    </row>
    <row r="76" spans="1:29" s="17" customFormat="1" x14ac:dyDescent="0.3">
      <c r="A76" s="17" t="s">
        <v>114</v>
      </c>
      <c r="B76" s="24" t="s">
        <v>65</v>
      </c>
      <c r="C76" s="17" t="s">
        <v>116</v>
      </c>
      <c r="D76" s="17" t="s">
        <v>162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 t="s">
        <v>161</v>
      </c>
    </row>
    <row r="77" spans="1:29" s="17" customFormat="1" x14ac:dyDescent="0.3">
      <c r="A77" s="17" t="s">
        <v>114</v>
      </c>
      <c r="B77" s="24" t="s">
        <v>65</v>
      </c>
      <c r="C77" s="17" t="s">
        <v>123</v>
      </c>
      <c r="D77" s="17" t="s">
        <v>124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 t="s">
        <v>161</v>
      </c>
    </row>
    <row r="78" spans="1:29" s="17" customFormat="1" x14ac:dyDescent="0.3">
      <c r="A78" s="17" t="s">
        <v>114</v>
      </c>
      <c r="B78" s="24" t="s">
        <v>65</v>
      </c>
      <c r="C78" s="17" t="s">
        <v>123</v>
      </c>
      <c r="D78" s="17" t="s">
        <v>125</v>
      </c>
      <c r="E78" s="17">
        <v>0.423821</v>
      </c>
      <c r="F78" s="17">
        <v>0.42169499999999999</v>
      </c>
      <c r="G78" s="17">
        <v>0.40509299999999998</v>
      </c>
      <c r="H78" s="17">
        <v>0.40347699999999997</v>
      </c>
      <c r="I78" s="17">
        <v>0.40347699999999997</v>
      </c>
      <c r="J78" s="17">
        <v>0.40347699999999997</v>
      </c>
      <c r="K78" s="17">
        <v>0.40347699999999997</v>
      </c>
      <c r="L78" s="17">
        <v>0.40347699999999997</v>
      </c>
      <c r="M78" s="17">
        <v>0.40347699999999997</v>
      </c>
      <c r="N78" s="17">
        <v>0.40347699999999997</v>
      </c>
      <c r="O78" s="17">
        <v>0.40347699999999997</v>
      </c>
      <c r="P78" s="17">
        <v>0.40347699999999997</v>
      </c>
      <c r="Q78" s="17">
        <v>0.40347699999999997</v>
      </c>
      <c r="R78" s="17">
        <v>0.40347699999999997</v>
      </c>
      <c r="S78" s="17">
        <v>0.40347699999999997</v>
      </c>
      <c r="T78" s="17">
        <v>0.40347699999999997</v>
      </c>
      <c r="U78" s="17">
        <v>0.40347699999999997</v>
      </c>
      <c r="V78" s="17">
        <v>0.40347699999999997</v>
      </c>
      <c r="W78" s="17">
        <v>0.40347699999999997</v>
      </c>
      <c r="X78" s="17">
        <v>0.40347699999999997</v>
      </c>
      <c r="Y78" s="17">
        <v>0.40347699999999997</v>
      </c>
      <c r="Z78" s="17" t="s">
        <v>161</v>
      </c>
    </row>
    <row r="79" spans="1:29" s="17" customFormat="1" x14ac:dyDescent="0.3">
      <c r="A79" s="17" t="s">
        <v>114</v>
      </c>
      <c r="B79" s="24" t="s">
        <v>65</v>
      </c>
      <c r="C79" s="17" t="s">
        <v>123</v>
      </c>
      <c r="D79" s="17" t="s">
        <v>126</v>
      </c>
      <c r="E79" s="17">
        <v>0.35778700000000002</v>
      </c>
      <c r="F79" s="17">
        <v>0.35619699999999999</v>
      </c>
      <c r="G79" s="17">
        <v>0.34202900000000003</v>
      </c>
      <c r="H79" s="17">
        <v>0.33907500000000002</v>
      </c>
      <c r="I79" s="17">
        <v>0.33907500000000002</v>
      </c>
      <c r="J79" s="17">
        <v>0.33907500000000002</v>
      </c>
      <c r="K79" s="17">
        <v>0.33907500000000002</v>
      </c>
      <c r="L79" s="17">
        <v>0.33907500000000002</v>
      </c>
      <c r="M79" s="17">
        <v>0.33907500000000002</v>
      </c>
      <c r="N79" s="17">
        <v>0.33907500000000002</v>
      </c>
      <c r="O79" s="17">
        <v>0.33907500000000002</v>
      </c>
      <c r="P79" s="17">
        <v>0.33907500000000002</v>
      </c>
      <c r="Q79" s="17">
        <v>0.33907500000000002</v>
      </c>
      <c r="R79" s="17">
        <v>0.33907500000000002</v>
      </c>
      <c r="S79" s="17">
        <v>0.33907500000000002</v>
      </c>
      <c r="T79" s="17">
        <v>0.33907500000000002</v>
      </c>
      <c r="U79" s="17">
        <v>0.33907500000000002</v>
      </c>
      <c r="V79" s="17">
        <v>0.33907500000000002</v>
      </c>
      <c r="W79" s="17">
        <v>0.33907500000000002</v>
      </c>
      <c r="X79" s="17">
        <v>0.33907500000000002</v>
      </c>
      <c r="Y79" s="17">
        <v>0.33907500000000002</v>
      </c>
      <c r="Z79" s="17" t="s">
        <v>161</v>
      </c>
    </row>
    <row r="80" spans="1:29" s="17" customFormat="1" x14ac:dyDescent="0.3">
      <c r="A80" s="17" t="s">
        <v>114</v>
      </c>
      <c r="B80" s="24" t="s">
        <v>65</v>
      </c>
      <c r="C80" s="17" t="s">
        <v>117</v>
      </c>
      <c r="D80" s="17" t="s">
        <v>163</v>
      </c>
      <c r="E80" s="17">
        <v>2.1260299999999999E-2</v>
      </c>
      <c r="F80" s="17">
        <v>2.3236E-2</v>
      </c>
      <c r="G80" s="17">
        <v>2.3265500000000001E-2</v>
      </c>
      <c r="H80" s="17">
        <v>2.39487E-2</v>
      </c>
      <c r="I80" s="17">
        <v>2.39487E-2</v>
      </c>
      <c r="J80" s="17">
        <v>2.39487E-2</v>
      </c>
      <c r="K80" s="17">
        <v>2.39487E-2</v>
      </c>
      <c r="L80" s="17">
        <v>2.39487E-2</v>
      </c>
      <c r="M80" s="17">
        <v>2.39487E-2</v>
      </c>
      <c r="N80" s="17">
        <v>2.39487E-2</v>
      </c>
      <c r="O80" s="17">
        <v>2.39487E-2</v>
      </c>
      <c r="P80" s="17">
        <v>2.39487E-2</v>
      </c>
      <c r="Q80" s="17">
        <v>2.39487E-2</v>
      </c>
      <c r="R80" s="17">
        <v>2.39487E-2</v>
      </c>
      <c r="S80" s="17">
        <v>2.39487E-2</v>
      </c>
      <c r="T80" s="17">
        <v>2.39487E-2</v>
      </c>
      <c r="U80" s="17">
        <v>2.39487E-2</v>
      </c>
      <c r="V80" s="17">
        <v>2.39487E-2</v>
      </c>
      <c r="W80" s="17">
        <v>2.39487E-2</v>
      </c>
      <c r="X80" s="17">
        <v>2.39487E-2</v>
      </c>
      <c r="Y80" s="17">
        <v>2.39487E-2</v>
      </c>
      <c r="Z80" s="17" t="s">
        <v>161</v>
      </c>
    </row>
    <row r="81" spans="1:26" s="17" customFormat="1" x14ac:dyDescent="0.3">
      <c r="A81" s="17" t="s">
        <v>114</v>
      </c>
      <c r="B81" s="24" t="s">
        <v>65</v>
      </c>
      <c r="C81" s="17" t="s">
        <v>117</v>
      </c>
      <c r="D81" s="17" t="s">
        <v>127</v>
      </c>
      <c r="E81" s="17">
        <v>5.0770099999999999E-3</v>
      </c>
      <c r="F81" s="17">
        <v>6.2876900000000003E-3</v>
      </c>
      <c r="G81" s="17">
        <v>7.5431500000000002E-3</v>
      </c>
      <c r="H81" s="17">
        <v>8.0730999999999997E-3</v>
      </c>
      <c r="I81" s="17">
        <v>8.0730999999999997E-3</v>
      </c>
      <c r="J81" s="17">
        <v>8.0730999999999997E-3</v>
      </c>
      <c r="K81" s="17">
        <v>8.0730999999999997E-3</v>
      </c>
      <c r="L81" s="17">
        <v>8.0730999999999997E-3</v>
      </c>
      <c r="M81" s="17">
        <v>8.0730999999999997E-3</v>
      </c>
      <c r="N81" s="17">
        <v>8.0730999999999997E-3</v>
      </c>
      <c r="O81" s="17">
        <v>8.0730999999999997E-3</v>
      </c>
      <c r="P81" s="17">
        <v>8.0730999999999997E-3</v>
      </c>
      <c r="Q81" s="17">
        <v>8.0730999999999997E-3</v>
      </c>
      <c r="R81" s="17">
        <v>8.0730999999999997E-3</v>
      </c>
      <c r="S81" s="17">
        <v>8.0730999999999997E-3</v>
      </c>
      <c r="T81" s="17">
        <v>8.0730999999999997E-3</v>
      </c>
      <c r="U81" s="17">
        <v>8.0730999999999997E-3</v>
      </c>
      <c r="V81" s="17">
        <v>8.0730999999999997E-3</v>
      </c>
      <c r="W81" s="17">
        <v>8.0730999999999997E-3</v>
      </c>
      <c r="X81" s="17">
        <v>8.0730999999999997E-3</v>
      </c>
      <c r="Y81" s="17">
        <v>8.0730999999999997E-3</v>
      </c>
      <c r="Z81" s="17" t="s">
        <v>161</v>
      </c>
    </row>
    <row r="82" spans="1:26" s="17" customFormat="1" x14ac:dyDescent="0.3">
      <c r="A82" s="17" t="s">
        <v>114</v>
      </c>
      <c r="B82" s="24" t="s">
        <v>65</v>
      </c>
      <c r="C82" s="17" t="s">
        <v>117</v>
      </c>
      <c r="D82" s="17" t="s">
        <v>128</v>
      </c>
      <c r="E82" s="17">
        <v>3.1317300000000001E-3</v>
      </c>
      <c r="F82" s="17">
        <v>2.5906100000000001E-3</v>
      </c>
      <c r="G82" s="17">
        <v>2.3641000000000001E-3</v>
      </c>
      <c r="H82" s="17">
        <v>2.4110999999999998E-3</v>
      </c>
      <c r="I82" s="17">
        <v>2.3281E-3</v>
      </c>
      <c r="J82" s="17">
        <v>2.2450899999999999E-3</v>
      </c>
      <c r="K82" s="17">
        <v>2.1620799999999998E-3</v>
      </c>
      <c r="L82" s="17">
        <v>2.0790800000000001E-3</v>
      </c>
      <c r="M82" s="17">
        <v>1.99607E-3</v>
      </c>
      <c r="N82" s="17">
        <v>1.91307E-3</v>
      </c>
      <c r="O82" s="17">
        <v>1.8300600000000001E-3</v>
      </c>
      <c r="P82" s="17">
        <v>1.74705E-3</v>
      </c>
      <c r="Q82" s="17">
        <v>1.66405E-3</v>
      </c>
      <c r="R82" s="17">
        <v>1.5810399999999999E-3</v>
      </c>
      <c r="S82" s="17">
        <v>1.49804E-3</v>
      </c>
      <c r="T82" s="17">
        <v>1.4150300000000001E-3</v>
      </c>
      <c r="U82" s="17">
        <v>1.3320199999999999E-3</v>
      </c>
      <c r="V82" s="17">
        <v>1.24902E-3</v>
      </c>
      <c r="W82" s="17">
        <v>1.1660100000000001E-3</v>
      </c>
      <c r="X82" s="17">
        <v>1.0830099999999999E-3</v>
      </c>
      <c r="Y82" s="17">
        <v>1E-3</v>
      </c>
      <c r="Z82" s="17" t="s">
        <v>161</v>
      </c>
    </row>
    <row r="83" spans="1:26" s="17" customFormat="1" x14ac:dyDescent="0.3">
      <c r="A83" s="17" t="s">
        <v>114</v>
      </c>
      <c r="B83" s="24" t="s">
        <v>65</v>
      </c>
      <c r="C83" s="17" t="s">
        <v>117</v>
      </c>
      <c r="D83" s="17" t="s">
        <v>129</v>
      </c>
      <c r="E83" s="17">
        <v>5.5995400000000001E-2</v>
      </c>
      <c r="F83" s="17">
        <v>5.3605899999999998E-2</v>
      </c>
      <c r="G83" s="17">
        <v>4.9826000000000002E-2</v>
      </c>
      <c r="H83" s="17">
        <v>5.0994900000000003E-2</v>
      </c>
      <c r="I83" s="17">
        <v>5.0994900000000003E-2</v>
      </c>
      <c r="J83" s="17">
        <v>5.0994900000000003E-2</v>
      </c>
      <c r="K83" s="17">
        <v>5.0994900000000003E-2</v>
      </c>
      <c r="L83" s="17">
        <v>5.0994900000000003E-2</v>
      </c>
      <c r="M83" s="17">
        <v>5.0994900000000003E-2</v>
      </c>
      <c r="N83" s="17">
        <v>5.0994900000000003E-2</v>
      </c>
      <c r="O83" s="17">
        <v>5.0994900000000003E-2</v>
      </c>
      <c r="P83" s="17">
        <v>5.0994900000000003E-2</v>
      </c>
      <c r="Q83" s="17">
        <v>5.0994900000000003E-2</v>
      </c>
      <c r="R83" s="17">
        <v>5.0994900000000003E-2</v>
      </c>
      <c r="S83" s="17">
        <v>5.0994900000000003E-2</v>
      </c>
      <c r="T83" s="17">
        <v>5.0994900000000003E-2</v>
      </c>
      <c r="U83" s="17">
        <v>5.0994900000000003E-2</v>
      </c>
      <c r="V83" s="17">
        <v>5.0994900000000003E-2</v>
      </c>
      <c r="W83" s="17">
        <v>5.0994900000000003E-2</v>
      </c>
      <c r="X83" s="17">
        <v>5.0994900000000003E-2</v>
      </c>
      <c r="Y83" s="17">
        <v>5.0994900000000003E-2</v>
      </c>
      <c r="Z83" s="17" t="s">
        <v>161</v>
      </c>
    </row>
    <row r="84" spans="1:26" s="17" customFormat="1" x14ac:dyDescent="0.3">
      <c r="A84" s="17" t="s">
        <v>114</v>
      </c>
      <c r="B84" s="24" t="s">
        <v>65</v>
      </c>
      <c r="C84" s="17" t="s">
        <v>117</v>
      </c>
      <c r="D84" s="17" t="s">
        <v>164</v>
      </c>
      <c r="E84" s="17">
        <v>0.62284799999999996</v>
      </c>
      <c r="F84" s="17">
        <v>0.68072999999999995</v>
      </c>
      <c r="G84" s="17">
        <v>0.68160699999999996</v>
      </c>
      <c r="H84" s="17">
        <v>0.701623</v>
      </c>
      <c r="I84" s="17">
        <v>0.701623</v>
      </c>
      <c r="J84" s="17">
        <v>0.701623</v>
      </c>
      <c r="K84" s="17">
        <v>0.701623</v>
      </c>
      <c r="L84" s="17">
        <v>0.701623</v>
      </c>
      <c r="M84" s="17">
        <v>0.701623</v>
      </c>
      <c r="N84" s="17">
        <v>0.701623</v>
      </c>
      <c r="O84" s="17">
        <v>0.701623</v>
      </c>
      <c r="P84" s="17">
        <v>0.701623</v>
      </c>
      <c r="Q84" s="17">
        <v>0.701623</v>
      </c>
      <c r="R84" s="17">
        <v>0.701623</v>
      </c>
      <c r="S84" s="17">
        <v>0.701623</v>
      </c>
      <c r="T84" s="17">
        <v>0.701623</v>
      </c>
      <c r="U84" s="17">
        <v>0.701623</v>
      </c>
      <c r="V84" s="17">
        <v>0.701623</v>
      </c>
      <c r="W84" s="17">
        <v>0.701623</v>
      </c>
      <c r="X84" s="17">
        <v>0.701623</v>
      </c>
      <c r="Y84" s="17">
        <v>0.701623</v>
      </c>
      <c r="Z84" s="17" t="s">
        <v>161</v>
      </c>
    </row>
    <row r="85" spans="1:26" s="17" customFormat="1" x14ac:dyDescent="0.3">
      <c r="A85" s="17" t="s">
        <v>114</v>
      </c>
      <c r="B85" s="24" t="s">
        <v>65</v>
      </c>
      <c r="C85" s="17" t="s">
        <v>117</v>
      </c>
      <c r="D85" s="17" t="s">
        <v>162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161</v>
      </c>
    </row>
    <row r="86" spans="1:26" s="17" customFormat="1" x14ac:dyDescent="0.3">
      <c r="A86" s="17" t="s">
        <v>114</v>
      </c>
      <c r="B86" s="24" t="s">
        <v>65</v>
      </c>
      <c r="C86" s="17" t="s">
        <v>130</v>
      </c>
      <c r="D86" s="17" t="s">
        <v>131</v>
      </c>
      <c r="E86" s="17">
        <v>3.5795199999999999E-2</v>
      </c>
      <c r="F86" s="17">
        <v>4.9430200000000001E-2</v>
      </c>
      <c r="G86" s="17">
        <v>4.9579100000000001E-2</v>
      </c>
      <c r="H86" s="17">
        <v>5.3004000000000003E-2</v>
      </c>
      <c r="I86" s="17">
        <v>5.3004000000000003E-2</v>
      </c>
      <c r="J86" s="17">
        <v>5.3004000000000003E-2</v>
      </c>
      <c r="K86" s="17">
        <v>5.3004000000000003E-2</v>
      </c>
      <c r="L86" s="17">
        <v>5.3004000000000003E-2</v>
      </c>
      <c r="M86" s="17">
        <v>5.3004000000000003E-2</v>
      </c>
      <c r="N86" s="17">
        <v>5.3004000000000003E-2</v>
      </c>
      <c r="O86" s="17">
        <v>5.3004000000000003E-2</v>
      </c>
      <c r="P86" s="17">
        <v>5.3004000000000003E-2</v>
      </c>
      <c r="Q86" s="17">
        <v>5.3004000000000003E-2</v>
      </c>
      <c r="R86" s="17">
        <v>5.3004000000000003E-2</v>
      </c>
      <c r="S86" s="17">
        <v>5.3004000000000003E-2</v>
      </c>
      <c r="T86" s="17">
        <v>5.3004000000000003E-2</v>
      </c>
      <c r="U86" s="17">
        <v>5.3004000000000003E-2</v>
      </c>
      <c r="V86" s="17">
        <v>5.3004000000000003E-2</v>
      </c>
      <c r="W86" s="17">
        <v>5.3004000000000003E-2</v>
      </c>
      <c r="X86" s="17">
        <v>5.3004000000000003E-2</v>
      </c>
      <c r="Y86" s="17">
        <v>5.3004000000000003E-2</v>
      </c>
      <c r="Z86" s="17" t="s">
        <v>161</v>
      </c>
    </row>
    <row r="87" spans="1:26" s="17" customFormat="1" x14ac:dyDescent="0.3">
      <c r="A87" s="17" t="s">
        <v>114</v>
      </c>
      <c r="B87" s="24" t="s">
        <v>65</v>
      </c>
      <c r="C87" s="17" t="s">
        <v>130</v>
      </c>
      <c r="D87" s="17" t="s">
        <v>165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161</v>
      </c>
    </row>
    <row r="88" spans="1:26" s="17" customFormat="1" x14ac:dyDescent="0.3">
      <c r="A88" s="17" t="s">
        <v>114</v>
      </c>
      <c r="B88" s="24" t="s">
        <v>65</v>
      </c>
      <c r="C88" s="17" t="s">
        <v>132</v>
      </c>
      <c r="D88" s="17" t="s">
        <v>133</v>
      </c>
      <c r="E88" s="17">
        <v>1.8978999999999999E-2</v>
      </c>
      <c r="F88" s="17">
        <v>1.9852999999999999E-2</v>
      </c>
      <c r="G88" s="17">
        <v>1.9424E-2</v>
      </c>
      <c r="H88" s="17">
        <v>1.95251E-2</v>
      </c>
      <c r="I88" s="17">
        <v>1.95251E-2</v>
      </c>
      <c r="J88" s="17">
        <v>1.95251E-2</v>
      </c>
      <c r="K88" s="17">
        <v>1.95251E-2</v>
      </c>
      <c r="L88" s="17">
        <v>1.95251E-2</v>
      </c>
      <c r="M88" s="17">
        <v>1.95251E-2</v>
      </c>
      <c r="N88" s="17">
        <v>1.95251E-2</v>
      </c>
      <c r="O88" s="17">
        <v>1.95251E-2</v>
      </c>
      <c r="P88" s="17">
        <v>1.95251E-2</v>
      </c>
      <c r="Q88" s="17">
        <v>1.95251E-2</v>
      </c>
      <c r="R88" s="17">
        <v>1.95251E-2</v>
      </c>
      <c r="S88" s="17">
        <v>1.95251E-2</v>
      </c>
      <c r="T88" s="17">
        <v>1.95251E-2</v>
      </c>
      <c r="U88" s="17">
        <v>1.95251E-2</v>
      </c>
      <c r="V88" s="17">
        <v>1.95251E-2</v>
      </c>
      <c r="W88" s="17">
        <v>1.95251E-2</v>
      </c>
      <c r="X88" s="17">
        <v>1.95251E-2</v>
      </c>
      <c r="Y88" s="17">
        <v>1.95251E-2</v>
      </c>
      <c r="Z88" s="17" t="s">
        <v>161</v>
      </c>
    </row>
    <row r="89" spans="1:26" s="17" customFormat="1" x14ac:dyDescent="0.3">
      <c r="A89" s="17" t="s">
        <v>114</v>
      </c>
      <c r="B89" s="24" t="s">
        <v>65</v>
      </c>
      <c r="C89" s="17" t="s">
        <v>132</v>
      </c>
      <c r="D89" s="17" t="s">
        <v>166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161</v>
      </c>
    </row>
    <row r="90" spans="1:26" s="17" customFormat="1" x14ac:dyDescent="0.3">
      <c r="A90" s="17" t="s">
        <v>114</v>
      </c>
      <c r="B90" s="24" t="s">
        <v>65</v>
      </c>
      <c r="C90" s="17" t="s">
        <v>134</v>
      </c>
      <c r="D90" s="17" t="s">
        <v>135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161</v>
      </c>
    </row>
    <row r="91" spans="1:26" s="17" customFormat="1" x14ac:dyDescent="0.3">
      <c r="A91" s="17" t="s">
        <v>114</v>
      </c>
      <c r="B91" s="24" t="s">
        <v>65</v>
      </c>
      <c r="C91" s="17" t="s">
        <v>134</v>
      </c>
      <c r="D91" s="17" t="s">
        <v>136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161</v>
      </c>
    </row>
    <row r="92" spans="1:26" s="17" customFormat="1" x14ac:dyDescent="0.3">
      <c r="A92" s="17" t="s">
        <v>114</v>
      </c>
      <c r="B92" s="24" t="s">
        <v>65</v>
      </c>
      <c r="C92" s="17" t="s">
        <v>118</v>
      </c>
      <c r="D92" s="17" t="s">
        <v>137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161</v>
      </c>
    </row>
    <row r="93" spans="1:26" hidden="1" x14ac:dyDescent="0.3"/>
    <row r="94" spans="1:26" hidden="1" x14ac:dyDescent="0.3"/>
    <row r="95" spans="1:26" s="5" customFormat="1" x14ac:dyDescent="0.3">
      <c r="A95" s="5" t="s">
        <v>142</v>
      </c>
    </row>
    <row r="96" spans="1:26" x14ac:dyDescent="0.3">
      <c r="A96" t="s">
        <v>119</v>
      </c>
      <c r="B96" t="s">
        <v>102</v>
      </c>
      <c r="C96">
        <v>2015</v>
      </c>
      <c r="D96">
        <v>2020</v>
      </c>
      <c r="E96">
        <v>2050</v>
      </c>
      <c r="F96" t="s">
        <v>148</v>
      </c>
      <c r="G96" t="s">
        <v>111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143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149</v>
      </c>
    </row>
    <row r="98" spans="1:16" hidden="1" x14ac:dyDescent="0.3">
      <c r="A98" t="s">
        <v>143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149</v>
      </c>
      <c r="J98" s="8"/>
      <c r="K98" s="8"/>
    </row>
    <row r="99" spans="1:16" hidden="1" x14ac:dyDescent="0.3">
      <c r="A99" t="s">
        <v>143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149</v>
      </c>
    </row>
    <row r="100" spans="1:16" hidden="1" x14ac:dyDescent="0.3">
      <c r="A100" t="s">
        <v>143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149</v>
      </c>
    </row>
    <row r="101" spans="1:16" hidden="1" x14ac:dyDescent="0.3">
      <c r="A101" t="s">
        <v>143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149</v>
      </c>
      <c r="M101" s="8"/>
      <c r="N101" s="8"/>
      <c r="O101" s="8"/>
      <c r="P101" s="8"/>
    </row>
    <row r="102" spans="1:16" hidden="1" x14ac:dyDescent="0.3">
      <c r="A102" t="s">
        <v>143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149</v>
      </c>
      <c r="M102" s="8"/>
      <c r="N102" s="8"/>
      <c r="O102" s="8"/>
      <c r="P102" s="8"/>
    </row>
    <row r="103" spans="1:16" hidden="1" x14ac:dyDescent="0.3">
      <c r="A103" t="s">
        <v>143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149</v>
      </c>
    </row>
    <row r="104" spans="1:16" hidden="1" x14ac:dyDescent="0.3">
      <c r="A104" t="s">
        <v>143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149</v>
      </c>
      <c r="M104" s="8"/>
      <c r="N104" s="8"/>
      <c r="O104" s="8"/>
      <c r="P104" s="8"/>
    </row>
    <row r="105" spans="1:16" hidden="1" x14ac:dyDescent="0.3">
      <c r="A105" t="s">
        <v>143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149</v>
      </c>
      <c r="M105" s="8"/>
      <c r="N105" s="8"/>
      <c r="O105" s="8"/>
      <c r="P105" s="8"/>
    </row>
    <row r="106" spans="1:16" hidden="1" x14ac:dyDescent="0.3">
      <c r="A106" t="s">
        <v>143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149</v>
      </c>
    </row>
    <row r="107" spans="1:16" hidden="1" x14ac:dyDescent="0.3">
      <c r="A107" t="s">
        <v>143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149</v>
      </c>
      <c r="M107" s="8"/>
      <c r="N107" s="8"/>
      <c r="O107" s="8"/>
    </row>
    <row r="108" spans="1:16" hidden="1" x14ac:dyDescent="0.3">
      <c r="A108" t="s">
        <v>143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149</v>
      </c>
    </row>
    <row r="109" spans="1:16" hidden="1" x14ac:dyDescent="0.3">
      <c r="A109" t="s">
        <v>143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149</v>
      </c>
    </row>
    <row r="110" spans="1:16" hidden="1" x14ac:dyDescent="0.3">
      <c r="A110" t="s">
        <v>143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149</v>
      </c>
      <c r="M110" s="8"/>
      <c r="N110" s="8"/>
    </row>
    <row r="111" spans="1:16" hidden="1" x14ac:dyDescent="0.3">
      <c r="A111" t="s">
        <v>143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149</v>
      </c>
    </row>
    <row r="112" spans="1:16" hidden="1" x14ac:dyDescent="0.3">
      <c r="A112" t="s">
        <v>143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149</v>
      </c>
    </row>
    <row r="113" spans="1:15" hidden="1" x14ac:dyDescent="0.3">
      <c r="A113" t="s">
        <v>143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149</v>
      </c>
    </row>
    <row r="114" spans="1:15" hidden="1" x14ac:dyDescent="0.3">
      <c r="A114" t="s">
        <v>143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149</v>
      </c>
      <c r="K114" s="8"/>
      <c r="L114" s="8"/>
      <c r="M114" s="8"/>
      <c r="N114" s="8"/>
    </row>
    <row r="115" spans="1:15" hidden="1" x14ac:dyDescent="0.3">
      <c r="A115" t="s">
        <v>143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149</v>
      </c>
      <c r="K115" s="8"/>
      <c r="L115" s="8"/>
    </row>
    <row r="116" spans="1:15" hidden="1" x14ac:dyDescent="0.3">
      <c r="A116" t="s">
        <v>143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149</v>
      </c>
      <c r="K116" s="8"/>
      <c r="L116" s="8"/>
    </row>
    <row r="117" spans="1:15" hidden="1" x14ac:dyDescent="0.3">
      <c r="A117" t="s">
        <v>143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149</v>
      </c>
      <c r="K117" s="8"/>
      <c r="L117" s="8"/>
      <c r="M117" s="8"/>
      <c r="N117" s="8"/>
      <c r="O117" s="8"/>
    </row>
    <row r="118" spans="1:15" hidden="1" x14ac:dyDescent="0.3">
      <c r="A118" t="s">
        <v>143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149</v>
      </c>
      <c r="K118" s="8"/>
    </row>
    <row r="119" spans="1:15" hidden="1" x14ac:dyDescent="0.3">
      <c r="A119" t="s">
        <v>143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149</v>
      </c>
      <c r="K119" s="8"/>
      <c r="L119" s="8"/>
    </row>
    <row r="120" spans="1:15" hidden="1" x14ac:dyDescent="0.3">
      <c r="A120" t="s">
        <v>143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149</v>
      </c>
    </row>
    <row r="121" spans="1:15" hidden="1" x14ac:dyDescent="0.3">
      <c r="A121" t="s">
        <v>143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149</v>
      </c>
    </row>
    <row r="122" spans="1:15" hidden="1" x14ac:dyDescent="0.3">
      <c r="A122" t="s">
        <v>143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149</v>
      </c>
    </row>
    <row r="123" spans="1:15" hidden="1" x14ac:dyDescent="0.3">
      <c r="A123" t="s">
        <v>143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149</v>
      </c>
      <c r="M123" s="8"/>
    </row>
    <row r="124" spans="1:15" hidden="1" x14ac:dyDescent="0.3">
      <c r="A124" t="s">
        <v>143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149</v>
      </c>
    </row>
    <row r="125" spans="1:15" hidden="1" x14ac:dyDescent="0.3">
      <c r="A125" t="s">
        <v>144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149</v>
      </c>
    </row>
    <row r="126" spans="1:15" hidden="1" x14ac:dyDescent="0.3">
      <c r="A126" t="s">
        <v>144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149</v>
      </c>
    </row>
    <row r="127" spans="1:15" hidden="1" x14ac:dyDescent="0.3">
      <c r="A127" t="s">
        <v>144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149</v>
      </c>
    </row>
    <row r="128" spans="1:15" hidden="1" x14ac:dyDescent="0.3">
      <c r="A128" t="s">
        <v>144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149</v>
      </c>
    </row>
    <row r="129" spans="1:16" hidden="1" x14ac:dyDescent="0.3">
      <c r="A129" t="s">
        <v>144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149</v>
      </c>
    </row>
    <row r="130" spans="1:16" hidden="1" x14ac:dyDescent="0.3">
      <c r="A130" t="s">
        <v>144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149</v>
      </c>
    </row>
    <row r="131" spans="1:16" hidden="1" x14ac:dyDescent="0.3">
      <c r="A131" t="s">
        <v>144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149</v>
      </c>
    </row>
    <row r="132" spans="1:16" hidden="1" x14ac:dyDescent="0.3">
      <c r="A132" t="s">
        <v>144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149</v>
      </c>
    </row>
    <row r="133" spans="1:16" hidden="1" x14ac:dyDescent="0.3">
      <c r="A133" t="s">
        <v>144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149</v>
      </c>
    </row>
    <row r="134" spans="1:16" hidden="1" x14ac:dyDescent="0.3">
      <c r="A134" t="s">
        <v>144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149</v>
      </c>
    </row>
    <row r="135" spans="1:16" hidden="1" x14ac:dyDescent="0.3">
      <c r="A135" t="s">
        <v>144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149</v>
      </c>
    </row>
    <row r="136" spans="1:16" hidden="1" x14ac:dyDescent="0.3">
      <c r="A136" t="s">
        <v>144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149</v>
      </c>
    </row>
    <row r="137" spans="1:16" hidden="1" x14ac:dyDescent="0.3">
      <c r="A137" t="s">
        <v>144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149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144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149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144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149</v>
      </c>
    </row>
    <row r="140" spans="1:16" hidden="1" x14ac:dyDescent="0.3">
      <c r="A140" t="s">
        <v>144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149</v>
      </c>
    </row>
    <row r="141" spans="1:16" hidden="1" x14ac:dyDescent="0.3">
      <c r="A141" t="s">
        <v>144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149</v>
      </c>
    </row>
    <row r="142" spans="1:16" hidden="1" x14ac:dyDescent="0.3">
      <c r="A142" t="s">
        <v>144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149</v>
      </c>
    </row>
    <row r="143" spans="1:16" hidden="1" x14ac:dyDescent="0.3">
      <c r="A143" t="s">
        <v>144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149</v>
      </c>
      <c r="M143" s="8"/>
      <c r="N143" s="8"/>
    </row>
    <row r="144" spans="1:16" hidden="1" x14ac:dyDescent="0.3">
      <c r="A144" t="s">
        <v>144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149</v>
      </c>
      <c r="M144" s="8"/>
      <c r="N144" s="8"/>
      <c r="O144" s="8"/>
      <c r="P144" s="8"/>
    </row>
    <row r="145" spans="1:7" hidden="1" x14ac:dyDescent="0.3">
      <c r="A145" t="s">
        <v>144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149</v>
      </c>
    </row>
    <row r="146" spans="1:7" hidden="1" x14ac:dyDescent="0.3">
      <c r="A146" t="s">
        <v>144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149</v>
      </c>
    </row>
    <row r="147" spans="1:7" hidden="1" x14ac:dyDescent="0.3">
      <c r="A147" t="s">
        <v>144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149</v>
      </c>
    </row>
    <row r="148" spans="1:7" hidden="1" x14ac:dyDescent="0.3">
      <c r="A148" t="s">
        <v>144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149</v>
      </c>
    </row>
    <row r="149" spans="1:7" hidden="1" x14ac:dyDescent="0.3">
      <c r="A149" t="s">
        <v>144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149</v>
      </c>
    </row>
    <row r="150" spans="1:7" hidden="1" x14ac:dyDescent="0.3">
      <c r="A150" t="s">
        <v>144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149</v>
      </c>
    </row>
    <row r="151" spans="1:7" hidden="1" x14ac:dyDescent="0.3">
      <c r="A151" t="s">
        <v>144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149</v>
      </c>
    </row>
    <row r="152" spans="1:7" hidden="1" x14ac:dyDescent="0.3">
      <c r="A152" t="s">
        <v>144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149</v>
      </c>
    </row>
    <row r="153" spans="1:7" hidden="1" x14ac:dyDescent="0.3">
      <c r="A153" t="s">
        <v>145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149</v>
      </c>
    </row>
    <row r="154" spans="1:7" hidden="1" x14ac:dyDescent="0.3">
      <c r="A154" t="s">
        <v>145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149</v>
      </c>
    </row>
    <row r="155" spans="1:7" hidden="1" x14ac:dyDescent="0.3">
      <c r="A155" t="s">
        <v>145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149</v>
      </c>
    </row>
    <row r="156" spans="1:7" hidden="1" x14ac:dyDescent="0.3">
      <c r="A156" t="s">
        <v>145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149</v>
      </c>
    </row>
    <row r="157" spans="1:7" hidden="1" x14ac:dyDescent="0.3">
      <c r="A157" t="s">
        <v>145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149</v>
      </c>
    </row>
    <row r="158" spans="1:7" hidden="1" x14ac:dyDescent="0.3">
      <c r="A158" t="s">
        <v>145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149</v>
      </c>
    </row>
    <row r="159" spans="1:7" hidden="1" x14ac:dyDescent="0.3">
      <c r="A159" t="s">
        <v>145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149</v>
      </c>
    </row>
    <row r="160" spans="1:7" hidden="1" x14ac:dyDescent="0.3">
      <c r="A160" t="s">
        <v>145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149</v>
      </c>
    </row>
    <row r="161" spans="1:7" hidden="1" x14ac:dyDescent="0.3">
      <c r="A161" t="s">
        <v>145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149</v>
      </c>
    </row>
    <row r="162" spans="1:7" hidden="1" x14ac:dyDescent="0.3">
      <c r="A162" t="s">
        <v>145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149</v>
      </c>
    </row>
    <row r="163" spans="1:7" hidden="1" x14ac:dyDescent="0.3">
      <c r="A163" t="s">
        <v>145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149</v>
      </c>
    </row>
    <row r="164" spans="1:7" hidden="1" x14ac:dyDescent="0.3">
      <c r="A164" t="s">
        <v>145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149</v>
      </c>
    </row>
    <row r="165" spans="1:7" hidden="1" x14ac:dyDescent="0.3">
      <c r="A165" t="s">
        <v>145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149</v>
      </c>
    </row>
    <row r="166" spans="1:7" hidden="1" x14ac:dyDescent="0.3">
      <c r="A166" t="s">
        <v>145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149</v>
      </c>
    </row>
    <row r="167" spans="1:7" hidden="1" x14ac:dyDescent="0.3">
      <c r="A167" t="s">
        <v>145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149</v>
      </c>
    </row>
    <row r="168" spans="1:7" hidden="1" x14ac:dyDescent="0.3">
      <c r="A168" t="s">
        <v>145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149</v>
      </c>
    </row>
    <row r="169" spans="1:7" hidden="1" x14ac:dyDescent="0.3">
      <c r="A169" t="s">
        <v>145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149</v>
      </c>
    </row>
    <row r="170" spans="1:7" hidden="1" x14ac:dyDescent="0.3">
      <c r="A170" t="s">
        <v>145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149</v>
      </c>
    </row>
    <row r="171" spans="1:7" hidden="1" x14ac:dyDescent="0.3">
      <c r="A171" t="s">
        <v>145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149</v>
      </c>
    </row>
    <row r="172" spans="1:7" hidden="1" x14ac:dyDescent="0.3">
      <c r="A172" t="s">
        <v>145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149</v>
      </c>
    </row>
    <row r="173" spans="1:7" hidden="1" x14ac:dyDescent="0.3">
      <c r="A173" t="s">
        <v>145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149</v>
      </c>
    </row>
    <row r="174" spans="1:7" hidden="1" x14ac:dyDescent="0.3">
      <c r="A174" t="s">
        <v>145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149</v>
      </c>
    </row>
    <row r="175" spans="1:7" hidden="1" x14ac:dyDescent="0.3">
      <c r="A175" t="s">
        <v>145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149</v>
      </c>
    </row>
    <row r="176" spans="1:7" hidden="1" x14ac:dyDescent="0.3">
      <c r="A176" t="s">
        <v>145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149</v>
      </c>
    </row>
    <row r="177" spans="1:7" hidden="1" x14ac:dyDescent="0.3">
      <c r="A177" t="s">
        <v>145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149</v>
      </c>
    </row>
    <row r="178" spans="1:7" hidden="1" x14ac:dyDescent="0.3">
      <c r="A178" t="s">
        <v>145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149</v>
      </c>
    </row>
    <row r="179" spans="1:7" hidden="1" x14ac:dyDescent="0.3">
      <c r="A179" t="s">
        <v>145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149</v>
      </c>
    </row>
    <row r="180" spans="1:7" hidden="1" x14ac:dyDescent="0.3">
      <c r="A180" t="s">
        <v>145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149</v>
      </c>
    </row>
    <row r="181" spans="1:7" hidden="1" x14ac:dyDescent="0.3">
      <c r="A181" t="s">
        <v>146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149</v>
      </c>
    </row>
    <row r="182" spans="1:7" hidden="1" x14ac:dyDescent="0.3">
      <c r="A182" t="s">
        <v>146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149</v>
      </c>
    </row>
    <row r="183" spans="1:7" hidden="1" x14ac:dyDescent="0.3">
      <c r="A183" t="s">
        <v>146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149</v>
      </c>
    </row>
    <row r="184" spans="1:7" hidden="1" x14ac:dyDescent="0.3">
      <c r="A184" t="s">
        <v>146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149</v>
      </c>
    </row>
    <row r="185" spans="1:7" hidden="1" x14ac:dyDescent="0.3">
      <c r="A185" t="s">
        <v>146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149</v>
      </c>
    </row>
    <row r="186" spans="1:7" hidden="1" x14ac:dyDescent="0.3">
      <c r="A186" t="s">
        <v>146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149</v>
      </c>
    </row>
    <row r="187" spans="1:7" hidden="1" x14ac:dyDescent="0.3">
      <c r="A187" t="s">
        <v>146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149</v>
      </c>
    </row>
    <row r="188" spans="1:7" hidden="1" x14ac:dyDescent="0.3">
      <c r="A188" t="s">
        <v>146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149</v>
      </c>
    </row>
    <row r="189" spans="1:7" hidden="1" x14ac:dyDescent="0.3">
      <c r="A189" t="s">
        <v>146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149</v>
      </c>
    </row>
    <row r="190" spans="1:7" hidden="1" x14ac:dyDescent="0.3">
      <c r="A190" t="s">
        <v>146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149</v>
      </c>
    </row>
    <row r="191" spans="1:7" hidden="1" x14ac:dyDescent="0.3">
      <c r="A191" t="s">
        <v>146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149</v>
      </c>
    </row>
    <row r="192" spans="1:7" hidden="1" x14ac:dyDescent="0.3">
      <c r="A192" t="s">
        <v>146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149</v>
      </c>
    </row>
    <row r="193" spans="1:7" hidden="1" x14ac:dyDescent="0.3">
      <c r="A193" t="s">
        <v>146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149</v>
      </c>
    </row>
    <row r="194" spans="1:7" hidden="1" x14ac:dyDescent="0.3">
      <c r="A194" t="s">
        <v>146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149</v>
      </c>
    </row>
    <row r="195" spans="1:7" hidden="1" x14ac:dyDescent="0.3">
      <c r="A195" t="s">
        <v>146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149</v>
      </c>
    </row>
    <row r="196" spans="1:7" hidden="1" x14ac:dyDescent="0.3">
      <c r="A196" t="s">
        <v>146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149</v>
      </c>
    </row>
    <row r="197" spans="1:7" hidden="1" x14ac:dyDescent="0.3">
      <c r="A197" t="s">
        <v>146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149</v>
      </c>
    </row>
    <row r="198" spans="1:7" hidden="1" x14ac:dyDescent="0.3">
      <c r="A198" t="s">
        <v>146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149</v>
      </c>
    </row>
    <row r="199" spans="1:7" hidden="1" x14ac:dyDescent="0.3">
      <c r="A199" t="s">
        <v>146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149</v>
      </c>
    </row>
    <row r="200" spans="1:7" hidden="1" x14ac:dyDescent="0.3">
      <c r="A200" t="s">
        <v>146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149</v>
      </c>
    </row>
    <row r="201" spans="1:7" hidden="1" x14ac:dyDescent="0.3">
      <c r="A201" t="s">
        <v>146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149</v>
      </c>
    </row>
    <row r="202" spans="1:7" hidden="1" x14ac:dyDescent="0.3">
      <c r="A202" t="s">
        <v>146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149</v>
      </c>
    </row>
    <row r="203" spans="1:7" hidden="1" x14ac:dyDescent="0.3">
      <c r="A203" t="s">
        <v>146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149</v>
      </c>
    </row>
    <row r="204" spans="1:7" hidden="1" x14ac:dyDescent="0.3">
      <c r="A204" t="s">
        <v>146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149</v>
      </c>
    </row>
    <row r="205" spans="1:7" hidden="1" x14ac:dyDescent="0.3">
      <c r="A205" t="s">
        <v>146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149</v>
      </c>
    </row>
    <row r="206" spans="1:7" hidden="1" x14ac:dyDescent="0.3">
      <c r="A206" t="s">
        <v>146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149</v>
      </c>
    </row>
    <row r="207" spans="1:7" hidden="1" x14ac:dyDescent="0.3">
      <c r="A207" t="s">
        <v>146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149</v>
      </c>
    </row>
    <row r="208" spans="1:7" hidden="1" x14ac:dyDescent="0.3">
      <c r="A208" t="s">
        <v>146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149</v>
      </c>
    </row>
    <row r="209" spans="1:7" hidden="1" x14ac:dyDescent="0.3">
      <c r="A209" t="s">
        <v>147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149</v>
      </c>
    </row>
    <row r="210" spans="1:7" hidden="1" x14ac:dyDescent="0.3">
      <c r="A210" t="s">
        <v>147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149</v>
      </c>
    </row>
    <row r="211" spans="1:7" hidden="1" x14ac:dyDescent="0.3">
      <c r="A211" t="s">
        <v>147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149</v>
      </c>
    </row>
    <row r="212" spans="1:7" hidden="1" x14ac:dyDescent="0.3">
      <c r="A212" t="s">
        <v>147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149</v>
      </c>
    </row>
    <row r="213" spans="1:7" hidden="1" x14ac:dyDescent="0.3">
      <c r="A213" t="s">
        <v>147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149</v>
      </c>
    </row>
    <row r="214" spans="1:7" hidden="1" x14ac:dyDescent="0.3">
      <c r="A214" t="s">
        <v>147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149</v>
      </c>
    </row>
    <row r="215" spans="1:7" hidden="1" x14ac:dyDescent="0.3">
      <c r="A215" t="s">
        <v>147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149</v>
      </c>
    </row>
    <row r="216" spans="1:7" hidden="1" x14ac:dyDescent="0.3">
      <c r="A216" t="s">
        <v>147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149</v>
      </c>
    </row>
    <row r="217" spans="1:7" hidden="1" x14ac:dyDescent="0.3">
      <c r="A217" t="s">
        <v>147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149</v>
      </c>
    </row>
    <row r="218" spans="1:7" hidden="1" x14ac:dyDescent="0.3">
      <c r="A218" t="s">
        <v>147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149</v>
      </c>
    </row>
    <row r="219" spans="1:7" hidden="1" x14ac:dyDescent="0.3">
      <c r="A219" t="s">
        <v>147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149</v>
      </c>
    </row>
    <row r="220" spans="1:7" hidden="1" x14ac:dyDescent="0.3">
      <c r="A220" t="s">
        <v>147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149</v>
      </c>
    </row>
    <row r="221" spans="1:7" hidden="1" x14ac:dyDescent="0.3">
      <c r="A221" t="s">
        <v>147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149</v>
      </c>
    </row>
    <row r="222" spans="1:7" hidden="1" x14ac:dyDescent="0.3">
      <c r="A222" t="s">
        <v>147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149</v>
      </c>
    </row>
    <row r="223" spans="1:7" hidden="1" x14ac:dyDescent="0.3">
      <c r="A223" t="s">
        <v>147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149</v>
      </c>
    </row>
    <row r="224" spans="1:7" hidden="1" x14ac:dyDescent="0.3">
      <c r="A224" t="s">
        <v>147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149</v>
      </c>
    </row>
    <row r="225" spans="1:7" hidden="1" x14ac:dyDescent="0.3">
      <c r="A225" t="s">
        <v>147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149</v>
      </c>
    </row>
    <row r="226" spans="1:7" hidden="1" x14ac:dyDescent="0.3">
      <c r="A226" t="s">
        <v>147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149</v>
      </c>
    </row>
    <row r="227" spans="1:7" hidden="1" x14ac:dyDescent="0.3">
      <c r="A227" t="s">
        <v>147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149</v>
      </c>
    </row>
    <row r="228" spans="1:7" hidden="1" x14ac:dyDescent="0.3">
      <c r="A228" t="s">
        <v>147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149</v>
      </c>
    </row>
    <row r="229" spans="1:7" hidden="1" x14ac:dyDescent="0.3">
      <c r="A229" t="s">
        <v>147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149</v>
      </c>
    </row>
    <row r="230" spans="1:7" hidden="1" x14ac:dyDescent="0.3">
      <c r="A230" t="s">
        <v>147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149</v>
      </c>
    </row>
    <row r="231" spans="1:7" hidden="1" x14ac:dyDescent="0.3">
      <c r="A231" t="s">
        <v>147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149</v>
      </c>
    </row>
    <row r="232" spans="1:7" hidden="1" x14ac:dyDescent="0.3">
      <c r="A232" t="s">
        <v>147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149</v>
      </c>
    </row>
    <row r="233" spans="1:7" hidden="1" x14ac:dyDescent="0.3">
      <c r="A233" t="s">
        <v>147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149</v>
      </c>
    </row>
    <row r="234" spans="1:7" hidden="1" x14ac:dyDescent="0.3">
      <c r="A234" t="s">
        <v>147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149</v>
      </c>
    </row>
    <row r="235" spans="1:7" hidden="1" x14ac:dyDescent="0.3">
      <c r="A235" t="s">
        <v>147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149</v>
      </c>
    </row>
    <row r="236" spans="1:7" hidden="1" x14ac:dyDescent="0.3">
      <c r="A236" t="s">
        <v>147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149</v>
      </c>
    </row>
    <row r="239" spans="1:7" s="5" customFormat="1" x14ac:dyDescent="0.3">
      <c r="A239" s="5" t="s">
        <v>150</v>
      </c>
    </row>
    <row r="240" spans="1:7" x14ac:dyDescent="0.3">
      <c r="A240" t="s">
        <v>148</v>
      </c>
      <c r="B240" t="s">
        <v>119</v>
      </c>
      <c r="C240">
        <v>2015</v>
      </c>
      <c r="D240">
        <v>2020</v>
      </c>
      <c r="E240">
        <v>2050</v>
      </c>
      <c r="F240" t="s">
        <v>103</v>
      </c>
    </row>
    <row r="241" spans="1:6" x14ac:dyDescent="0.3">
      <c r="A241">
        <v>12</v>
      </c>
      <c r="B241" t="s">
        <v>143</v>
      </c>
      <c r="C241">
        <v>7.1471428571428602E-2</v>
      </c>
      <c r="D241">
        <v>7.2092857142857097E-2</v>
      </c>
      <c r="E241">
        <v>7.0849999999999996E-2</v>
      </c>
      <c r="F241" t="s">
        <v>153</v>
      </c>
    </row>
    <row r="242" spans="1:6" x14ac:dyDescent="0.3">
      <c r="A242">
        <v>12</v>
      </c>
      <c r="B242" t="s">
        <v>146</v>
      </c>
      <c r="C242">
        <v>2.2428571428571402E-3</v>
      </c>
      <c r="D242">
        <v>3.0999999999999999E-3</v>
      </c>
      <c r="E242">
        <v>0</v>
      </c>
      <c r="F242" t="s">
        <v>153</v>
      </c>
    </row>
    <row r="243" spans="1:6" x14ac:dyDescent="0.3">
      <c r="A243">
        <v>12</v>
      </c>
      <c r="B243" s="10" t="s">
        <v>147</v>
      </c>
      <c r="C243" s="10">
        <v>0.13205714285714301</v>
      </c>
      <c r="D243" s="10">
        <v>0.123914285714286</v>
      </c>
      <c r="E243" s="10">
        <v>0.141757142857143</v>
      </c>
      <c r="F243" t="s">
        <v>153</v>
      </c>
    </row>
    <row r="244" spans="1:6" x14ac:dyDescent="0.3">
      <c r="A244">
        <v>12</v>
      </c>
      <c r="B244" t="s">
        <v>145</v>
      </c>
      <c r="C244">
        <v>0.74164285714285705</v>
      </c>
      <c r="D244">
        <v>0.751142857142857</v>
      </c>
      <c r="E244">
        <v>0.69492142857142902</v>
      </c>
      <c r="F244" t="s">
        <v>153</v>
      </c>
    </row>
    <row r="245" spans="1:6" x14ac:dyDescent="0.3">
      <c r="A245">
        <v>12</v>
      </c>
      <c r="B245" t="s">
        <v>144</v>
      </c>
      <c r="C245">
        <v>5.2549999999999999E-2</v>
      </c>
      <c r="D245">
        <v>4.9750000000000003E-2</v>
      </c>
      <c r="E245">
        <v>9.2471428571428593E-2</v>
      </c>
      <c r="F245" t="s">
        <v>153</v>
      </c>
    </row>
    <row r="246" spans="1:6" x14ac:dyDescent="0.3">
      <c r="A246">
        <v>13</v>
      </c>
      <c r="B246" t="s">
        <v>143</v>
      </c>
      <c r="C246">
        <v>4.7592857142857103E-2</v>
      </c>
      <c r="D246">
        <v>4.7857142857142897E-2</v>
      </c>
      <c r="E246">
        <v>8.7585714285714295E-2</v>
      </c>
      <c r="F246" t="s">
        <v>153</v>
      </c>
    </row>
    <row r="247" spans="1:6" x14ac:dyDescent="0.3">
      <c r="A247">
        <v>13</v>
      </c>
      <c r="B247" t="s">
        <v>146</v>
      </c>
      <c r="C247">
        <v>1.21E-2</v>
      </c>
      <c r="D247">
        <v>1.1650000000000001E-2</v>
      </c>
      <c r="E247">
        <v>3.9591214285714304E-3</v>
      </c>
      <c r="F247" t="s">
        <v>153</v>
      </c>
    </row>
    <row r="248" spans="1:6" x14ac:dyDescent="0.3">
      <c r="A248">
        <v>13</v>
      </c>
      <c r="B248" s="10" t="s">
        <v>147</v>
      </c>
      <c r="C248" s="10">
        <v>0.20178571428571401</v>
      </c>
      <c r="D248" s="10">
        <v>0.19475000000000001</v>
      </c>
      <c r="E248" s="10">
        <v>0.102664285714286</v>
      </c>
      <c r="F248" t="s">
        <v>153</v>
      </c>
    </row>
    <row r="249" spans="1:6" x14ac:dyDescent="0.3">
      <c r="A249">
        <v>13</v>
      </c>
      <c r="B249" t="s">
        <v>145</v>
      </c>
      <c r="C249">
        <v>0.676878571428571</v>
      </c>
      <c r="D249">
        <v>0.68233571428571405</v>
      </c>
      <c r="E249">
        <v>0.66785000000000005</v>
      </c>
      <c r="F249" t="s">
        <v>153</v>
      </c>
    </row>
    <row r="250" spans="1:6" x14ac:dyDescent="0.3">
      <c r="A250">
        <v>13</v>
      </c>
      <c r="B250" t="s">
        <v>144</v>
      </c>
      <c r="C250">
        <v>6.1621428571428598E-2</v>
      </c>
      <c r="D250">
        <v>6.3399999999999998E-2</v>
      </c>
      <c r="E250">
        <v>0.13797142857142899</v>
      </c>
      <c r="F250" t="s">
        <v>153</v>
      </c>
    </row>
    <row r="253" spans="1:6" s="5" customFormat="1" x14ac:dyDescent="0.3">
      <c r="A253" s="5" t="s">
        <v>151</v>
      </c>
    </row>
    <row r="254" spans="1:6" x14ac:dyDescent="0.3">
      <c r="A254" t="s">
        <v>148</v>
      </c>
      <c r="B254" t="s">
        <v>119</v>
      </c>
      <c r="C254" t="s">
        <v>71</v>
      </c>
      <c r="D254" t="s">
        <v>152</v>
      </c>
      <c r="E254" t="s">
        <v>103</v>
      </c>
    </row>
    <row r="255" spans="1:6" x14ac:dyDescent="0.3">
      <c r="A255">
        <v>12</v>
      </c>
      <c r="B255" t="s">
        <v>143</v>
      </c>
      <c r="C255">
        <v>2015</v>
      </c>
      <c r="D255">
        <v>8.2349165068679203E-2</v>
      </c>
      <c r="E255" t="s">
        <v>153</v>
      </c>
    </row>
    <row r="256" spans="1:6" x14ac:dyDescent="0.3">
      <c r="A256">
        <v>12</v>
      </c>
      <c r="B256" t="s">
        <v>146</v>
      </c>
      <c r="C256">
        <v>2015</v>
      </c>
      <c r="D256">
        <v>2.5842132552034002E-3</v>
      </c>
      <c r="E256" t="s">
        <v>153</v>
      </c>
    </row>
    <row r="257" spans="1:5" x14ac:dyDescent="0.3">
      <c r="A257">
        <v>12</v>
      </c>
      <c r="B257" t="s">
        <v>145</v>
      </c>
      <c r="C257">
        <v>2015</v>
      </c>
      <c r="D257">
        <v>0.85451866970627199</v>
      </c>
      <c r="E257" t="s">
        <v>153</v>
      </c>
    </row>
    <row r="258" spans="1:5" x14ac:dyDescent="0.3">
      <c r="A258">
        <v>12</v>
      </c>
      <c r="B258" t="s">
        <v>144</v>
      </c>
      <c r="C258">
        <v>2015</v>
      </c>
      <c r="D258">
        <v>6.0547951969845401E-2</v>
      </c>
      <c r="E258" t="s">
        <v>153</v>
      </c>
    </row>
    <row r="259" spans="1:5" x14ac:dyDescent="0.3">
      <c r="A259">
        <v>12</v>
      </c>
      <c r="B259" t="s">
        <v>143</v>
      </c>
      <c r="C259">
        <v>2020</v>
      </c>
      <c r="D259">
        <v>8.22897302938395E-2</v>
      </c>
      <c r="E259" t="s">
        <v>153</v>
      </c>
    </row>
    <row r="260" spans="1:5" x14ac:dyDescent="0.3">
      <c r="A260">
        <v>12</v>
      </c>
      <c r="B260" t="s">
        <v>146</v>
      </c>
      <c r="C260">
        <v>2020</v>
      </c>
      <c r="D260">
        <v>3.5384665557838401E-3</v>
      </c>
      <c r="E260" t="s">
        <v>153</v>
      </c>
    </row>
    <row r="261" spans="1:5" x14ac:dyDescent="0.3">
      <c r="A261">
        <v>12</v>
      </c>
      <c r="B261" t="s">
        <v>145</v>
      </c>
      <c r="C261">
        <v>2020</v>
      </c>
      <c r="D261">
        <v>0.85738512213416795</v>
      </c>
      <c r="E261" t="s">
        <v>153</v>
      </c>
    </row>
    <row r="262" spans="1:5" x14ac:dyDescent="0.3">
      <c r="A262">
        <v>12</v>
      </c>
      <c r="B262" t="s">
        <v>144</v>
      </c>
      <c r="C262">
        <v>2020</v>
      </c>
      <c r="D262">
        <v>5.6786681016208498E-2</v>
      </c>
      <c r="E262" t="s">
        <v>153</v>
      </c>
    </row>
    <row r="263" spans="1:5" x14ac:dyDescent="0.3">
      <c r="A263">
        <v>12</v>
      </c>
      <c r="B263" t="s">
        <v>143</v>
      </c>
      <c r="C263">
        <v>2050</v>
      </c>
      <c r="D263">
        <v>8.2552391098090802E-2</v>
      </c>
      <c r="E263" t="s">
        <v>153</v>
      </c>
    </row>
    <row r="264" spans="1:5" x14ac:dyDescent="0.3">
      <c r="A264">
        <v>12</v>
      </c>
      <c r="B264" t="s">
        <v>146</v>
      </c>
      <c r="C264">
        <v>2050</v>
      </c>
      <c r="D264">
        <v>0</v>
      </c>
      <c r="E264" t="s">
        <v>153</v>
      </c>
    </row>
    <row r="265" spans="1:5" x14ac:dyDescent="0.3">
      <c r="A265">
        <v>12</v>
      </c>
      <c r="B265" t="s">
        <v>145</v>
      </c>
      <c r="C265">
        <v>2050</v>
      </c>
      <c r="D265">
        <v>0.80970254839622502</v>
      </c>
      <c r="E265" t="s">
        <v>153</v>
      </c>
    </row>
    <row r="266" spans="1:5" x14ac:dyDescent="0.3">
      <c r="A266">
        <v>12</v>
      </c>
      <c r="B266" t="s">
        <v>144</v>
      </c>
      <c r="C266">
        <v>2050</v>
      </c>
      <c r="D266">
        <v>0.107745060505684</v>
      </c>
      <c r="E266" t="s">
        <v>153</v>
      </c>
    </row>
    <row r="267" spans="1:5" x14ac:dyDescent="0.3">
      <c r="A267">
        <v>13</v>
      </c>
      <c r="B267" t="s">
        <v>143</v>
      </c>
      <c r="C267">
        <v>2015</v>
      </c>
      <c r="D267">
        <v>5.96257617654165E-2</v>
      </c>
      <c r="E267" t="s">
        <v>153</v>
      </c>
    </row>
    <row r="268" spans="1:5" x14ac:dyDescent="0.3">
      <c r="A268">
        <v>13</v>
      </c>
      <c r="B268" t="s">
        <v>146</v>
      </c>
      <c r="C268">
        <v>2015</v>
      </c>
      <c r="D268">
        <v>1.5159243648599101E-2</v>
      </c>
      <c r="E268" t="s">
        <v>153</v>
      </c>
    </row>
    <row r="269" spans="1:5" x14ac:dyDescent="0.3">
      <c r="A269">
        <v>13</v>
      </c>
      <c r="B269" t="s">
        <v>145</v>
      </c>
      <c r="C269">
        <v>2015</v>
      </c>
      <c r="D269">
        <v>0.84801381692573397</v>
      </c>
      <c r="E269" t="s">
        <v>153</v>
      </c>
    </row>
    <row r="270" spans="1:5" x14ac:dyDescent="0.3">
      <c r="A270">
        <v>13</v>
      </c>
      <c r="B270" t="s">
        <v>144</v>
      </c>
      <c r="C270">
        <v>2015</v>
      </c>
      <c r="D270">
        <v>7.7201177660250406E-2</v>
      </c>
      <c r="E270" t="s">
        <v>153</v>
      </c>
    </row>
    <row r="271" spans="1:5" x14ac:dyDescent="0.3">
      <c r="A271">
        <v>13</v>
      </c>
      <c r="B271" t="s">
        <v>143</v>
      </c>
      <c r="C271">
        <v>2020</v>
      </c>
      <c r="D271">
        <v>5.9431937126332803E-2</v>
      </c>
      <c r="E271" t="s">
        <v>153</v>
      </c>
    </row>
    <row r="272" spans="1:5" x14ac:dyDescent="0.3">
      <c r="A272">
        <v>13</v>
      </c>
      <c r="B272" t="s">
        <v>146</v>
      </c>
      <c r="C272">
        <v>2020</v>
      </c>
      <c r="D272">
        <v>1.44676849929924E-2</v>
      </c>
      <c r="E272" t="s">
        <v>153</v>
      </c>
    </row>
    <row r="273" spans="1:5" x14ac:dyDescent="0.3">
      <c r="A273">
        <v>13</v>
      </c>
      <c r="B273" t="s">
        <v>145</v>
      </c>
      <c r="C273">
        <v>2020</v>
      </c>
      <c r="D273">
        <v>0.84736636684584998</v>
      </c>
      <c r="E273" t="s">
        <v>153</v>
      </c>
    </row>
    <row r="274" spans="1:5" x14ac:dyDescent="0.3">
      <c r="A274">
        <v>13</v>
      </c>
      <c r="B274" t="s">
        <v>144</v>
      </c>
      <c r="C274">
        <v>2020</v>
      </c>
      <c r="D274">
        <v>7.8734011034825302E-2</v>
      </c>
      <c r="E274" t="s">
        <v>153</v>
      </c>
    </row>
    <row r="275" spans="1:5" x14ac:dyDescent="0.3">
      <c r="A275">
        <v>13</v>
      </c>
      <c r="B275" t="s">
        <v>143</v>
      </c>
      <c r="C275">
        <v>2050</v>
      </c>
      <c r="D275">
        <v>9.76030833468325E-2</v>
      </c>
      <c r="E275" t="s">
        <v>153</v>
      </c>
    </row>
    <row r="276" spans="1:5" x14ac:dyDescent="0.3">
      <c r="A276">
        <v>13</v>
      </c>
      <c r="B276" t="s">
        <v>146</v>
      </c>
      <c r="C276">
        <v>2050</v>
      </c>
      <c r="D276">
        <v>4.4119347764012603E-3</v>
      </c>
      <c r="E276" t="s">
        <v>153</v>
      </c>
    </row>
    <row r="277" spans="1:5" x14ac:dyDescent="0.3">
      <c r="A277">
        <v>13</v>
      </c>
      <c r="B277" t="s">
        <v>145</v>
      </c>
      <c r="C277">
        <v>2050</v>
      </c>
      <c r="D277">
        <v>0.74423346027120296</v>
      </c>
      <c r="E277" t="s">
        <v>153</v>
      </c>
    </row>
    <row r="278" spans="1:5" x14ac:dyDescent="0.3">
      <c r="A278">
        <v>13</v>
      </c>
      <c r="B278" t="s">
        <v>144</v>
      </c>
      <c r="C278">
        <v>2050</v>
      </c>
      <c r="D278">
        <v>0.15375152160556299</v>
      </c>
      <c r="E278" t="s">
        <v>153</v>
      </c>
    </row>
    <row r="281" spans="1:5" s="5" customFormat="1" x14ac:dyDescent="0.3">
      <c r="A281" s="5" t="s">
        <v>154</v>
      </c>
    </row>
    <row r="282" spans="1:5" hidden="1" x14ac:dyDescent="0.3"/>
    <row r="283" spans="1:5" hidden="1" x14ac:dyDescent="0.3">
      <c r="A283" s="12" t="s">
        <v>155</v>
      </c>
      <c r="B283">
        <v>2015</v>
      </c>
      <c r="C283">
        <v>2020</v>
      </c>
      <c r="D283">
        <v>2050</v>
      </c>
    </row>
    <row r="284" spans="1:5" hidden="1" x14ac:dyDescent="0.3">
      <c r="A284" s="11" t="s">
        <v>167</v>
      </c>
    </row>
    <row r="285" spans="1:5" hidden="1" x14ac:dyDescent="0.3">
      <c r="A285" t="s">
        <v>187</v>
      </c>
      <c r="B285">
        <f>H6</f>
        <v>44763.7</v>
      </c>
      <c r="C285">
        <f t="shared" ref="C285" si="0">I6</f>
        <v>51256.800000000003</v>
      </c>
      <c r="D285">
        <f>O6</f>
        <v>90269.441420000003</v>
      </c>
    </row>
    <row r="286" spans="1:5" hidden="1" x14ac:dyDescent="0.3">
      <c r="A286" t="s">
        <v>188</v>
      </c>
      <c r="B286">
        <f>H26</f>
        <v>399505</v>
      </c>
      <c r="C286">
        <f>I26</f>
        <v>411219</v>
      </c>
      <c r="D286">
        <f>J26</f>
        <v>489648</v>
      </c>
    </row>
    <row r="287" spans="1:5" hidden="1" x14ac:dyDescent="0.3">
      <c r="A287" t="s">
        <v>189</v>
      </c>
      <c r="B287">
        <f>SUM(H6:H25)</f>
        <v>6642769.46918</v>
      </c>
      <c r="C287">
        <f t="shared" ref="C287" si="1">SUM(I6:I25)</f>
        <v>7185190.1671599988</v>
      </c>
      <c r="D287">
        <f>SUM(O6:O25)</f>
        <v>8869654.2847260013</v>
      </c>
    </row>
    <row r="288" spans="1:5" hidden="1" x14ac:dyDescent="0.3">
      <c r="A288" t="s">
        <v>190</v>
      </c>
      <c r="B288">
        <f>SUM(H26:H45)</f>
        <v>38937635.923</v>
      </c>
      <c r="C288">
        <f t="shared" ref="C288" si="2">SUM(I26:I45)</f>
        <v>39480090.996399999</v>
      </c>
      <c r="D288">
        <f>SUM(O26:O45)</f>
        <v>50100542.092119984</v>
      </c>
    </row>
    <row r="289" spans="1:4" hidden="1" x14ac:dyDescent="0.3">
      <c r="A289" s="11" t="s">
        <v>186</v>
      </c>
    </row>
    <row r="290" spans="1:4" hidden="1" x14ac:dyDescent="0.3">
      <c r="A290" t="s">
        <v>64</v>
      </c>
      <c r="B290">
        <f>B285/B287</f>
        <v>6.7387104441433733E-3</v>
      </c>
      <c r="C290">
        <f t="shared" ref="C290:D291" si="3">C285/C287</f>
        <v>7.1336734042572519E-3</v>
      </c>
      <c r="D290">
        <f t="shared" si="3"/>
        <v>1.0177334823009799E-2</v>
      </c>
    </row>
    <row r="291" spans="1:4" hidden="1" x14ac:dyDescent="0.3">
      <c r="A291" t="s">
        <v>65</v>
      </c>
      <c r="B291">
        <f>B286/B288</f>
        <v>1.0260124697606952E-2</v>
      </c>
      <c r="C291">
        <f t="shared" si="3"/>
        <v>1.041585745173427E-2</v>
      </c>
      <c r="D291">
        <f t="shared" si="3"/>
        <v>9.773307424492195E-3</v>
      </c>
    </row>
    <row r="292" spans="1:4" hidden="1" x14ac:dyDescent="0.3">
      <c r="A292" s="11" t="s">
        <v>168</v>
      </c>
    </row>
    <row r="293" spans="1:4" hidden="1" x14ac:dyDescent="0.3">
      <c r="A293" t="s">
        <v>64</v>
      </c>
      <c r="B293">
        <v>1</v>
      </c>
      <c r="C293">
        <v>1</v>
      </c>
      <c r="D293">
        <v>1</v>
      </c>
    </row>
    <row r="294" spans="1:4" hidden="1" x14ac:dyDescent="0.3">
      <c r="A294" t="s">
        <v>65</v>
      </c>
      <c r="B294">
        <v>1</v>
      </c>
      <c r="C294">
        <v>1</v>
      </c>
      <c r="D294">
        <v>1</v>
      </c>
    </row>
    <row r="295" spans="1:4" hidden="1" x14ac:dyDescent="0.3"/>
    <row r="296" spans="1:4" hidden="1" x14ac:dyDescent="0.3">
      <c r="A296" s="12" t="s">
        <v>156</v>
      </c>
    </row>
    <row r="297" spans="1:4" hidden="1" x14ac:dyDescent="0.3">
      <c r="A297" s="11" t="s">
        <v>169</v>
      </c>
    </row>
    <row r="298" spans="1:4" hidden="1" x14ac:dyDescent="0.3">
      <c r="A298" t="s">
        <v>64</v>
      </c>
      <c r="B298">
        <f>C243</f>
        <v>0.13205714285714301</v>
      </c>
      <c r="C298">
        <f>D243</f>
        <v>0.123914285714286</v>
      </c>
      <c r="D298">
        <f>E243</f>
        <v>0.141757142857143</v>
      </c>
    </row>
    <row r="299" spans="1:4" hidden="1" x14ac:dyDescent="0.3">
      <c r="A299" t="s">
        <v>65</v>
      </c>
      <c r="B299">
        <f>C248</f>
        <v>0.20178571428571401</v>
      </c>
      <c r="C299">
        <f>D248</f>
        <v>0.19475000000000001</v>
      </c>
      <c r="D299">
        <f>E248</f>
        <v>0.102664285714286</v>
      </c>
    </row>
    <row r="300" spans="1:4" hidden="1" x14ac:dyDescent="0.3">
      <c r="A300" s="11" t="s">
        <v>170</v>
      </c>
    </row>
    <row r="301" spans="1:4" hidden="1" x14ac:dyDescent="0.3">
      <c r="A301" t="s">
        <v>64</v>
      </c>
      <c r="C301">
        <f>(C298-B298)/B298</f>
        <v>-6.1661618347034819E-2</v>
      </c>
      <c r="D301">
        <f>(D298-B298)/B298</f>
        <v>7.3453050627433819E-2</v>
      </c>
    </row>
    <row r="302" spans="1:4" hidden="1" x14ac:dyDescent="0.3">
      <c r="A302" t="s">
        <v>65</v>
      </c>
      <c r="C302">
        <f>(C299-B299)/B299</f>
        <v>-3.4867256637166805E-2</v>
      </c>
      <c r="D302">
        <f>(D299-B299)/B299</f>
        <v>-0.49122123893805097</v>
      </c>
    </row>
    <row r="303" spans="1:4" hidden="1" x14ac:dyDescent="0.3"/>
    <row r="304" spans="1:4" hidden="1" x14ac:dyDescent="0.3">
      <c r="A304" s="12" t="s">
        <v>157</v>
      </c>
    </row>
    <row r="305" spans="1:19" hidden="1" x14ac:dyDescent="0.3">
      <c r="A305" s="11" t="s">
        <v>171</v>
      </c>
    </row>
    <row r="306" spans="1:19" hidden="1" x14ac:dyDescent="0.3">
      <c r="A306" t="s">
        <v>64</v>
      </c>
      <c r="C306">
        <f>B285*(1+C301)</f>
        <v>42003.497814798829</v>
      </c>
      <c r="D306">
        <f>B285*(1+D301)</f>
        <v>48051.730322371252</v>
      </c>
    </row>
    <row r="307" spans="1:19" hidden="1" x14ac:dyDescent="0.3">
      <c r="A307" t="s">
        <v>65</v>
      </c>
      <c r="C307">
        <f>B286*(1+C302)</f>
        <v>385575.35663716868</v>
      </c>
      <c r="D307">
        <f>B286*(1+D302)</f>
        <v>203259.65893805394</v>
      </c>
    </row>
    <row r="308" spans="1:19" hidden="1" x14ac:dyDescent="0.3">
      <c r="A308" s="11" t="s">
        <v>172</v>
      </c>
    </row>
    <row r="309" spans="1:19" hidden="1" x14ac:dyDescent="0.3">
      <c r="A309" t="s">
        <v>64</v>
      </c>
      <c r="C309">
        <f>C306/C285</f>
        <v>0.81947171526117168</v>
      </c>
      <c r="D309">
        <f>D306/D285</f>
        <v>0.53231447504808604</v>
      </c>
    </row>
    <row r="310" spans="1:19" hidden="1" x14ac:dyDescent="0.3">
      <c r="A310" t="s">
        <v>65</v>
      </c>
      <c r="C310">
        <f>C307/C286</f>
        <v>0.93763993550193125</v>
      </c>
      <c r="D310">
        <f>D307/D286</f>
        <v>0.41511383470994251</v>
      </c>
    </row>
    <row r="311" spans="1:19" hidden="1" x14ac:dyDescent="0.3">
      <c r="A311" s="11" t="s">
        <v>173</v>
      </c>
    </row>
    <row r="312" spans="1:19" hidden="1" x14ac:dyDescent="0.3">
      <c r="B312">
        <v>2015</v>
      </c>
      <c r="C312">
        <v>2020</v>
      </c>
      <c r="D312">
        <v>2025</v>
      </c>
      <c r="E312">
        <v>2030</v>
      </c>
      <c r="F312">
        <v>2035</v>
      </c>
      <c r="G312">
        <v>2040</v>
      </c>
      <c r="H312">
        <v>2045</v>
      </c>
      <c r="I312">
        <v>2050</v>
      </c>
    </row>
    <row r="313" spans="1:19" hidden="1" x14ac:dyDescent="0.3">
      <c r="A313" t="s">
        <v>64</v>
      </c>
      <c r="B313">
        <v>1</v>
      </c>
      <c r="C313">
        <f>C309</f>
        <v>0.81947171526117168</v>
      </c>
      <c r="D313">
        <f>IF(D$312&lt;$I$312,
   $C313 + (D$312 - $C$312) * ($I313 - $C313) / ($I$312 - $C$312),
   "")</f>
        <v>0.77161217522565739</v>
      </c>
      <c r="E313">
        <f t="shared" ref="E313:H314" si="4">IF(E$312&lt;$I$312,
   $C313 + (E$312 - $C$312) * ($I313 - $C313) / ($I$312 - $C$312),
   "")</f>
        <v>0.7237526351901431</v>
      </c>
      <c r="F313">
        <f t="shared" si="4"/>
        <v>0.67589309515462892</v>
      </c>
      <c r="G313">
        <f t="shared" si="4"/>
        <v>0.62803355511911463</v>
      </c>
      <c r="H313">
        <f t="shared" si="4"/>
        <v>0.58017401508360034</v>
      </c>
      <c r="I313">
        <f>D309</f>
        <v>0.53231447504808604</v>
      </c>
    </row>
    <row r="314" spans="1:19" hidden="1" x14ac:dyDescent="0.3">
      <c r="A314" t="s">
        <v>65</v>
      </c>
      <c r="B314">
        <v>1</v>
      </c>
      <c r="C314">
        <f>C310</f>
        <v>0.93763993550193125</v>
      </c>
      <c r="D314">
        <f>IF(D$312&lt;$I$312,
   $C314 + (D$312 - $C$312) * ($I314 - $C314) / ($I$312 - $C$312),
   "")</f>
        <v>0.85055225203659979</v>
      </c>
      <c r="E314">
        <f t="shared" si="4"/>
        <v>0.76346456857126832</v>
      </c>
      <c r="F314">
        <f t="shared" si="4"/>
        <v>0.67637688510593685</v>
      </c>
      <c r="G314">
        <f t="shared" si="4"/>
        <v>0.58928920164060528</v>
      </c>
      <c r="H314">
        <f t="shared" si="4"/>
        <v>0.50220151817527392</v>
      </c>
      <c r="I314">
        <f>D310</f>
        <v>0.41511383470994251</v>
      </c>
    </row>
    <row r="315" spans="1:19" hidden="1" x14ac:dyDescent="0.3"/>
    <row r="316" spans="1:19" hidden="1" x14ac:dyDescent="0.3"/>
    <row r="317" spans="1:19" s="5" customFormat="1" x14ac:dyDescent="0.3">
      <c r="A317" s="5" t="s">
        <v>158</v>
      </c>
    </row>
    <row r="319" spans="1:19" x14ac:dyDescent="0.3">
      <c r="A319" s="12" t="s">
        <v>155</v>
      </c>
      <c r="B319">
        <v>2015</v>
      </c>
      <c r="C319">
        <v>2020</v>
      </c>
      <c r="D319">
        <v>2025</v>
      </c>
      <c r="E319">
        <v>2030</v>
      </c>
      <c r="F319">
        <v>2035</v>
      </c>
      <c r="G319">
        <v>2040</v>
      </c>
      <c r="H319">
        <v>2045</v>
      </c>
      <c r="I319">
        <v>2050</v>
      </c>
      <c r="L319">
        <v>2015</v>
      </c>
      <c r="M319">
        <v>2020</v>
      </c>
      <c r="N319">
        <v>2025</v>
      </c>
      <c r="O319">
        <v>2030</v>
      </c>
      <c r="P319">
        <v>2035</v>
      </c>
      <c r="Q319">
        <v>2040</v>
      </c>
      <c r="R319">
        <v>2045</v>
      </c>
      <c r="S319">
        <v>2050</v>
      </c>
    </row>
    <row r="320" spans="1:19" x14ac:dyDescent="0.3">
      <c r="A320" s="11" t="s">
        <v>167</v>
      </c>
      <c r="K320" s="11" t="s">
        <v>186</v>
      </c>
    </row>
    <row r="321" spans="1:19" x14ac:dyDescent="0.3">
      <c r="A321" s="25" t="s">
        <v>175</v>
      </c>
      <c r="B321" s="13"/>
      <c r="C321" s="13"/>
      <c r="D321" s="13"/>
      <c r="E321" s="13"/>
      <c r="F321" s="13"/>
      <c r="G321" s="13"/>
      <c r="H321" s="13"/>
      <c r="I321" s="13"/>
      <c r="K321" s="25" t="s">
        <v>175</v>
      </c>
    </row>
    <row r="322" spans="1:19" x14ac:dyDescent="0.3">
      <c r="A322" t="s">
        <v>64</v>
      </c>
      <c r="B322" s="13">
        <f>H19</f>
        <v>244407.8</v>
      </c>
      <c r="C322" s="13">
        <f t="shared" ref="C322:I322" si="5">I19</f>
        <v>262509.03000000003</v>
      </c>
      <c r="D322" s="13">
        <f t="shared" si="5"/>
        <v>289702.09999999998</v>
      </c>
      <c r="E322" s="13">
        <f t="shared" si="5"/>
        <v>295108.57</v>
      </c>
      <c r="F322" s="13">
        <f t="shared" si="5"/>
        <v>301370.46000000002</v>
      </c>
      <c r="G322" s="13">
        <f t="shared" si="5"/>
        <v>308050.61</v>
      </c>
      <c r="H322" s="13">
        <f t="shared" si="5"/>
        <v>317425.73</v>
      </c>
      <c r="I322" s="13">
        <f t="shared" si="5"/>
        <v>330794.84999999998</v>
      </c>
      <c r="K322" t="s">
        <v>64</v>
      </c>
      <c r="L322" s="13">
        <f t="shared" ref="L322:S322" si="6">B322/B$346</f>
        <v>0.19478964063645751</v>
      </c>
      <c r="M322" s="13">
        <f t="shared" si="6"/>
        <v>0.19536453416421359</v>
      </c>
      <c r="N322" s="13">
        <f t="shared" si="6"/>
        <v>0.19836159101070402</v>
      </c>
      <c r="O322" s="13">
        <f t="shared" si="6"/>
        <v>0.19494804854743214</v>
      </c>
      <c r="P322" s="13">
        <f t="shared" si="6"/>
        <v>0.19486724605939587</v>
      </c>
      <c r="Q322" s="13">
        <f t="shared" si="6"/>
        <v>0.20252500607441176</v>
      </c>
      <c r="R322" s="13">
        <f t="shared" si="6"/>
        <v>0.21106621394918065</v>
      </c>
      <c r="S322" s="13">
        <f t="shared" si="6"/>
        <v>0.22156811515899949</v>
      </c>
    </row>
    <row r="323" spans="1:19" x14ac:dyDescent="0.3">
      <c r="A323" t="s">
        <v>65</v>
      </c>
      <c r="B323" s="13">
        <f>H39</f>
        <v>781792</v>
      </c>
      <c r="C323" s="13">
        <f t="shared" ref="C323:I323" si="7">I39</f>
        <v>781697.299999999</v>
      </c>
      <c r="D323" s="13">
        <f t="shared" si="7"/>
        <v>731664.80999999901</v>
      </c>
      <c r="E323" s="13">
        <f t="shared" si="7"/>
        <v>700375</v>
      </c>
      <c r="F323" s="13">
        <f t="shared" si="7"/>
        <v>669149.89999999898</v>
      </c>
      <c r="G323" s="13">
        <f t="shared" si="7"/>
        <v>645129.6</v>
      </c>
      <c r="H323" s="13">
        <f t="shared" si="7"/>
        <v>625332.30000000005</v>
      </c>
      <c r="I323" s="13">
        <f t="shared" si="7"/>
        <v>607617</v>
      </c>
      <c r="K323" t="s">
        <v>65</v>
      </c>
      <c r="L323" s="13">
        <f>B323/B$347</f>
        <v>0.12404620652648074</v>
      </c>
      <c r="M323" s="13">
        <f t="shared" ref="M323:S323" si="8">C323/C$347</f>
        <v>0.12145961178160736</v>
      </c>
      <c r="N323" s="13">
        <f t="shared" si="8"/>
        <v>0.10541662930069896</v>
      </c>
      <c r="O323" s="13">
        <f t="shared" si="8"/>
        <v>9.7954227617051665E-2</v>
      </c>
      <c r="P323" s="13">
        <f t="shared" si="8"/>
        <v>9.1334018085195423E-2</v>
      </c>
      <c r="Q323" s="13">
        <f t="shared" si="8"/>
        <v>8.6617184731481681E-2</v>
      </c>
      <c r="R323" s="13">
        <f t="shared" si="8"/>
        <v>8.2345054210329754E-2</v>
      </c>
      <c r="S323" s="13">
        <f t="shared" si="8"/>
        <v>7.8232635666929368E-2</v>
      </c>
    </row>
    <row r="324" spans="1:19" x14ac:dyDescent="0.3">
      <c r="A324" s="25" t="s">
        <v>191</v>
      </c>
      <c r="B324" s="13"/>
      <c r="C324" s="13"/>
      <c r="D324" s="13"/>
      <c r="E324" s="13"/>
      <c r="F324" s="13"/>
      <c r="G324" s="13"/>
      <c r="H324" s="13"/>
      <c r="I324" s="13"/>
      <c r="K324" s="25" t="s">
        <v>191</v>
      </c>
      <c r="L324" s="13"/>
      <c r="M324" s="13"/>
      <c r="N324" s="13"/>
      <c r="O324" s="13"/>
      <c r="P324" s="13"/>
      <c r="Q324" s="13"/>
      <c r="R324" s="13"/>
      <c r="S324" s="13"/>
    </row>
    <row r="325" spans="1:19" x14ac:dyDescent="0.3">
      <c r="A325" t="s">
        <v>64</v>
      </c>
      <c r="B325" s="13">
        <f>H22</f>
        <v>841165</v>
      </c>
      <c r="C325" s="13">
        <f t="shared" ref="C325:I325" si="9">I22</f>
        <v>913099</v>
      </c>
      <c r="D325" s="13">
        <f t="shared" si="9"/>
        <v>1000220</v>
      </c>
      <c r="E325" s="13">
        <f t="shared" si="9"/>
        <v>1051920</v>
      </c>
      <c r="F325" s="13">
        <f t="shared" si="9"/>
        <v>1082960</v>
      </c>
      <c r="G325" s="13">
        <f t="shared" si="9"/>
        <v>1054670</v>
      </c>
      <c r="H325" s="13">
        <f t="shared" si="9"/>
        <v>1031230</v>
      </c>
      <c r="I325" s="13">
        <f t="shared" si="9"/>
        <v>1009490</v>
      </c>
      <c r="K325" t="s">
        <v>64</v>
      </c>
      <c r="L325" s="13">
        <f>B325/B$346</f>
        <v>0.67039688613033543</v>
      </c>
      <c r="M325" s="13">
        <f t="shared" ref="M325:S325" si="10">C325/C$346</f>
        <v>0.67954675989930424</v>
      </c>
      <c r="N325" s="13">
        <f t="shared" si="10"/>
        <v>0.68485948345119485</v>
      </c>
      <c r="O325" s="13">
        <f t="shared" si="10"/>
        <v>0.69489595381121871</v>
      </c>
      <c r="P325" s="13">
        <f t="shared" si="10"/>
        <v>0.70024591259701874</v>
      </c>
      <c r="Q325" s="13">
        <f t="shared" si="10"/>
        <v>0.69338297416940631</v>
      </c>
      <c r="R325" s="13">
        <f t="shared" si="10"/>
        <v>0.68569681421481987</v>
      </c>
      <c r="S325" s="13">
        <f t="shared" si="10"/>
        <v>0.67616166506781594</v>
      </c>
    </row>
    <row r="326" spans="1:19" x14ac:dyDescent="0.3">
      <c r="A326" t="s">
        <v>65</v>
      </c>
      <c r="B326" s="13">
        <f>H42</f>
        <v>4609600</v>
      </c>
      <c r="C326" s="13">
        <f t="shared" ref="C326:I326" si="11">I42</f>
        <v>4715700</v>
      </c>
      <c r="D326" s="13">
        <f t="shared" si="11"/>
        <v>5133970</v>
      </c>
      <c r="E326" s="13">
        <f t="shared" si="11"/>
        <v>5299600</v>
      </c>
      <c r="F326" s="13">
        <f t="shared" si="11"/>
        <v>5461370</v>
      </c>
      <c r="G326" s="13">
        <f t="shared" si="11"/>
        <v>5574410</v>
      </c>
      <c r="H326" s="13">
        <f t="shared" si="11"/>
        <v>5707440</v>
      </c>
      <c r="I326" s="13">
        <f t="shared" si="11"/>
        <v>5863510</v>
      </c>
      <c r="K326" t="s">
        <v>65</v>
      </c>
      <c r="L326" s="13">
        <f>B326/B$347</f>
        <v>0.7314009271065266</v>
      </c>
      <c r="M326" s="13">
        <f t="shared" ref="M326:S326" si="12">C326/C$347</f>
        <v>0.73272236104503186</v>
      </c>
      <c r="N326" s="13">
        <f t="shared" si="12"/>
        <v>0.73969091438319978</v>
      </c>
      <c r="O326" s="13">
        <f t="shared" si="12"/>
        <v>0.7412003921889373</v>
      </c>
      <c r="P326" s="13">
        <f t="shared" si="12"/>
        <v>0.74543665978272511</v>
      </c>
      <c r="Q326" s="13">
        <f t="shared" si="12"/>
        <v>0.74843829943474738</v>
      </c>
      <c r="R326" s="13">
        <f t="shared" si="12"/>
        <v>0.75156753649572294</v>
      </c>
      <c r="S326" s="13">
        <f t="shared" si="12"/>
        <v>0.75494570026743324</v>
      </c>
    </row>
    <row r="327" spans="1:19" x14ac:dyDescent="0.3">
      <c r="A327" s="25" t="s">
        <v>192</v>
      </c>
      <c r="B327" s="13"/>
      <c r="C327" s="13"/>
      <c r="D327" s="13"/>
      <c r="E327" s="13"/>
      <c r="F327" s="13"/>
      <c r="G327" s="13"/>
      <c r="H327" s="13"/>
      <c r="I327" s="13"/>
      <c r="K327" s="25" t="s">
        <v>192</v>
      </c>
      <c r="L327" s="13"/>
      <c r="M327" s="13"/>
      <c r="N327" s="13"/>
      <c r="O327" s="13"/>
      <c r="P327" s="13"/>
      <c r="Q327" s="13"/>
      <c r="R327" s="13"/>
      <c r="S327" s="13"/>
    </row>
    <row r="328" spans="1:19" x14ac:dyDescent="0.3">
      <c r="A328" t="s">
        <v>64</v>
      </c>
      <c r="B328" s="13">
        <f>H21</f>
        <v>40976.699999999997</v>
      </c>
      <c r="C328" s="13">
        <f t="shared" ref="C328:I328" si="13">I21</f>
        <v>41033</v>
      </c>
      <c r="D328" s="13">
        <f t="shared" si="13"/>
        <v>42091.4</v>
      </c>
      <c r="E328" s="13">
        <f t="shared" si="13"/>
        <v>39974.699999999997</v>
      </c>
      <c r="F328" s="13">
        <f t="shared" si="13"/>
        <v>37613.300000000003</v>
      </c>
      <c r="G328" s="13">
        <f t="shared" si="13"/>
        <v>35369.4</v>
      </c>
      <c r="H328" s="13">
        <f t="shared" si="13"/>
        <v>33551</v>
      </c>
      <c r="I328" s="13">
        <f t="shared" si="13"/>
        <v>31908.5</v>
      </c>
      <c r="K328" t="s">
        <v>64</v>
      </c>
      <c r="L328" s="13">
        <f>B328/B$346</f>
        <v>3.265786389578372E-2</v>
      </c>
      <c r="M328" s="13">
        <f t="shared" ref="M328:S328" si="14">C328/C$346</f>
        <v>3.0537589241635518E-2</v>
      </c>
      <c r="N328" s="13">
        <f t="shared" si="14"/>
        <v>2.8820353983861177E-2</v>
      </c>
      <c r="O328" s="13">
        <f t="shared" si="14"/>
        <v>2.6407195684859424E-2</v>
      </c>
      <c r="P328" s="13">
        <f t="shared" si="14"/>
        <v>2.4320897894922661E-2</v>
      </c>
      <c r="Q328" s="13">
        <f t="shared" si="14"/>
        <v>2.3253282796123338E-2</v>
      </c>
      <c r="R328" s="13">
        <f t="shared" si="14"/>
        <v>2.2309100601923357E-2</v>
      </c>
      <c r="S328" s="13">
        <f t="shared" si="14"/>
        <v>2.1372479657863284E-2</v>
      </c>
    </row>
    <row r="329" spans="1:19" x14ac:dyDescent="0.3">
      <c r="A329" t="s">
        <v>65</v>
      </c>
      <c r="B329" s="13">
        <f>H41</f>
        <v>93507.199999999997</v>
      </c>
      <c r="C329" s="13">
        <f t="shared" ref="C329:I329" si="15">I41</f>
        <v>97021.1</v>
      </c>
      <c r="D329" s="13">
        <f t="shared" si="15"/>
        <v>107249.4</v>
      </c>
      <c r="E329" s="13">
        <f t="shared" si="15"/>
        <v>109920.799999999</v>
      </c>
      <c r="F329" s="13">
        <f t="shared" si="15"/>
        <v>111856</v>
      </c>
      <c r="G329" s="13">
        <f t="shared" si="15"/>
        <v>111779</v>
      </c>
      <c r="H329" s="13">
        <f t="shared" si="15"/>
        <v>112875.2</v>
      </c>
      <c r="I329" s="13">
        <f t="shared" si="15"/>
        <v>115078.7</v>
      </c>
      <c r="K329" t="s">
        <v>65</v>
      </c>
      <c r="L329" s="13">
        <f>B329/B$347</f>
        <v>1.4836700097868666E-2</v>
      </c>
      <c r="M329" s="13">
        <f t="shared" ref="M329:S329" si="16">C329/C$347</f>
        <v>1.5075074636466727E-2</v>
      </c>
      <c r="N329" s="13">
        <f t="shared" si="16"/>
        <v>1.5452253665886156E-2</v>
      </c>
      <c r="O329" s="13">
        <f t="shared" si="16"/>
        <v>1.5373488578330628E-2</v>
      </c>
      <c r="P329" s="13">
        <f t="shared" si="16"/>
        <v>1.5267517677186584E-2</v>
      </c>
      <c r="Q329" s="13">
        <f t="shared" si="16"/>
        <v>1.5007809736369702E-2</v>
      </c>
      <c r="R329" s="13">
        <f t="shared" si="16"/>
        <v>1.4863640440453518E-2</v>
      </c>
      <c r="S329" s="13">
        <f t="shared" si="16"/>
        <v>1.4816751358378491E-2</v>
      </c>
    </row>
    <row r="330" spans="1:19" x14ac:dyDescent="0.3">
      <c r="A330" s="25" t="s">
        <v>177</v>
      </c>
      <c r="B330" s="13"/>
      <c r="C330" s="13"/>
      <c r="D330" s="13"/>
      <c r="E330" s="13"/>
      <c r="F330" s="13"/>
      <c r="G330" s="13"/>
      <c r="H330" s="13"/>
      <c r="I330" s="13"/>
      <c r="K330" s="25" t="s">
        <v>177</v>
      </c>
      <c r="L330" s="13"/>
      <c r="M330" s="13"/>
      <c r="N330" s="13"/>
      <c r="O330" s="13"/>
      <c r="P330" s="13"/>
      <c r="Q330" s="13"/>
      <c r="R330" s="13"/>
      <c r="S330" s="13"/>
    </row>
    <row r="331" spans="1:19" x14ac:dyDescent="0.3">
      <c r="A331" t="s">
        <v>64</v>
      </c>
      <c r="B331" s="13">
        <f>H13</f>
        <v>16023.9</v>
      </c>
      <c r="C331" s="13">
        <f t="shared" ref="C331:I331" si="17">I13</f>
        <v>14467.3</v>
      </c>
      <c r="D331" s="13">
        <f t="shared" si="17"/>
        <v>12908.4</v>
      </c>
      <c r="E331" s="13">
        <f t="shared" si="17"/>
        <v>11555.2</v>
      </c>
      <c r="F331" s="13">
        <f t="shared" si="17"/>
        <v>10533.8</v>
      </c>
      <c r="G331" s="13">
        <f t="shared" si="17"/>
        <v>9884.5300000000007</v>
      </c>
      <c r="H331" s="13">
        <f t="shared" si="17"/>
        <v>9341.42</v>
      </c>
      <c r="I331" s="13">
        <f t="shared" si="17"/>
        <v>8867.4699999999993</v>
      </c>
      <c r="K331" t="s">
        <v>64</v>
      </c>
      <c r="L331" s="13">
        <f>B331/B$346</f>
        <v>1.2770826964583502E-2</v>
      </c>
      <c r="M331" s="13">
        <f t="shared" ref="M331:S331" si="18">C331/C$346</f>
        <v>1.0766857525297041E-2</v>
      </c>
      <c r="N331" s="13">
        <f t="shared" si="18"/>
        <v>8.8384956871302347E-3</v>
      </c>
      <c r="O331" s="13">
        <f t="shared" si="18"/>
        <v>7.6333387762181496E-3</v>
      </c>
      <c r="P331" s="13">
        <f t="shared" si="18"/>
        <v>6.8111937598013548E-3</v>
      </c>
      <c r="Q331" s="13">
        <f t="shared" si="18"/>
        <v>6.4984922389626351E-3</v>
      </c>
      <c r="R331" s="13">
        <f t="shared" si="18"/>
        <v>6.2113999149002678E-3</v>
      </c>
      <c r="S331" s="13">
        <f t="shared" si="18"/>
        <v>5.9394776373603558E-3</v>
      </c>
    </row>
    <row r="332" spans="1:19" x14ac:dyDescent="0.3">
      <c r="A332" t="s">
        <v>65</v>
      </c>
      <c r="B332" s="13">
        <f>H33</f>
        <v>38400.6</v>
      </c>
      <c r="C332" s="13">
        <f t="shared" ref="C332:I332" si="19">I33</f>
        <v>38657.699999999997</v>
      </c>
      <c r="D332" s="13">
        <f t="shared" si="19"/>
        <v>35817.1</v>
      </c>
      <c r="E332" s="13">
        <f t="shared" si="19"/>
        <v>34538.199999999997</v>
      </c>
      <c r="F332" s="13">
        <f t="shared" si="19"/>
        <v>33410.5</v>
      </c>
      <c r="G332" s="13">
        <f t="shared" si="19"/>
        <v>32485.3</v>
      </c>
      <c r="H332" s="13">
        <f t="shared" si="19"/>
        <v>31565.7</v>
      </c>
      <c r="I332" s="13">
        <f t="shared" si="19"/>
        <v>30658.1</v>
      </c>
      <c r="K332" t="s">
        <v>65</v>
      </c>
      <c r="L332" s="13">
        <f>B332/B$347</f>
        <v>6.0929873397793481E-3</v>
      </c>
      <c r="M332" s="13">
        <f t="shared" ref="M332:S332" si="20">C332/C$347</f>
        <v>6.0066079726383195E-3</v>
      </c>
      <c r="N332" s="13">
        <f t="shared" si="20"/>
        <v>5.1604476554312755E-3</v>
      </c>
      <c r="O332" s="13">
        <f t="shared" si="20"/>
        <v>4.8305018087214041E-3</v>
      </c>
      <c r="P332" s="13">
        <f t="shared" si="20"/>
        <v>4.5602864339297161E-3</v>
      </c>
      <c r="Q332" s="13">
        <f t="shared" si="20"/>
        <v>4.3615813491701544E-3</v>
      </c>
      <c r="R332" s="13">
        <f t="shared" si="20"/>
        <v>4.1566368436221921E-3</v>
      </c>
      <c r="S332" s="13">
        <f t="shared" si="20"/>
        <v>3.9473286092066009E-3</v>
      </c>
    </row>
    <row r="333" spans="1:19" x14ac:dyDescent="0.3">
      <c r="A333" s="25" t="s">
        <v>178</v>
      </c>
      <c r="B333" s="13"/>
      <c r="C333" s="13"/>
      <c r="D333" s="13"/>
      <c r="E333" s="13"/>
      <c r="F333" s="13"/>
      <c r="G333" s="13"/>
      <c r="H333" s="13"/>
      <c r="I333" s="13"/>
      <c r="K333" s="25" t="s">
        <v>178</v>
      </c>
      <c r="L333" s="13"/>
      <c r="M333" s="13"/>
      <c r="N333" s="13"/>
      <c r="O333" s="13"/>
      <c r="P333" s="13"/>
      <c r="Q333" s="13"/>
      <c r="R333" s="13"/>
      <c r="S333" s="13"/>
    </row>
    <row r="334" spans="1:19" x14ac:dyDescent="0.3">
      <c r="A334" t="s">
        <v>64</v>
      </c>
      <c r="B334" s="13">
        <f>H18</f>
        <v>48072.800000000003</v>
      </c>
      <c r="C334" s="13">
        <f t="shared" ref="C334:I334" si="21">I18</f>
        <v>43402.9</v>
      </c>
      <c r="D334" s="13">
        <f t="shared" si="21"/>
        <v>38725.9</v>
      </c>
      <c r="E334" s="13">
        <f t="shared" si="21"/>
        <v>34666.400000000001</v>
      </c>
      <c r="F334" s="13">
        <f t="shared" si="21"/>
        <v>31602.1</v>
      </c>
      <c r="G334" s="13">
        <f t="shared" si="21"/>
        <v>29654.2</v>
      </c>
      <c r="H334" s="13">
        <f t="shared" si="21"/>
        <v>28024.799999999999</v>
      </c>
      <c r="I334" s="13">
        <f t="shared" si="21"/>
        <v>26602.9</v>
      </c>
      <c r="K334" t="s">
        <v>64</v>
      </c>
      <c r="L334" s="13">
        <f>B334/B$346</f>
        <v>3.8313357578556397E-2</v>
      </c>
      <c r="M334" s="13">
        <f t="shared" ref="M334:S334" si="22">C334/C$346</f>
        <v>3.2301316796134384E-2</v>
      </c>
      <c r="N334" s="13">
        <f t="shared" si="22"/>
        <v>2.6515966357583961E-2</v>
      </c>
      <c r="O334" s="13">
        <f t="shared" si="22"/>
        <v>2.290054480683059E-2</v>
      </c>
      <c r="P334" s="13">
        <f t="shared" si="22"/>
        <v>2.0434033901974444E-2</v>
      </c>
      <c r="Q334" s="13">
        <f t="shared" si="22"/>
        <v>1.9495877755709757E-2</v>
      </c>
      <c r="R334" s="13">
        <f t="shared" si="22"/>
        <v>1.8634558807450796E-2</v>
      </c>
      <c r="S334" s="13">
        <f t="shared" si="22"/>
        <v>1.7818761116635728E-2</v>
      </c>
    </row>
    <row r="335" spans="1:19" x14ac:dyDescent="0.3">
      <c r="A335" t="s">
        <v>65</v>
      </c>
      <c r="B335" s="13">
        <f>H38</f>
        <v>115202</v>
      </c>
      <c r="C335" s="13">
        <f t="shared" ref="C335:I335" si="23">I38</f>
        <v>115973</v>
      </c>
      <c r="D335" s="13">
        <f t="shared" si="23"/>
        <v>107451</v>
      </c>
      <c r="E335" s="13">
        <f t="shared" si="23"/>
        <v>103615</v>
      </c>
      <c r="F335" s="13">
        <f t="shared" si="23"/>
        <v>100231</v>
      </c>
      <c r="G335" s="13">
        <f t="shared" si="23"/>
        <v>97455.8</v>
      </c>
      <c r="H335" s="13">
        <f t="shared" si="23"/>
        <v>94697.1</v>
      </c>
      <c r="I335" s="13">
        <f t="shared" si="23"/>
        <v>91974.399999999994</v>
      </c>
      <c r="K335" t="s">
        <v>65</v>
      </c>
      <c r="L335" s="13">
        <f>B335/B$347</f>
        <v>1.8278993753151267E-2</v>
      </c>
      <c r="M335" s="13">
        <f t="shared" ref="M335:S335" si="24">C335/C$347</f>
        <v>1.8019808379980806E-2</v>
      </c>
      <c r="N335" s="13">
        <f t="shared" si="24"/>
        <v>1.5481299742964841E-2</v>
      </c>
      <c r="O335" s="13">
        <f t="shared" si="24"/>
        <v>1.4491561370038633E-2</v>
      </c>
      <c r="P335" s="13">
        <f t="shared" si="24"/>
        <v>1.368079105548284E-2</v>
      </c>
      <c r="Q335" s="13">
        <f t="shared" si="24"/>
        <v>1.3084730621187328E-2</v>
      </c>
      <c r="R335" s="13">
        <f t="shared" si="24"/>
        <v>1.2469910530866577E-2</v>
      </c>
      <c r="S335" s="13">
        <f t="shared" si="24"/>
        <v>1.1841998702940221E-2</v>
      </c>
    </row>
    <row r="336" spans="1:19" x14ac:dyDescent="0.3">
      <c r="A336" s="25" t="s">
        <v>179</v>
      </c>
      <c r="B336" s="13"/>
      <c r="C336" s="13"/>
      <c r="D336" s="13"/>
      <c r="E336" s="13"/>
      <c r="F336" s="13"/>
      <c r="G336" s="13"/>
      <c r="H336" s="13"/>
      <c r="I336" s="13"/>
      <c r="K336" s="25" t="s">
        <v>179</v>
      </c>
      <c r="L336" s="13"/>
      <c r="M336" s="13"/>
      <c r="N336" s="13"/>
      <c r="O336" s="13"/>
      <c r="P336" s="13"/>
      <c r="Q336" s="13"/>
      <c r="R336" s="13"/>
      <c r="S336" s="13"/>
    </row>
    <row r="337" spans="1:19" x14ac:dyDescent="0.3">
      <c r="A337" t="s">
        <v>64</v>
      </c>
      <c r="B337" s="13">
        <f>H15</f>
        <v>0</v>
      </c>
      <c r="C337" s="13">
        <f t="shared" ref="C337:I337" si="25">I15</f>
        <v>332.38499999999999</v>
      </c>
      <c r="D337" s="13">
        <f t="shared" si="25"/>
        <v>872.17499999999995</v>
      </c>
      <c r="E337" s="13">
        <f t="shared" si="25"/>
        <v>1538.51</v>
      </c>
      <c r="F337" s="13">
        <f t="shared" si="25"/>
        <v>2331.1</v>
      </c>
      <c r="G337" s="13">
        <f t="shared" si="25"/>
        <v>3182.59</v>
      </c>
      <c r="H337" s="13">
        <f t="shared" si="25"/>
        <v>4189.79</v>
      </c>
      <c r="I337" s="13">
        <f t="shared" si="25"/>
        <v>5365.01</v>
      </c>
      <c r="K337" t="s">
        <v>64</v>
      </c>
      <c r="L337" s="13">
        <f>B337/B$346</f>
        <v>0</v>
      </c>
      <c r="M337" s="13">
        <f t="shared" ref="M337:S337" si="26">C337/C$346</f>
        <v>2.4736764555555337E-4</v>
      </c>
      <c r="N337" s="13">
        <f t="shared" si="26"/>
        <v>5.9718593907244987E-4</v>
      </c>
      <c r="O337" s="13">
        <f t="shared" si="26"/>
        <v>1.0163361984733613E-3</v>
      </c>
      <c r="P337" s="13">
        <f t="shared" si="26"/>
        <v>1.5072978197301012E-3</v>
      </c>
      <c r="Q337" s="13">
        <f t="shared" si="26"/>
        <v>2.092364170557436E-3</v>
      </c>
      <c r="R337" s="13">
        <f t="shared" si="26"/>
        <v>2.7859213320298188E-3</v>
      </c>
      <c r="S337" s="13">
        <f t="shared" si="26"/>
        <v>3.593511668966987E-3</v>
      </c>
    </row>
    <row r="338" spans="1:19" x14ac:dyDescent="0.3">
      <c r="A338" t="s">
        <v>65</v>
      </c>
      <c r="B338" s="13">
        <f>H35</f>
        <v>21169.9</v>
      </c>
      <c r="C338" s="13">
        <f t="shared" ref="C338:I338" si="27">I35</f>
        <v>21370.7</v>
      </c>
      <c r="D338" s="13">
        <f t="shared" si="27"/>
        <v>28026.799999999999</v>
      </c>
      <c r="E338" s="13">
        <f t="shared" si="27"/>
        <v>31977.200000000001</v>
      </c>
      <c r="F338" s="13">
        <f t="shared" si="27"/>
        <v>35922.400000000001</v>
      </c>
      <c r="G338" s="13">
        <f t="shared" si="27"/>
        <v>35607.199999999997</v>
      </c>
      <c r="H338" s="13">
        <f t="shared" si="27"/>
        <v>35780.800000000003</v>
      </c>
      <c r="I338" s="13">
        <f t="shared" si="27"/>
        <v>36397.300000000003</v>
      </c>
      <c r="K338" t="s">
        <v>65</v>
      </c>
      <c r="L338" s="13">
        <f>B338/B$347</f>
        <v>3.3590082624853478E-3</v>
      </c>
      <c r="M338" s="13">
        <f t="shared" ref="M338:S338" si="28">C338/C$347</f>
        <v>3.3205652949053295E-3</v>
      </c>
      <c r="N338" s="13">
        <f t="shared" si="28"/>
        <v>4.0380386560955875E-3</v>
      </c>
      <c r="O338" s="13">
        <f t="shared" si="28"/>
        <v>4.4723211527481479E-3</v>
      </c>
      <c r="P338" s="13">
        <f t="shared" si="28"/>
        <v>4.9031422275690835E-3</v>
      </c>
      <c r="Q338" s="13">
        <f t="shared" si="28"/>
        <v>4.7807377311021139E-3</v>
      </c>
      <c r="R338" s="13">
        <f t="shared" si="28"/>
        <v>4.711689953787717E-3</v>
      </c>
      <c r="S338" s="13">
        <f t="shared" si="28"/>
        <v>4.686268998661868E-3</v>
      </c>
    </row>
    <row r="339" spans="1:19" x14ac:dyDescent="0.3">
      <c r="A339" s="25" t="s">
        <v>180</v>
      </c>
      <c r="B339" s="13"/>
      <c r="C339" s="13"/>
      <c r="D339" s="13"/>
      <c r="E339" s="13"/>
      <c r="F339" s="13"/>
      <c r="G339" s="13"/>
      <c r="H339" s="13"/>
      <c r="I339" s="13"/>
      <c r="K339" s="25" t="s">
        <v>180</v>
      </c>
      <c r="L339" s="13"/>
      <c r="M339" s="13"/>
      <c r="N339" s="13"/>
      <c r="O339" s="13"/>
      <c r="P339" s="13"/>
      <c r="Q339" s="13"/>
      <c r="R339" s="13"/>
      <c r="S339" s="13"/>
    </row>
    <row r="340" spans="1:19" x14ac:dyDescent="0.3">
      <c r="A340" t="s">
        <v>64</v>
      </c>
      <c r="B340" s="13">
        <f>H16</f>
        <v>57839.1</v>
      </c>
      <c r="C340" s="13">
        <f t="shared" ref="C340:I340" si="29">I16</f>
        <v>61252.1</v>
      </c>
      <c r="D340" s="13">
        <f t="shared" si="29"/>
        <v>65091.5</v>
      </c>
      <c r="E340" s="13">
        <f t="shared" si="29"/>
        <v>65146.9</v>
      </c>
      <c r="F340" s="13">
        <f t="shared" si="29"/>
        <v>64534</v>
      </c>
      <c r="G340" s="13">
        <f t="shared" si="29"/>
        <v>63134.1</v>
      </c>
      <c r="H340" s="13">
        <f t="shared" si="29"/>
        <v>62053.8999999999</v>
      </c>
      <c r="I340" s="13">
        <f t="shared" si="29"/>
        <v>61115.7</v>
      </c>
      <c r="K340" t="s">
        <v>64</v>
      </c>
      <c r="L340" s="13">
        <f>B340/B$346</f>
        <v>4.6096963778308755E-2</v>
      </c>
      <c r="M340" s="13">
        <f t="shared" ref="M340:S340" si="30">C340/C$346</f>
        <v>4.5585052762108128E-2</v>
      </c>
      <c r="N340" s="13">
        <f t="shared" si="30"/>
        <v>4.4568725947355031E-2</v>
      </c>
      <c r="O340" s="13">
        <f t="shared" si="30"/>
        <v>4.3035893616761814E-2</v>
      </c>
      <c r="P340" s="13">
        <f t="shared" si="30"/>
        <v>4.1727921366935074E-2</v>
      </c>
      <c r="Q340" s="13">
        <f t="shared" si="30"/>
        <v>4.1506926365127213E-2</v>
      </c>
      <c r="R340" s="13">
        <f t="shared" si="30"/>
        <v>4.1261562929322211E-2</v>
      </c>
      <c r="S340" s="13">
        <f t="shared" si="30"/>
        <v>4.0935614492253629E-2</v>
      </c>
    </row>
    <row r="341" spans="1:19" x14ac:dyDescent="0.3">
      <c r="A341" t="s">
        <v>65</v>
      </c>
      <c r="B341" s="13">
        <f>H36</f>
        <v>365615</v>
      </c>
      <c r="C341" s="13">
        <f t="shared" ref="C341:I341" si="31">I36</f>
        <v>376946.2</v>
      </c>
      <c r="D341" s="13">
        <f t="shared" si="31"/>
        <v>417613.2</v>
      </c>
      <c r="E341" s="13">
        <f t="shared" si="31"/>
        <v>430627</v>
      </c>
      <c r="F341" s="13">
        <f t="shared" si="31"/>
        <v>439863.3</v>
      </c>
      <c r="G341" s="13">
        <f t="shared" si="31"/>
        <v>443022.5</v>
      </c>
      <c r="H341" s="13">
        <f t="shared" si="31"/>
        <v>449764.7</v>
      </c>
      <c r="I341" s="13">
        <f t="shared" si="31"/>
        <v>459813.4</v>
      </c>
      <c r="K341" t="s">
        <v>65</v>
      </c>
      <c r="L341" s="13">
        <f>B341/B$347</f>
        <v>5.8011790603100639E-2</v>
      </c>
      <c r="M341" s="13">
        <f t="shared" ref="M341:S341" si="32">C341/C$347</f>
        <v>5.8569652363583941E-2</v>
      </c>
      <c r="N341" s="13">
        <f t="shared" si="32"/>
        <v>6.0168775775178686E-2</v>
      </c>
      <c r="O341" s="13">
        <f t="shared" si="32"/>
        <v>6.0227357024519868E-2</v>
      </c>
      <c r="P341" s="13">
        <f t="shared" si="32"/>
        <v>6.0038091012512743E-2</v>
      </c>
      <c r="Q341" s="13">
        <f t="shared" si="32"/>
        <v>5.9481632407973287E-2</v>
      </c>
      <c r="R341" s="13">
        <f t="shared" si="32"/>
        <v>5.9225948513122857E-2</v>
      </c>
      <c r="S341" s="13">
        <f t="shared" si="32"/>
        <v>5.92024485769359E-2</v>
      </c>
    </row>
    <row r="342" spans="1:19" x14ac:dyDescent="0.3">
      <c r="A342" s="25" t="s">
        <v>181</v>
      </c>
      <c r="B342" s="13"/>
      <c r="C342" s="13"/>
      <c r="D342" s="13"/>
      <c r="E342" s="13"/>
      <c r="F342" s="13"/>
      <c r="G342" s="13"/>
      <c r="H342" s="13"/>
      <c r="I342" s="13"/>
      <c r="K342" s="25" t="s">
        <v>181</v>
      </c>
      <c r="L342" s="13"/>
      <c r="M342" s="13"/>
      <c r="N342" s="13"/>
      <c r="O342" s="13"/>
      <c r="P342" s="13"/>
      <c r="Q342" s="13"/>
      <c r="R342" s="13"/>
      <c r="S342" s="13"/>
    </row>
    <row r="343" spans="1:19" x14ac:dyDescent="0.3">
      <c r="A343" t="s">
        <v>64</v>
      </c>
      <c r="B343" s="13">
        <f>H14</f>
        <v>6241.59</v>
      </c>
      <c r="C343" s="13">
        <f t="shared" ref="C343:I343" si="33">I14</f>
        <v>7592.54</v>
      </c>
      <c r="D343" s="13">
        <f t="shared" si="33"/>
        <v>10863.3</v>
      </c>
      <c r="E343" s="13">
        <f t="shared" si="33"/>
        <v>13870.3</v>
      </c>
      <c r="F343" s="13">
        <f t="shared" si="33"/>
        <v>15597.6482</v>
      </c>
      <c r="G343" s="13">
        <f t="shared" si="33"/>
        <v>17104.3207</v>
      </c>
      <c r="H343" s="13">
        <f t="shared" si="33"/>
        <v>18098.761999999999</v>
      </c>
      <c r="I343" s="13">
        <f t="shared" si="33"/>
        <v>18826.929</v>
      </c>
      <c r="K343" t="s">
        <v>64</v>
      </c>
      <c r="L343" s="13">
        <f>B343/B$346</f>
        <v>4.9744610159745597E-3</v>
      </c>
      <c r="M343" s="13">
        <f t="shared" ref="M343:S343" si="34">C343/C$346</f>
        <v>5.6505219657516474E-3</v>
      </c>
      <c r="N343" s="13">
        <f t="shared" si="34"/>
        <v>7.4381976230982836E-3</v>
      </c>
      <c r="O343" s="13">
        <f t="shared" si="34"/>
        <v>9.162688558205706E-3</v>
      </c>
      <c r="P343" s="13">
        <f t="shared" si="34"/>
        <v>1.0085496600221842E-2</v>
      </c>
      <c r="Q343" s="13">
        <f t="shared" si="34"/>
        <v>1.1245076429701557E-2</v>
      </c>
      <c r="R343" s="13">
        <f t="shared" si="34"/>
        <v>1.203442825037309E-2</v>
      </c>
      <c r="S343" s="13">
        <f t="shared" si="34"/>
        <v>1.261037520010456E-2</v>
      </c>
    </row>
    <row r="344" spans="1:19" x14ac:dyDescent="0.3">
      <c r="A344" t="s">
        <v>65</v>
      </c>
      <c r="B344" s="13">
        <f>H34</f>
        <v>277139</v>
      </c>
      <c r="C344" s="13">
        <f t="shared" ref="C344:I344" si="35">I34</f>
        <v>288496</v>
      </c>
      <c r="D344" s="13">
        <f t="shared" si="35"/>
        <v>378904</v>
      </c>
      <c r="E344" s="13">
        <f t="shared" si="35"/>
        <v>439370</v>
      </c>
      <c r="F344" s="13">
        <f t="shared" si="35"/>
        <v>474600.73100000003</v>
      </c>
      <c r="G344" s="13">
        <f t="shared" si="35"/>
        <v>508166.11</v>
      </c>
      <c r="H344" s="13">
        <f t="shared" si="35"/>
        <v>536592.27</v>
      </c>
      <c r="I344" s="13">
        <f t="shared" si="35"/>
        <v>561748.1</v>
      </c>
      <c r="K344" t="s">
        <v>65</v>
      </c>
      <c r="L344" s="13">
        <f>B344/B$347</f>
        <v>4.3973386310607356E-2</v>
      </c>
      <c r="M344" s="13">
        <f t="shared" ref="M344:S344" si="36">C344/C$347</f>
        <v>4.4826318525785676E-2</v>
      </c>
      <c r="N344" s="13">
        <f t="shared" si="36"/>
        <v>5.4591640820544712E-2</v>
      </c>
      <c r="O344" s="13">
        <f t="shared" si="36"/>
        <v>6.1450150259652309E-2</v>
      </c>
      <c r="P344" s="13">
        <f t="shared" si="36"/>
        <v>6.4779493725398513E-2</v>
      </c>
      <c r="Q344" s="13">
        <f t="shared" si="36"/>
        <v>6.8228023987968373E-2</v>
      </c>
      <c r="R344" s="13">
        <f t="shared" si="36"/>
        <v>7.0659583012094365E-2</v>
      </c>
      <c r="S344" s="13">
        <f t="shared" si="36"/>
        <v>7.2326867819514265E-2</v>
      </c>
    </row>
    <row r="345" spans="1:19" x14ac:dyDescent="0.3">
      <c r="A345" s="29" t="s">
        <v>193</v>
      </c>
      <c r="B345" s="13"/>
      <c r="C345" s="13"/>
      <c r="D345" s="13"/>
      <c r="E345" s="13"/>
      <c r="F345" s="13"/>
      <c r="G345" s="13"/>
      <c r="H345" s="13"/>
      <c r="I345" s="13"/>
      <c r="K345" s="29" t="s">
        <v>193</v>
      </c>
    </row>
    <row r="346" spans="1:19" x14ac:dyDescent="0.3">
      <c r="A346" t="s">
        <v>64</v>
      </c>
      <c r="B346" s="13">
        <f>H13+H14+H15+H16+H18+H19+H21+H22</f>
        <v>1254726.8900000001</v>
      </c>
      <c r="C346" s="13">
        <f t="shared" ref="C346:I346" si="37">I13+I14+I15+I16+I18+I19+I21+I22</f>
        <v>1343688.2549999999</v>
      </c>
      <c r="D346" s="13">
        <f t="shared" si="37"/>
        <v>1460474.7749999999</v>
      </c>
      <c r="E346" s="13">
        <f t="shared" si="37"/>
        <v>1513780.58</v>
      </c>
      <c r="F346" s="13">
        <f t="shared" si="37"/>
        <v>1546542.4081999999</v>
      </c>
      <c r="G346" s="13">
        <f t="shared" si="37"/>
        <v>1521049.7507</v>
      </c>
      <c r="H346" s="13">
        <f t="shared" si="37"/>
        <v>1503915.4019999998</v>
      </c>
      <c r="I346" s="13">
        <f t="shared" si="37"/>
        <v>1492971.3589999999</v>
      </c>
      <c r="K346" t="s">
        <v>64</v>
      </c>
      <c r="L346">
        <f>L322+L325+L328+L331+L334+L337+L340+L343</f>
        <v>0.99999999999999989</v>
      </c>
      <c r="M346">
        <f t="shared" ref="M346:S347" si="38">M322+M325+M328+M331+M334+M337+M340+M343</f>
        <v>1</v>
      </c>
      <c r="N346">
        <f t="shared" si="38"/>
        <v>1</v>
      </c>
      <c r="O346">
        <f t="shared" si="38"/>
        <v>1</v>
      </c>
      <c r="P346">
        <f t="shared" si="38"/>
        <v>1</v>
      </c>
      <c r="Q346">
        <f t="shared" si="38"/>
        <v>1</v>
      </c>
      <c r="R346">
        <f t="shared" si="38"/>
        <v>1.0000000000000002</v>
      </c>
      <c r="S346">
        <f t="shared" si="38"/>
        <v>0.99999999999999989</v>
      </c>
    </row>
    <row r="347" spans="1:19" x14ac:dyDescent="0.3">
      <c r="A347" t="s">
        <v>65</v>
      </c>
      <c r="B347" s="13">
        <f>H33+H34+H35+H36+H38+H39+H41+H42</f>
        <v>6302425.7000000002</v>
      </c>
      <c r="C347" s="13">
        <f t="shared" ref="C347:I347" si="39">I33+I34+I35+I36+I38+I39+I41+I42</f>
        <v>6435861.9999999991</v>
      </c>
      <c r="D347" s="13">
        <f t="shared" si="39"/>
        <v>6940696.3099999987</v>
      </c>
      <c r="E347" s="13">
        <f t="shared" si="39"/>
        <v>7150023.1999999993</v>
      </c>
      <c r="F347" s="13">
        <f t="shared" si="39"/>
        <v>7326403.8309999993</v>
      </c>
      <c r="G347" s="13">
        <f t="shared" si="39"/>
        <v>7448055.5099999998</v>
      </c>
      <c r="H347" s="13">
        <f t="shared" si="39"/>
        <v>7594048.0700000003</v>
      </c>
      <c r="I347" s="13">
        <f t="shared" si="39"/>
        <v>7766797</v>
      </c>
      <c r="K347" t="s">
        <v>65</v>
      </c>
      <c r="L347">
        <f>L323+L326+L329+L332+L335+L338+L341+L344</f>
        <v>1</v>
      </c>
      <c r="M347">
        <f t="shared" si="38"/>
        <v>1</v>
      </c>
      <c r="N347">
        <f t="shared" si="38"/>
        <v>0.99999999999999989</v>
      </c>
      <c r="O347">
        <f t="shared" si="38"/>
        <v>0.99999999999999978</v>
      </c>
      <c r="P347">
        <f t="shared" si="38"/>
        <v>0.99999999999999989</v>
      </c>
      <c r="Q347">
        <f t="shared" si="38"/>
        <v>1.0000000000000002</v>
      </c>
      <c r="R347">
        <f t="shared" si="38"/>
        <v>1</v>
      </c>
      <c r="S347">
        <f t="shared" si="38"/>
        <v>0.99999999999999989</v>
      </c>
    </row>
    <row r="348" spans="1:19" x14ac:dyDescent="0.3">
      <c r="A348" s="11" t="s">
        <v>174</v>
      </c>
    </row>
    <row r="349" spans="1:19" x14ac:dyDescent="0.3">
      <c r="A349" s="25" t="s">
        <v>175</v>
      </c>
    </row>
    <row r="350" spans="1:19" x14ac:dyDescent="0.3">
      <c r="A350" t="s">
        <v>64</v>
      </c>
      <c r="B350">
        <f>H63</f>
        <v>1.32408E-2</v>
      </c>
      <c r="C350">
        <f t="shared" ref="C350:I350" si="40">I63</f>
        <v>1.32408E-2</v>
      </c>
      <c r="D350">
        <f t="shared" si="40"/>
        <v>1.32408E-2</v>
      </c>
      <c r="E350">
        <f t="shared" si="40"/>
        <v>1.32408E-2</v>
      </c>
      <c r="F350">
        <f t="shared" si="40"/>
        <v>1.32408E-2</v>
      </c>
      <c r="G350">
        <f t="shared" si="40"/>
        <v>1.32408E-2</v>
      </c>
      <c r="H350">
        <f t="shared" si="40"/>
        <v>1.32408E-2</v>
      </c>
      <c r="I350">
        <f t="shared" si="40"/>
        <v>1.32408E-2</v>
      </c>
    </row>
    <row r="351" spans="1:19" x14ac:dyDescent="0.3">
      <c r="A351" t="s">
        <v>65</v>
      </c>
      <c r="B351">
        <f>H83</f>
        <v>5.0994900000000003E-2</v>
      </c>
      <c r="C351">
        <f t="shared" ref="C351:I351" si="41">I83</f>
        <v>5.0994900000000003E-2</v>
      </c>
      <c r="D351">
        <f t="shared" si="41"/>
        <v>5.0994900000000003E-2</v>
      </c>
      <c r="E351">
        <f t="shared" si="41"/>
        <v>5.0994900000000003E-2</v>
      </c>
      <c r="F351">
        <f t="shared" si="41"/>
        <v>5.0994900000000003E-2</v>
      </c>
      <c r="G351">
        <f t="shared" si="41"/>
        <v>5.0994900000000003E-2</v>
      </c>
      <c r="H351">
        <f t="shared" si="41"/>
        <v>5.0994900000000003E-2</v>
      </c>
      <c r="I351">
        <f t="shared" si="41"/>
        <v>5.0994900000000003E-2</v>
      </c>
    </row>
    <row r="352" spans="1:19" x14ac:dyDescent="0.3">
      <c r="A352" s="25" t="s">
        <v>176</v>
      </c>
    </row>
    <row r="353" spans="1:9" x14ac:dyDescent="0.3">
      <c r="A353" t="s">
        <v>64</v>
      </c>
      <c r="B353">
        <f>H67</f>
        <v>1</v>
      </c>
      <c r="C353">
        <f t="shared" ref="C353:I353" si="42">I67</f>
        <v>1</v>
      </c>
      <c r="D353">
        <f t="shared" si="42"/>
        <v>1</v>
      </c>
      <c r="E353">
        <f t="shared" si="42"/>
        <v>1</v>
      </c>
      <c r="F353">
        <f t="shared" si="42"/>
        <v>1</v>
      </c>
      <c r="G353">
        <f t="shared" si="42"/>
        <v>1</v>
      </c>
      <c r="H353">
        <f t="shared" si="42"/>
        <v>1</v>
      </c>
      <c r="I353">
        <f t="shared" si="42"/>
        <v>1</v>
      </c>
    </row>
    <row r="354" spans="1:9" x14ac:dyDescent="0.3">
      <c r="A354" t="s">
        <v>65</v>
      </c>
      <c r="B354">
        <f>H87</f>
        <v>1</v>
      </c>
      <c r="C354">
        <f t="shared" ref="C354:I354" si="43">I87</f>
        <v>1</v>
      </c>
      <c r="D354">
        <f t="shared" si="43"/>
        <v>1</v>
      </c>
      <c r="E354">
        <f t="shared" si="43"/>
        <v>1</v>
      </c>
      <c r="F354">
        <f t="shared" si="43"/>
        <v>1</v>
      </c>
      <c r="G354">
        <f t="shared" si="43"/>
        <v>1</v>
      </c>
      <c r="H354">
        <f t="shared" si="43"/>
        <v>1</v>
      </c>
      <c r="I354">
        <f t="shared" si="43"/>
        <v>1</v>
      </c>
    </row>
    <row r="355" spans="1:9" x14ac:dyDescent="0.3">
      <c r="A355" s="25" t="s">
        <v>177</v>
      </c>
    </row>
    <row r="356" spans="1:9" x14ac:dyDescent="0.3">
      <c r="A356" t="s">
        <v>64</v>
      </c>
      <c r="B356">
        <f>H60</f>
        <v>1.37751E-2</v>
      </c>
      <c r="C356">
        <f t="shared" ref="C356:I356" si="44">I60</f>
        <v>1.37751E-2</v>
      </c>
      <c r="D356">
        <f t="shared" si="44"/>
        <v>1.37751E-2</v>
      </c>
      <c r="E356">
        <f t="shared" si="44"/>
        <v>1.37751E-2</v>
      </c>
      <c r="F356">
        <f t="shared" si="44"/>
        <v>1.37751E-2</v>
      </c>
      <c r="G356">
        <f t="shared" si="44"/>
        <v>1.37751E-2</v>
      </c>
      <c r="H356">
        <f t="shared" si="44"/>
        <v>1.37751E-2</v>
      </c>
      <c r="I356">
        <f t="shared" si="44"/>
        <v>1.37751E-2</v>
      </c>
    </row>
    <row r="357" spans="1:9" x14ac:dyDescent="0.3">
      <c r="A357" t="s">
        <v>65</v>
      </c>
      <c r="B357">
        <f>H80</f>
        <v>2.39487E-2</v>
      </c>
      <c r="C357">
        <f t="shared" ref="C357:I357" si="45">I80</f>
        <v>2.39487E-2</v>
      </c>
      <c r="D357">
        <f t="shared" si="45"/>
        <v>2.39487E-2</v>
      </c>
      <c r="E357">
        <f t="shared" si="45"/>
        <v>2.39487E-2</v>
      </c>
      <c r="F357">
        <f t="shared" si="45"/>
        <v>2.39487E-2</v>
      </c>
      <c r="G357">
        <f t="shared" si="45"/>
        <v>2.39487E-2</v>
      </c>
      <c r="H357">
        <f t="shared" si="45"/>
        <v>2.39487E-2</v>
      </c>
      <c r="I357">
        <f t="shared" si="45"/>
        <v>2.39487E-2</v>
      </c>
    </row>
    <row r="358" spans="1:9" x14ac:dyDescent="0.3">
      <c r="A358" s="25" t="s">
        <v>178</v>
      </c>
    </row>
    <row r="359" spans="1:9" x14ac:dyDescent="0.3">
      <c r="A359" t="s">
        <v>64</v>
      </c>
      <c r="B359">
        <f>H64</f>
        <v>0.40357500000000002</v>
      </c>
      <c r="C359">
        <f t="shared" ref="C359:H359" si="46">I64</f>
        <v>0.40357500000000002</v>
      </c>
      <c r="D359">
        <f t="shared" si="46"/>
        <v>0.40357500000000002</v>
      </c>
      <c r="E359">
        <f t="shared" si="46"/>
        <v>0.40357500000000002</v>
      </c>
      <c r="F359">
        <f t="shared" si="46"/>
        <v>0.40357500000000002</v>
      </c>
      <c r="G359">
        <f t="shared" si="46"/>
        <v>0.40357500000000002</v>
      </c>
      <c r="H359">
        <f t="shared" si="46"/>
        <v>0.40357500000000002</v>
      </c>
      <c r="I359">
        <f>O64</f>
        <v>0.40357500000000002</v>
      </c>
    </row>
    <row r="360" spans="1:9" x14ac:dyDescent="0.3">
      <c r="A360" t="s">
        <v>65</v>
      </c>
      <c r="B360">
        <f>H84</f>
        <v>0.701623</v>
      </c>
      <c r="C360">
        <f t="shared" ref="C360:H360" si="47">I84</f>
        <v>0.701623</v>
      </c>
      <c r="D360">
        <f t="shared" si="47"/>
        <v>0.701623</v>
      </c>
      <c r="E360">
        <f t="shared" si="47"/>
        <v>0.701623</v>
      </c>
      <c r="F360">
        <f t="shared" si="47"/>
        <v>0.701623</v>
      </c>
      <c r="G360">
        <f t="shared" si="47"/>
        <v>0.701623</v>
      </c>
      <c r="H360">
        <f t="shared" si="47"/>
        <v>0.701623</v>
      </c>
      <c r="I360">
        <f>O84</f>
        <v>0.701623</v>
      </c>
    </row>
    <row r="361" spans="1:9" x14ac:dyDescent="0.3">
      <c r="A361" s="25" t="s">
        <v>179</v>
      </c>
    </row>
    <row r="362" spans="1:9" x14ac:dyDescent="0.3">
      <c r="A362" t="s">
        <v>64</v>
      </c>
      <c r="B362">
        <f>H62</f>
        <v>0</v>
      </c>
      <c r="C362">
        <f t="shared" ref="C362:I362" si="48">I62</f>
        <v>5.8823499999999997E-5</v>
      </c>
      <c r="D362">
        <f t="shared" si="48"/>
        <v>1.1764699999999999E-4</v>
      </c>
      <c r="E362">
        <f t="shared" si="48"/>
        <v>1.7647100000000001E-4</v>
      </c>
      <c r="F362">
        <f t="shared" si="48"/>
        <v>2.3529399999999999E-4</v>
      </c>
      <c r="G362">
        <f t="shared" si="48"/>
        <v>2.9411800000000001E-4</v>
      </c>
      <c r="H362">
        <f t="shared" si="48"/>
        <v>3.5294100000000001E-4</v>
      </c>
      <c r="I362">
        <f t="shared" si="48"/>
        <v>4.1176500000000003E-4</v>
      </c>
    </row>
    <row r="363" spans="1:9" x14ac:dyDescent="0.3">
      <c r="A363" t="s">
        <v>65</v>
      </c>
      <c r="B363">
        <f>H82</f>
        <v>2.4110999999999998E-3</v>
      </c>
      <c r="C363">
        <f t="shared" ref="C363:I363" si="49">I82</f>
        <v>2.3281E-3</v>
      </c>
      <c r="D363">
        <f t="shared" si="49"/>
        <v>2.2450899999999999E-3</v>
      </c>
      <c r="E363">
        <f t="shared" si="49"/>
        <v>2.1620799999999998E-3</v>
      </c>
      <c r="F363">
        <f t="shared" si="49"/>
        <v>2.0790800000000001E-3</v>
      </c>
      <c r="G363">
        <f t="shared" si="49"/>
        <v>1.99607E-3</v>
      </c>
      <c r="H363">
        <f t="shared" si="49"/>
        <v>1.91307E-3</v>
      </c>
      <c r="I363">
        <f t="shared" si="49"/>
        <v>1.8300600000000001E-3</v>
      </c>
    </row>
    <row r="364" spans="1:9" x14ac:dyDescent="0.3">
      <c r="A364" s="25" t="s">
        <v>180</v>
      </c>
    </row>
    <row r="365" spans="1:9" x14ac:dyDescent="0.3">
      <c r="A365" t="s">
        <v>64</v>
      </c>
      <c r="B365">
        <f>H63</f>
        <v>1.32408E-2</v>
      </c>
      <c r="C365">
        <f t="shared" ref="C365:I365" si="50">I63</f>
        <v>1.32408E-2</v>
      </c>
      <c r="D365">
        <f t="shared" si="50"/>
        <v>1.32408E-2</v>
      </c>
      <c r="E365">
        <f t="shared" si="50"/>
        <v>1.32408E-2</v>
      </c>
      <c r="F365">
        <f t="shared" si="50"/>
        <v>1.32408E-2</v>
      </c>
      <c r="G365">
        <f t="shared" si="50"/>
        <v>1.32408E-2</v>
      </c>
      <c r="H365">
        <f t="shared" si="50"/>
        <v>1.32408E-2</v>
      </c>
      <c r="I365">
        <f t="shared" si="50"/>
        <v>1.32408E-2</v>
      </c>
    </row>
    <row r="366" spans="1:9" x14ac:dyDescent="0.3">
      <c r="A366" t="s">
        <v>65</v>
      </c>
      <c r="B366">
        <f>H83</f>
        <v>5.0994900000000003E-2</v>
      </c>
      <c r="C366">
        <f t="shared" ref="C366:I366" si="51">I83</f>
        <v>5.0994900000000003E-2</v>
      </c>
      <c r="D366">
        <f t="shared" si="51"/>
        <v>5.0994900000000003E-2</v>
      </c>
      <c r="E366">
        <f t="shared" si="51"/>
        <v>5.0994900000000003E-2</v>
      </c>
      <c r="F366">
        <f t="shared" si="51"/>
        <v>5.0994900000000003E-2</v>
      </c>
      <c r="G366">
        <f t="shared" si="51"/>
        <v>5.0994900000000003E-2</v>
      </c>
      <c r="H366">
        <f t="shared" si="51"/>
        <v>5.0994900000000003E-2</v>
      </c>
      <c r="I366">
        <f t="shared" si="51"/>
        <v>5.0994900000000003E-2</v>
      </c>
    </row>
    <row r="367" spans="1:9" x14ac:dyDescent="0.3">
      <c r="A367" s="25" t="s">
        <v>181</v>
      </c>
    </row>
    <row r="368" spans="1:9" x14ac:dyDescent="0.3">
      <c r="A368" t="s">
        <v>64</v>
      </c>
      <c r="B368">
        <f>H61</f>
        <v>1.4951299999999999E-3</v>
      </c>
      <c r="C368">
        <f t="shared" ref="C368:I368" si="52">I61</f>
        <v>1.4951299999999999E-3</v>
      </c>
      <c r="D368">
        <f t="shared" si="52"/>
        <v>1.4951299999999999E-3</v>
      </c>
      <c r="E368">
        <f t="shared" si="52"/>
        <v>1.4951299999999999E-3</v>
      </c>
      <c r="F368">
        <f t="shared" si="52"/>
        <v>1.4951299999999999E-3</v>
      </c>
      <c r="G368">
        <f t="shared" si="52"/>
        <v>1.4951299999999999E-3</v>
      </c>
      <c r="H368">
        <f t="shared" si="52"/>
        <v>1.4951299999999999E-3</v>
      </c>
      <c r="I368">
        <f t="shared" si="52"/>
        <v>1.4951299999999999E-3</v>
      </c>
    </row>
    <row r="369" spans="1:9" x14ac:dyDescent="0.3">
      <c r="A369" t="s">
        <v>65</v>
      </c>
      <c r="B369">
        <f>H81</f>
        <v>8.0730999999999997E-3</v>
      </c>
      <c r="C369">
        <f t="shared" ref="C369:I369" si="53">I81</f>
        <v>8.0730999999999997E-3</v>
      </c>
      <c r="D369">
        <f t="shared" si="53"/>
        <v>8.0730999999999997E-3</v>
      </c>
      <c r="E369">
        <f t="shared" si="53"/>
        <v>8.0730999999999997E-3</v>
      </c>
      <c r="F369">
        <f t="shared" si="53"/>
        <v>8.0730999999999997E-3</v>
      </c>
      <c r="G369">
        <f t="shared" si="53"/>
        <v>8.0730999999999997E-3</v>
      </c>
      <c r="H369">
        <f t="shared" si="53"/>
        <v>8.0730999999999997E-3</v>
      </c>
      <c r="I369">
        <f t="shared" si="53"/>
        <v>8.0730999999999997E-3</v>
      </c>
    </row>
    <row r="371" spans="1:9" x14ac:dyDescent="0.3">
      <c r="A371" s="12" t="s">
        <v>156</v>
      </c>
      <c r="B371">
        <v>2015</v>
      </c>
      <c r="C371">
        <v>2020</v>
      </c>
      <c r="D371">
        <v>2050</v>
      </c>
    </row>
    <row r="372" spans="1:9" x14ac:dyDescent="0.3">
      <c r="A372" s="11" t="s">
        <v>169</v>
      </c>
      <c r="F372" s="11" t="s">
        <v>170</v>
      </c>
    </row>
    <row r="373" spans="1:9" x14ac:dyDescent="0.3">
      <c r="A373" s="25" t="s">
        <v>194</v>
      </c>
      <c r="F373" s="25" t="s">
        <v>194</v>
      </c>
    </row>
    <row r="374" spans="1:9" x14ac:dyDescent="0.3">
      <c r="A374" t="s">
        <v>64</v>
      </c>
      <c r="B374">
        <f>D257</f>
        <v>0.85451866970627199</v>
      </c>
      <c r="C374">
        <f>D261</f>
        <v>0.85738512213416795</v>
      </c>
      <c r="D374">
        <f>D265</f>
        <v>0.80970254839622502</v>
      </c>
      <c r="F374" t="s">
        <v>64</v>
      </c>
      <c r="H374">
        <f>(C374-B374)/B374</f>
        <v>3.354464366332991E-3</v>
      </c>
      <c r="I374">
        <f>(D374-B374)/B374</f>
        <v>-5.2446041144369432E-2</v>
      </c>
    </row>
    <row r="375" spans="1:9" x14ac:dyDescent="0.3">
      <c r="A375" t="s">
        <v>65</v>
      </c>
      <c r="B375">
        <f>D269</f>
        <v>0.84801381692573397</v>
      </c>
      <c r="C375">
        <f>D273</f>
        <v>0.84736636684584998</v>
      </c>
      <c r="D375">
        <f>D277</f>
        <v>0.74423346027120296</v>
      </c>
      <c r="F375" t="s">
        <v>65</v>
      </c>
      <c r="H375">
        <f t="shared" ref="H375:H384" si="54">(C375-B375)/B375</f>
        <v>-7.6349001273487926E-4</v>
      </c>
      <c r="I375">
        <f t="shared" ref="I375:I384" si="55">(D375-B375)/B375</f>
        <v>-0.12238050204271579</v>
      </c>
    </row>
    <row r="376" spans="1:9" x14ac:dyDescent="0.3">
      <c r="A376" s="25" t="s">
        <v>195</v>
      </c>
      <c r="F376" s="25" t="s">
        <v>195</v>
      </c>
    </row>
    <row r="377" spans="1:9" x14ac:dyDescent="0.3">
      <c r="A377" t="s">
        <v>64</v>
      </c>
      <c r="B377">
        <f>D255</f>
        <v>8.2349165068679203E-2</v>
      </c>
      <c r="C377">
        <f>D259</f>
        <v>8.22897302938395E-2</v>
      </c>
      <c r="D377">
        <f>D263</f>
        <v>8.2552391098090802E-2</v>
      </c>
      <c r="F377" t="s">
        <v>64</v>
      </c>
      <c r="H377">
        <f t="shared" si="54"/>
        <v>-7.2174107400038343E-4</v>
      </c>
      <c r="I377">
        <f t="shared" si="55"/>
        <v>2.4678578008909798E-3</v>
      </c>
    </row>
    <row r="378" spans="1:9" x14ac:dyDescent="0.3">
      <c r="A378" t="s">
        <v>65</v>
      </c>
      <c r="B378">
        <f>D267</f>
        <v>5.96257617654165E-2</v>
      </c>
      <c r="C378">
        <f>D271</f>
        <v>5.9431937126332803E-2</v>
      </c>
      <c r="D378">
        <f>D275</f>
        <v>9.76030833468325E-2</v>
      </c>
      <c r="F378" t="s">
        <v>65</v>
      </c>
      <c r="H378">
        <f t="shared" si="54"/>
        <v>-3.2506861689458187E-3</v>
      </c>
      <c r="I378">
        <f t="shared" si="55"/>
        <v>0.63692807365428417</v>
      </c>
    </row>
    <row r="379" spans="1:9" x14ac:dyDescent="0.3">
      <c r="A379" s="25" t="s">
        <v>196</v>
      </c>
      <c r="F379" s="25" t="s">
        <v>196</v>
      </c>
    </row>
    <row r="380" spans="1:9" x14ac:dyDescent="0.3">
      <c r="A380" t="s">
        <v>64</v>
      </c>
      <c r="B380">
        <f>D258</f>
        <v>6.0547951969845401E-2</v>
      </c>
      <c r="C380">
        <f>D262</f>
        <v>5.6786681016208498E-2</v>
      </c>
      <c r="D380">
        <f>D266</f>
        <v>0.107745060505684</v>
      </c>
      <c r="F380" t="s">
        <v>64</v>
      </c>
      <c r="H380">
        <f t="shared" si="54"/>
        <v>-6.2120531434492157E-2</v>
      </c>
      <c r="I380">
        <f t="shared" si="55"/>
        <v>0.77949966927608216</v>
      </c>
    </row>
    <row r="381" spans="1:9" x14ac:dyDescent="0.3">
      <c r="A381" t="s">
        <v>65</v>
      </c>
      <c r="B381">
        <f>D270</f>
        <v>7.7201177660250406E-2</v>
      </c>
      <c r="C381">
        <f>D274</f>
        <v>7.8734011034825302E-2</v>
      </c>
      <c r="D381">
        <f>D278</f>
        <v>0.15375152160556299</v>
      </c>
      <c r="F381" t="s">
        <v>65</v>
      </c>
      <c r="H381">
        <f t="shared" si="54"/>
        <v>1.9855051710747754E-2</v>
      </c>
      <c r="I381">
        <f t="shared" si="55"/>
        <v>0.99156964006686488</v>
      </c>
    </row>
    <row r="382" spans="1:9" x14ac:dyDescent="0.3">
      <c r="A382" s="25" t="s">
        <v>181</v>
      </c>
      <c r="F382" s="25" t="s">
        <v>181</v>
      </c>
    </row>
    <row r="383" spans="1:9" x14ac:dyDescent="0.3">
      <c r="A383" t="s">
        <v>64</v>
      </c>
      <c r="B383">
        <f>D256</f>
        <v>2.5842132552034002E-3</v>
      </c>
      <c r="C383">
        <f>D260</f>
        <v>3.5384665557838401E-3</v>
      </c>
      <c r="D383">
        <f>D264</f>
        <v>0</v>
      </c>
      <c r="F383" t="s">
        <v>64</v>
      </c>
      <c r="H383">
        <f t="shared" si="54"/>
        <v>0.3692625980688779</v>
      </c>
      <c r="I383">
        <f t="shared" si="55"/>
        <v>-1</v>
      </c>
    </row>
    <row r="384" spans="1:9" x14ac:dyDescent="0.3">
      <c r="A384" t="s">
        <v>65</v>
      </c>
      <c r="B384">
        <f>D268</f>
        <v>1.5159243648599101E-2</v>
      </c>
      <c r="C384">
        <f>D272</f>
        <v>1.44676849929924E-2</v>
      </c>
      <c r="D384">
        <f>D276</f>
        <v>4.4119347764012603E-3</v>
      </c>
      <c r="F384" t="s">
        <v>65</v>
      </c>
      <c r="H384">
        <f t="shared" si="54"/>
        <v>-4.5619601586825174E-2</v>
      </c>
      <c r="I384">
        <f t="shared" si="55"/>
        <v>-0.70896075828895477</v>
      </c>
    </row>
    <row r="387" spans="1:9" x14ac:dyDescent="0.3">
      <c r="A387" s="12" t="s">
        <v>157</v>
      </c>
    </row>
    <row r="388" spans="1:9" x14ac:dyDescent="0.3">
      <c r="A388" s="11" t="s">
        <v>171</v>
      </c>
    </row>
    <row r="389" spans="1:9" x14ac:dyDescent="0.3">
      <c r="A389" t="s">
        <v>64</v>
      </c>
      <c r="C389" t="e">
        <f>#REF!*(1+#REF!)</f>
        <v>#REF!</v>
      </c>
      <c r="D389" t="e">
        <f>#REF!*(1+#REF!)</f>
        <v>#REF!</v>
      </c>
    </row>
    <row r="390" spans="1:9" x14ac:dyDescent="0.3">
      <c r="A390" t="s">
        <v>65</v>
      </c>
      <c r="C390" t="e">
        <f>B345*(1+#REF!)</f>
        <v>#REF!</v>
      </c>
      <c r="D390" t="e">
        <f>B345*(1+#REF!)</f>
        <v>#REF!</v>
      </c>
    </row>
    <row r="391" spans="1:9" x14ac:dyDescent="0.3">
      <c r="A391" s="11" t="s">
        <v>172</v>
      </c>
    </row>
    <row r="392" spans="1:9" x14ac:dyDescent="0.3">
      <c r="A392" t="s">
        <v>64</v>
      </c>
      <c r="C392" t="e">
        <f>C389/#REF!</f>
        <v>#REF!</v>
      </c>
      <c r="D392" t="e">
        <f>D389/#REF!</f>
        <v>#REF!</v>
      </c>
    </row>
    <row r="393" spans="1:9" x14ac:dyDescent="0.3">
      <c r="A393" t="s">
        <v>65</v>
      </c>
      <c r="C393" t="e">
        <f>C390/C345</f>
        <v>#REF!</v>
      </c>
      <c r="D393" t="e">
        <f>D390/D345</f>
        <v>#REF!</v>
      </c>
    </row>
    <row r="394" spans="1:9" x14ac:dyDescent="0.3">
      <c r="A394" s="11" t="s">
        <v>173</v>
      </c>
    </row>
    <row r="395" spans="1:9" x14ac:dyDescent="0.3">
      <c r="B395">
        <v>2015</v>
      </c>
      <c r="C395">
        <v>2020</v>
      </c>
      <c r="D395">
        <v>2025</v>
      </c>
      <c r="E395">
        <v>2030</v>
      </c>
      <c r="F395">
        <v>2035</v>
      </c>
      <c r="G395">
        <v>2040</v>
      </c>
      <c r="H395">
        <v>2045</v>
      </c>
      <c r="I395">
        <v>2050</v>
      </c>
    </row>
    <row r="396" spans="1:9" x14ac:dyDescent="0.3">
      <c r="A396" t="s">
        <v>64</v>
      </c>
      <c r="B396">
        <v>1</v>
      </c>
      <c r="C396" t="e">
        <f>C392</f>
        <v>#REF!</v>
      </c>
      <c r="D396" t="e">
        <f>IF(D$312&lt;$I$312,
   $C396 + (D$312 - $C$312) * ($I396 - $C396) / ($I$312 - $C$312),
   "")</f>
        <v>#REF!</v>
      </c>
      <c r="E396" t="e">
        <f t="shared" ref="E396:H397" si="56">IF(E$312&lt;$I$312,
   $C396 + (E$312 - $C$312) * ($I396 - $C396) / ($I$312 - $C$312),
   "")</f>
        <v>#REF!</v>
      </c>
      <c r="F396" t="e">
        <f t="shared" si="56"/>
        <v>#REF!</v>
      </c>
      <c r="G396" t="e">
        <f t="shared" si="56"/>
        <v>#REF!</v>
      </c>
      <c r="H396" t="e">
        <f t="shared" si="56"/>
        <v>#REF!</v>
      </c>
      <c r="I396" t="e">
        <f>D392</f>
        <v>#REF!</v>
      </c>
    </row>
    <row r="397" spans="1:9" x14ac:dyDescent="0.3">
      <c r="A397" t="s">
        <v>65</v>
      </c>
      <c r="B397">
        <v>1</v>
      </c>
      <c r="C397" t="e">
        <f>C393</f>
        <v>#REF!</v>
      </c>
      <c r="D397" t="e">
        <f>IF(D$312&lt;$I$312,
   $C397 + (D$312 - $C$312) * ($I397 - $C397) / ($I$312 - $C$312),
   "")</f>
        <v>#REF!</v>
      </c>
      <c r="E397" t="e">
        <f t="shared" si="56"/>
        <v>#REF!</v>
      </c>
      <c r="F397" t="e">
        <f t="shared" si="56"/>
        <v>#REF!</v>
      </c>
      <c r="G397" t="e">
        <f t="shared" si="56"/>
        <v>#REF!</v>
      </c>
      <c r="H397" t="e">
        <f t="shared" si="56"/>
        <v>#REF!</v>
      </c>
      <c r="I397" t="e">
        <f>D393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9EF1-5B93-4520-92A6-FDD61864B8EE}">
  <dimension ref="A1:AD90"/>
  <sheetViews>
    <sheetView topLeftCell="A71" workbookViewId="0">
      <selection activeCell="F94" sqref="F94"/>
    </sheetView>
  </sheetViews>
  <sheetFormatPr defaultRowHeight="14.4" x14ac:dyDescent="0.3"/>
  <sheetData>
    <row r="1" spans="1:30" s="5" customFormat="1" x14ac:dyDescent="0.3">
      <c r="A1" s="5" t="s">
        <v>68</v>
      </c>
    </row>
    <row r="2" spans="1:30" x14ac:dyDescent="0.3">
      <c r="A2" t="s">
        <v>102</v>
      </c>
      <c r="B2" t="s">
        <v>73</v>
      </c>
      <c r="C2" t="s">
        <v>71</v>
      </c>
      <c r="D2" t="s">
        <v>106</v>
      </c>
      <c r="E2" t="s">
        <v>107</v>
      </c>
      <c r="F2" t="s">
        <v>108</v>
      </c>
      <c r="G2" s="1"/>
      <c r="H2" s="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3">
      <c r="A3" t="s">
        <v>109</v>
      </c>
      <c r="B3" t="s">
        <v>65</v>
      </c>
      <c r="C3">
        <v>2015</v>
      </c>
      <c r="D3">
        <v>43.875352399999997</v>
      </c>
      <c r="E3">
        <v>8678.66</v>
      </c>
      <c r="F3">
        <v>3.8077926585978398E-4</v>
      </c>
      <c r="G3" s="1"/>
      <c r="H3" s="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3">
      <c r="A4" t="s">
        <v>109</v>
      </c>
      <c r="B4" t="s">
        <v>65</v>
      </c>
      <c r="C4">
        <v>2020</v>
      </c>
      <c r="D4">
        <v>43.875352399999997</v>
      </c>
      <c r="E4">
        <v>8998.6184030000004</v>
      </c>
      <c r="F4">
        <v>3.9481755354475002E-4</v>
      </c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3">
      <c r="A5" t="s">
        <v>109</v>
      </c>
      <c r="B5" t="s">
        <v>65</v>
      </c>
      <c r="C5">
        <v>2050</v>
      </c>
      <c r="D5">
        <v>43.875352399999997</v>
      </c>
      <c r="E5">
        <v>9367.4646040000007</v>
      </c>
      <c r="F5">
        <v>4.1100081059502601E-4</v>
      </c>
      <c r="G5" s="4"/>
      <c r="H5" s="4"/>
    </row>
    <row r="6" spans="1:30" x14ac:dyDescent="0.3">
      <c r="A6" t="s">
        <v>6</v>
      </c>
      <c r="B6" t="s">
        <v>65</v>
      </c>
      <c r="C6">
        <v>2015</v>
      </c>
      <c r="D6">
        <v>50.453166279999998</v>
      </c>
      <c r="E6">
        <v>11287.94</v>
      </c>
      <c r="F6">
        <v>5.6951231377866298E-4</v>
      </c>
      <c r="G6" s="4"/>
      <c r="H6" s="4"/>
    </row>
    <row r="7" spans="1:30" x14ac:dyDescent="0.3">
      <c r="A7" t="s">
        <v>6</v>
      </c>
      <c r="B7" t="s">
        <v>65</v>
      </c>
      <c r="C7">
        <v>2020</v>
      </c>
      <c r="D7">
        <v>49.931318259999998</v>
      </c>
      <c r="E7">
        <v>11616.76082</v>
      </c>
      <c r="F7">
        <v>5.8004018165371798E-4</v>
      </c>
      <c r="G7" s="4"/>
      <c r="H7" s="4"/>
    </row>
    <row r="8" spans="1:30" x14ac:dyDescent="0.3">
      <c r="A8" t="s">
        <v>6</v>
      </c>
      <c r="B8" t="s">
        <v>65</v>
      </c>
      <c r="C8">
        <v>2050</v>
      </c>
      <c r="D8">
        <v>51.052594829999997</v>
      </c>
      <c r="E8">
        <v>12423.40676</v>
      </c>
      <c r="F8">
        <v>6.3424715172656296E-4</v>
      </c>
      <c r="G8" s="1"/>
      <c r="H8" s="1"/>
    </row>
    <row r="9" spans="1:30" x14ac:dyDescent="0.3">
      <c r="A9" t="s">
        <v>8</v>
      </c>
      <c r="B9" t="s">
        <v>64</v>
      </c>
      <c r="C9">
        <v>2015</v>
      </c>
      <c r="D9">
        <v>31.005211760000002</v>
      </c>
      <c r="E9">
        <v>7199.741</v>
      </c>
      <c r="F9">
        <v>2.2322949432215401E-4</v>
      </c>
      <c r="G9" s="4"/>
      <c r="H9" s="4"/>
    </row>
    <row r="10" spans="1:30" x14ac:dyDescent="0.3">
      <c r="A10" t="s">
        <v>8</v>
      </c>
      <c r="B10" t="s">
        <v>64</v>
      </c>
      <c r="C10">
        <v>2020</v>
      </c>
      <c r="D10">
        <v>32.290181509999996</v>
      </c>
      <c r="E10">
        <v>6884.7930370000004</v>
      </c>
      <c r="F10">
        <v>2.22311216823514E-4</v>
      </c>
      <c r="G10" s="1"/>
      <c r="H10" s="1"/>
    </row>
    <row r="11" spans="1:30" x14ac:dyDescent="0.3">
      <c r="A11" t="s">
        <v>8</v>
      </c>
      <c r="B11" t="s">
        <v>64</v>
      </c>
      <c r="C11">
        <v>2050</v>
      </c>
      <c r="D11">
        <v>40</v>
      </c>
      <c r="E11">
        <v>5450.9012869999997</v>
      </c>
      <c r="F11">
        <v>2.1803605147999999E-4</v>
      </c>
      <c r="G11" s="1"/>
      <c r="H11" s="1"/>
    </row>
    <row r="12" spans="1:30" x14ac:dyDescent="0.3">
      <c r="A12" t="s">
        <v>30</v>
      </c>
      <c r="B12" t="s">
        <v>64</v>
      </c>
      <c r="C12">
        <v>2015</v>
      </c>
      <c r="D12">
        <v>30.199092319999998</v>
      </c>
      <c r="E12">
        <v>4232.8739999999998</v>
      </c>
      <c r="F12">
        <v>1.2782895270492799E-4</v>
      </c>
      <c r="G12" s="1"/>
      <c r="H12" s="1"/>
    </row>
    <row r="13" spans="1:30" x14ac:dyDescent="0.3">
      <c r="A13" t="s">
        <v>30</v>
      </c>
      <c r="B13" t="s">
        <v>64</v>
      </c>
      <c r="C13">
        <v>2020</v>
      </c>
      <c r="D13">
        <v>31.59922199</v>
      </c>
      <c r="E13">
        <v>4077.9567120000002</v>
      </c>
      <c r="F13">
        <v>1.2886025940809899E-4</v>
      </c>
      <c r="G13" s="1"/>
      <c r="H13" s="1"/>
    </row>
    <row r="14" spans="1:30" x14ac:dyDescent="0.3">
      <c r="A14" t="s">
        <v>30</v>
      </c>
      <c r="B14" t="s">
        <v>64</v>
      </c>
      <c r="C14">
        <v>2050</v>
      </c>
      <c r="D14">
        <v>40</v>
      </c>
      <c r="E14">
        <v>3358.9859240000001</v>
      </c>
      <c r="F14">
        <v>1.3435943695999999E-4</v>
      </c>
      <c r="G14" s="4"/>
      <c r="H14" s="4"/>
    </row>
    <row r="15" spans="1:30" x14ac:dyDescent="0.3">
      <c r="A15" t="s">
        <v>12</v>
      </c>
      <c r="B15" t="s">
        <v>64</v>
      </c>
      <c r="C15">
        <v>2015</v>
      </c>
      <c r="D15">
        <v>61.968463989999996</v>
      </c>
      <c r="E15">
        <v>1160.9849999999999</v>
      </c>
      <c r="F15" s="8">
        <v>7.1944457165430106E-5</v>
      </c>
      <c r="G15" s="1"/>
      <c r="H15" s="1"/>
    </row>
    <row r="16" spans="1:30" x14ac:dyDescent="0.3">
      <c r="A16" t="s">
        <v>12</v>
      </c>
      <c r="B16" t="s">
        <v>64</v>
      </c>
      <c r="C16">
        <v>2020</v>
      </c>
      <c r="D16">
        <v>61.968463989999996</v>
      </c>
      <c r="E16">
        <v>1211.7635330000001</v>
      </c>
      <c r="F16" s="8">
        <v>7.5091124859105697E-5</v>
      </c>
      <c r="G16" s="1"/>
      <c r="H16" s="1"/>
    </row>
    <row r="17" spans="1:8" x14ac:dyDescent="0.3">
      <c r="A17" t="s">
        <v>12</v>
      </c>
      <c r="B17" t="s">
        <v>64</v>
      </c>
      <c r="C17">
        <v>2050</v>
      </c>
      <c r="D17">
        <v>61.968463989999996</v>
      </c>
      <c r="E17">
        <v>1396.2039030000001</v>
      </c>
      <c r="F17" s="8">
        <v>8.6520611285753005E-5</v>
      </c>
      <c r="G17" s="4"/>
      <c r="H17" s="4"/>
    </row>
    <row r="18" spans="1:8" x14ac:dyDescent="0.3">
      <c r="A18" t="s">
        <v>14</v>
      </c>
      <c r="B18" t="s">
        <v>64</v>
      </c>
      <c r="C18">
        <v>2015</v>
      </c>
      <c r="D18">
        <v>32.404491350000001</v>
      </c>
      <c r="E18">
        <v>10601.397000000001</v>
      </c>
      <c r="F18">
        <v>3.4353287738441601E-4</v>
      </c>
      <c r="G18" s="4"/>
      <c r="H18" s="4"/>
    </row>
    <row r="19" spans="1:8" x14ac:dyDescent="0.3">
      <c r="A19" t="s">
        <v>14</v>
      </c>
      <c r="B19" t="s">
        <v>64</v>
      </c>
      <c r="C19">
        <v>2020</v>
      </c>
      <c r="D19">
        <v>33.489564010000002</v>
      </c>
      <c r="E19">
        <v>10617.759050000001</v>
      </c>
      <c r="F19">
        <v>3.5558412134773198E-4</v>
      </c>
      <c r="G19" s="1"/>
      <c r="H19" s="1"/>
    </row>
    <row r="20" spans="1:8" x14ac:dyDescent="0.3">
      <c r="A20" t="s">
        <v>14</v>
      </c>
      <c r="B20" t="s">
        <v>64</v>
      </c>
      <c r="C20">
        <v>2050</v>
      </c>
      <c r="D20">
        <v>40</v>
      </c>
      <c r="E20">
        <v>10323.65826</v>
      </c>
      <c r="F20">
        <v>4.1294633039999998E-4</v>
      </c>
      <c r="G20" s="4"/>
      <c r="H20" s="4"/>
    </row>
    <row r="21" spans="1:8" x14ac:dyDescent="0.3">
      <c r="A21" t="s">
        <v>18</v>
      </c>
      <c r="B21" t="s">
        <v>65</v>
      </c>
      <c r="C21">
        <v>2015</v>
      </c>
      <c r="D21">
        <v>52.229549390000003</v>
      </c>
      <c r="E21">
        <v>5688.6949999999997</v>
      </c>
      <c r="F21">
        <v>2.9711797646714597E-4</v>
      </c>
      <c r="G21" s="1"/>
      <c r="H21" s="1"/>
    </row>
    <row r="22" spans="1:8" x14ac:dyDescent="0.3">
      <c r="A22" t="s">
        <v>18</v>
      </c>
      <c r="B22" t="s">
        <v>65</v>
      </c>
      <c r="C22">
        <v>2020</v>
      </c>
      <c r="D22">
        <v>52.801513579999998</v>
      </c>
      <c r="E22">
        <v>5836.0513110000002</v>
      </c>
      <c r="F22">
        <v>3.0815234255134299E-4</v>
      </c>
      <c r="G22" s="4"/>
      <c r="H22" s="4"/>
    </row>
    <row r="23" spans="1:8" x14ac:dyDescent="0.3">
      <c r="A23" t="s">
        <v>18</v>
      </c>
      <c r="B23" t="s">
        <v>65</v>
      </c>
      <c r="C23">
        <v>2050</v>
      </c>
      <c r="D23">
        <v>52.682431139999998</v>
      </c>
      <c r="E23">
        <v>6197.1354359999996</v>
      </c>
      <c r="F23">
        <v>3.2648016087232401E-4</v>
      </c>
      <c r="G23" s="1"/>
      <c r="H23" s="1"/>
    </row>
    <row r="24" spans="1:8" x14ac:dyDescent="0.3">
      <c r="A24" t="s">
        <v>20</v>
      </c>
      <c r="B24" t="s">
        <v>64</v>
      </c>
      <c r="C24">
        <v>2015</v>
      </c>
      <c r="D24">
        <v>30.561126819999998</v>
      </c>
      <c r="E24">
        <v>1315.325</v>
      </c>
      <c r="F24" s="8">
        <v>4.0197814134516498E-5</v>
      </c>
      <c r="G24" s="4"/>
      <c r="H24" s="4"/>
    </row>
    <row r="25" spans="1:8" x14ac:dyDescent="0.3">
      <c r="A25" t="s">
        <v>20</v>
      </c>
      <c r="B25" t="s">
        <v>64</v>
      </c>
      <c r="C25">
        <v>2020</v>
      </c>
      <c r="D25">
        <v>31.909537270000001</v>
      </c>
      <c r="E25">
        <v>1331.1859609999999</v>
      </c>
      <c r="F25" s="8">
        <v>4.2477528035830298E-5</v>
      </c>
      <c r="G25" s="4"/>
      <c r="H25" s="4"/>
    </row>
    <row r="26" spans="1:8" x14ac:dyDescent="0.3">
      <c r="A26" t="s">
        <v>20</v>
      </c>
      <c r="B26" t="s">
        <v>64</v>
      </c>
      <c r="C26">
        <v>2050</v>
      </c>
      <c r="D26">
        <v>40</v>
      </c>
      <c r="E26">
        <v>1215.9486059999999</v>
      </c>
      <c r="F26" s="8">
        <v>4.863794424E-5</v>
      </c>
      <c r="G26" s="4"/>
      <c r="H26" s="4"/>
    </row>
    <row r="27" spans="1:8" x14ac:dyDescent="0.3">
      <c r="A27" t="s">
        <v>26</v>
      </c>
      <c r="B27" t="s">
        <v>65</v>
      </c>
      <c r="C27">
        <v>2015</v>
      </c>
      <c r="D27">
        <v>51.98065012</v>
      </c>
      <c r="E27">
        <v>5481.1220000000003</v>
      </c>
      <c r="F27">
        <v>2.84912284947035E-4</v>
      </c>
      <c r="G27" s="1"/>
      <c r="H27" s="1"/>
    </row>
    <row r="28" spans="1:8" x14ac:dyDescent="0.3">
      <c r="A28" t="s">
        <v>26</v>
      </c>
      <c r="B28" t="s">
        <v>65</v>
      </c>
      <c r="C28">
        <v>2020</v>
      </c>
      <c r="D28">
        <v>51.98065012</v>
      </c>
      <c r="E28">
        <v>5534.7281579999999</v>
      </c>
      <c r="F28">
        <v>2.8769876789031001E-4</v>
      </c>
      <c r="G28" s="1"/>
      <c r="H28" s="1"/>
    </row>
    <row r="29" spans="1:8" x14ac:dyDescent="0.3">
      <c r="A29" t="s">
        <v>26</v>
      </c>
      <c r="B29" t="s">
        <v>65</v>
      </c>
      <c r="C29">
        <v>2050</v>
      </c>
      <c r="D29">
        <v>51.98065012</v>
      </c>
      <c r="E29">
        <v>5481.6178520000003</v>
      </c>
      <c r="F29">
        <v>2.8493805965635802E-4</v>
      </c>
    </row>
    <row r="30" spans="1:8" x14ac:dyDescent="0.3">
      <c r="A30" t="s">
        <v>28</v>
      </c>
      <c r="B30" t="s">
        <v>65</v>
      </c>
      <c r="C30">
        <v>2015</v>
      </c>
      <c r="D30">
        <v>41.615529160000001</v>
      </c>
      <c r="E30">
        <v>64453.2</v>
      </c>
      <c r="F30">
        <v>2.6822540240553101E-3</v>
      </c>
    </row>
    <row r="31" spans="1:8" x14ac:dyDescent="0.3">
      <c r="A31" t="s">
        <v>28</v>
      </c>
      <c r="B31" t="s">
        <v>65</v>
      </c>
      <c r="C31">
        <v>2020</v>
      </c>
      <c r="D31">
        <v>41.725351830000001</v>
      </c>
      <c r="E31">
        <v>65204.339489999998</v>
      </c>
      <c r="F31">
        <v>2.7206740060630101E-3</v>
      </c>
    </row>
    <row r="32" spans="1:8" s="6" customFormat="1" x14ac:dyDescent="0.3">
      <c r="A32" s="9" t="s">
        <v>28</v>
      </c>
      <c r="B32" s="9" t="s">
        <v>65</v>
      </c>
      <c r="C32" s="9">
        <v>2050</v>
      </c>
      <c r="D32" s="9">
        <v>39.471589440000002</v>
      </c>
      <c r="E32" s="9">
        <v>69400.201780000003</v>
      </c>
      <c r="F32" s="9">
        <v>2.73933627171332E-3</v>
      </c>
    </row>
    <row r="33" spans="1:13" x14ac:dyDescent="0.3">
      <c r="A33" t="s">
        <v>16</v>
      </c>
      <c r="B33" t="s">
        <v>65</v>
      </c>
      <c r="C33">
        <v>2015</v>
      </c>
      <c r="D33">
        <v>46.181243360000003</v>
      </c>
      <c r="E33">
        <v>81787.410999999993</v>
      </c>
      <c r="F33">
        <v>3.77704433117534E-3</v>
      </c>
      <c r="G33" s="1"/>
      <c r="H33" s="1"/>
      <c r="I33" s="1"/>
      <c r="J33" s="1"/>
      <c r="K33" s="1"/>
      <c r="M33" s="2"/>
    </row>
    <row r="34" spans="1:13" x14ac:dyDescent="0.3">
      <c r="A34" t="s">
        <v>16</v>
      </c>
      <c r="B34" t="s">
        <v>65</v>
      </c>
      <c r="C34">
        <v>2020</v>
      </c>
      <c r="D34">
        <v>45.4</v>
      </c>
      <c r="E34">
        <v>83084.614220000003</v>
      </c>
      <c r="F34">
        <v>3.7720414855880002E-3</v>
      </c>
      <c r="G34" s="2"/>
      <c r="H34" s="2"/>
      <c r="I34" s="2"/>
      <c r="J34" s="2"/>
      <c r="K34" s="2"/>
      <c r="M34" s="2"/>
    </row>
    <row r="35" spans="1:13" x14ac:dyDescent="0.3">
      <c r="A35" t="s">
        <v>16</v>
      </c>
      <c r="B35" t="s">
        <v>65</v>
      </c>
      <c r="C35">
        <v>2050</v>
      </c>
      <c r="D35">
        <v>41.2</v>
      </c>
      <c r="E35">
        <v>80783.175359999994</v>
      </c>
      <c r="F35">
        <v>3.3282668248319999E-3</v>
      </c>
      <c r="G35" s="2"/>
      <c r="H35" s="2"/>
      <c r="I35" s="2"/>
      <c r="J35" s="2"/>
      <c r="K35" s="2"/>
      <c r="M35" s="2"/>
    </row>
    <row r="36" spans="1:13" x14ac:dyDescent="0.3">
      <c r="A36" t="s">
        <v>22</v>
      </c>
      <c r="B36" t="s">
        <v>65</v>
      </c>
      <c r="C36">
        <v>2015</v>
      </c>
      <c r="D36">
        <v>33.766557480000003</v>
      </c>
      <c r="E36">
        <v>10659.75</v>
      </c>
      <c r="F36">
        <v>3.5994306109743E-4</v>
      </c>
    </row>
    <row r="37" spans="1:13" x14ac:dyDescent="0.3">
      <c r="A37" t="s">
        <v>22</v>
      </c>
      <c r="B37" t="s">
        <v>65</v>
      </c>
      <c r="C37">
        <v>2020</v>
      </c>
      <c r="D37">
        <v>34.776447169999997</v>
      </c>
      <c r="E37">
        <v>10371.45693</v>
      </c>
      <c r="F37">
        <v>3.6068242400207501E-4</v>
      </c>
    </row>
    <row r="38" spans="1:13" x14ac:dyDescent="0.3">
      <c r="A38" t="s">
        <v>22</v>
      </c>
      <c r="B38" t="s">
        <v>65</v>
      </c>
      <c r="C38">
        <v>2050</v>
      </c>
      <c r="D38">
        <v>40.297795360000002</v>
      </c>
      <c r="E38">
        <v>9617.7118900000005</v>
      </c>
      <c r="F38">
        <v>3.87572585574659E-4</v>
      </c>
    </row>
    <row r="39" spans="1:13" x14ac:dyDescent="0.3">
      <c r="A39" t="s">
        <v>32</v>
      </c>
      <c r="B39" t="s">
        <v>64</v>
      </c>
      <c r="C39">
        <v>2015</v>
      </c>
      <c r="D39">
        <v>31.495982139999999</v>
      </c>
      <c r="E39">
        <v>9777.9230000000007</v>
      </c>
      <c r="F39">
        <v>3.0796528817429502E-4</v>
      </c>
    </row>
    <row r="40" spans="1:13" x14ac:dyDescent="0.3">
      <c r="A40" t="s">
        <v>32</v>
      </c>
      <c r="B40" t="s">
        <v>64</v>
      </c>
      <c r="C40">
        <v>2020</v>
      </c>
      <c r="D40">
        <v>32.710841840000001</v>
      </c>
      <c r="E40">
        <v>9691.8206399999999</v>
      </c>
      <c r="F40">
        <v>3.17027612096688E-4</v>
      </c>
    </row>
    <row r="41" spans="1:13" x14ac:dyDescent="0.3">
      <c r="A41" t="s">
        <v>32</v>
      </c>
      <c r="B41" t="s">
        <v>64</v>
      </c>
      <c r="C41">
        <v>2050</v>
      </c>
      <c r="D41">
        <v>40</v>
      </c>
      <c r="E41">
        <v>8572.9690890000002</v>
      </c>
      <c r="F41">
        <v>3.4291876356E-4</v>
      </c>
    </row>
    <row r="42" spans="1:13" x14ac:dyDescent="0.3">
      <c r="A42" t="s">
        <v>34</v>
      </c>
      <c r="B42" t="s">
        <v>65</v>
      </c>
      <c r="C42">
        <v>2015</v>
      </c>
      <c r="D42">
        <v>44.756159080000003</v>
      </c>
      <c r="E42">
        <v>4652.4250000000002</v>
      </c>
      <c r="F42">
        <v>2.0822467340776899E-4</v>
      </c>
    </row>
    <row r="43" spans="1:13" x14ac:dyDescent="0.3">
      <c r="A43" t="s">
        <v>34</v>
      </c>
      <c r="B43" t="s">
        <v>65</v>
      </c>
      <c r="C43">
        <v>2020</v>
      </c>
      <c r="D43">
        <v>44.756159080000003</v>
      </c>
      <c r="E43">
        <v>4936.5599869999996</v>
      </c>
      <c r="F43">
        <v>2.20941464086135E-4</v>
      </c>
    </row>
    <row r="44" spans="1:13" x14ac:dyDescent="0.3">
      <c r="A44" t="s">
        <v>34</v>
      </c>
      <c r="B44" t="s">
        <v>65</v>
      </c>
      <c r="C44">
        <v>2050</v>
      </c>
      <c r="D44">
        <v>44.756159080000003</v>
      </c>
      <c r="E44">
        <v>5936.1754060000003</v>
      </c>
      <c r="F44">
        <v>2.6568041079772002E-4</v>
      </c>
    </row>
    <row r="45" spans="1:13" x14ac:dyDescent="0.3">
      <c r="A45" t="s">
        <v>36</v>
      </c>
      <c r="B45" t="s">
        <v>65</v>
      </c>
      <c r="C45">
        <v>2015</v>
      </c>
      <c r="D45">
        <v>40.471145970000002</v>
      </c>
      <c r="E45">
        <v>60578.493999999999</v>
      </c>
      <c r="F45">
        <v>2.45168107331677E-3</v>
      </c>
    </row>
    <row r="46" spans="1:13" x14ac:dyDescent="0.3">
      <c r="A46" t="s">
        <v>36</v>
      </c>
      <c r="B46" t="s">
        <v>65</v>
      </c>
      <c r="C46">
        <v>2020</v>
      </c>
      <c r="D46">
        <v>41.806794410000002</v>
      </c>
      <c r="E46">
        <v>59917.590989999997</v>
      </c>
      <c r="F46">
        <v>2.5049624080614001E-3</v>
      </c>
    </row>
    <row r="47" spans="1:13" x14ac:dyDescent="0.3">
      <c r="A47" t="s">
        <v>36</v>
      </c>
      <c r="B47" t="s">
        <v>65</v>
      </c>
      <c r="C47">
        <v>2050</v>
      </c>
      <c r="D47">
        <v>43.147480569999999</v>
      </c>
      <c r="E47">
        <v>56144.07834</v>
      </c>
      <c r="F47">
        <v>2.42247552929571E-3</v>
      </c>
    </row>
    <row r="48" spans="1:13" x14ac:dyDescent="0.3">
      <c r="A48" t="s">
        <v>42</v>
      </c>
      <c r="B48" t="s">
        <v>64</v>
      </c>
      <c r="C48">
        <v>2015</v>
      </c>
      <c r="D48">
        <v>27.677885610000001</v>
      </c>
      <c r="E48">
        <v>1997.674</v>
      </c>
      <c r="F48" s="8">
        <v>5.5291392458071097E-5</v>
      </c>
    </row>
    <row r="49" spans="1:6" x14ac:dyDescent="0.3">
      <c r="A49" t="s">
        <v>42</v>
      </c>
      <c r="B49" t="s">
        <v>64</v>
      </c>
      <c r="C49">
        <v>2020</v>
      </c>
      <c r="D49">
        <v>29.438187670000001</v>
      </c>
      <c r="E49">
        <v>1903.796834</v>
      </c>
      <c r="F49" s="8">
        <v>5.6044328484843798E-5</v>
      </c>
    </row>
    <row r="50" spans="1:6" x14ac:dyDescent="0.3">
      <c r="A50" t="s">
        <v>42</v>
      </c>
      <c r="B50" t="s">
        <v>64</v>
      </c>
      <c r="C50">
        <v>2050</v>
      </c>
      <c r="D50">
        <v>40</v>
      </c>
      <c r="E50">
        <v>1447.0641109999999</v>
      </c>
      <c r="F50" s="8">
        <v>5.7882564440000001E-5</v>
      </c>
    </row>
    <row r="51" spans="1:6" x14ac:dyDescent="0.3">
      <c r="A51" t="s">
        <v>110</v>
      </c>
      <c r="B51" t="s">
        <v>64</v>
      </c>
      <c r="C51">
        <v>2015</v>
      </c>
      <c r="D51">
        <v>32.672384399999999</v>
      </c>
      <c r="E51">
        <v>2931.88</v>
      </c>
      <c r="F51" s="8">
        <v>9.5791510374672E-5</v>
      </c>
    </row>
    <row r="52" spans="1:6" x14ac:dyDescent="0.3">
      <c r="A52" t="s">
        <v>110</v>
      </c>
      <c r="B52" t="s">
        <v>64</v>
      </c>
      <c r="C52">
        <v>2020</v>
      </c>
      <c r="D52">
        <v>33.719186630000003</v>
      </c>
      <c r="E52">
        <v>2790.9583069999999</v>
      </c>
      <c r="F52" s="8">
        <v>9.4108844030281797E-5</v>
      </c>
    </row>
    <row r="53" spans="1:6" x14ac:dyDescent="0.3">
      <c r="A53" t="s">
        <v>110</v>
      </c>
      <c r="B53" t="s">
        <v>64</v>
      </c>
      <c r="C53">
        <v>2050</v>
      </c>
      <c r="D53">
        <v>40</v>
      </c>
      <c r="E53">
        <v>2097.289675</v>
      </c>
      <c r="F53" s="8">
        <v>8.3891586999999999E-5</v>
      </c>
    </row>
    <row r="54" spans="1:6" x14ac:dyDescent="0.3">
      <c r="A54" t="s">
        <v>40</v>
      </c>
      <c r="B54" t="s">
        <v>65</v>
      </c>
      <c r="C54">
        <v>2015</v>
      </c>
      <c r="D54">
        <v>48.011002490000003</v>
      </c>
      <c r="E54">
        <v>566.74099999999999</v>
      </c>
      <c r="F54" s="8">
        <v>2.7209803562185101E-5</v>
      </c>
    </row>
    <row r="55" spans="1:6" x14ac:dyDescent="0.3">
      <c r="A55" t="s">
        <v>40</v>
      </c>
      <c r="B55" t="s">
        <v>65</v>
      </c>
      <c r="C55">
        <v>2020</v>
      </c>
      <c r="D55">
        <v>48.011002490000003</v>
      </c>
      <c r="E55">
        <v>630.54681170000003</v>
      </c>
      <c r="F55" s="8">
        <v>3.02731845465903E-5</v>
      </c>
    </row>
    <row r="56" spans="1:6" x14ac:dyDescent="0.3">
      <c r="A56" t="s">
        <v>40</v>
      </c>
      <c r="B56" t="s">
        <v>65</v>
      </c>
      <c r="C56">
        <v>2050</v>
      </c>
      <c r="D56">
        <v>48.011002490000003</v>
      </c>
      <c r="E56">
        <v>763.0491432</v>
      </c>
      <c r="F56" s="8">
        <v>3.6634754314167601E-5</v>
      </c>
    </row>
    <row r="57" spans="1:6" x14ac:dyDescent="0.3">
      <c r="A57" t="s">
        <v>44</v>
      </c>
      <c r="B57" t="s">
        <v>64</v>
      </c>
      <c r="C57">
        <v>2015</v>
      </c>
      <c r="D57">
        <v>40</v>
      </c>
      <c r="E57">
        <v>433.55900000000003</v>
      </c>
      <c r="F57" s="8">
        <v>1.7342359999999999E-5</v>
      </c>
    </row>
    <row r="58" spans="1:6" x14ac:dyDescent="0.3">
      <c r="A58" t="s">
        <v>44</v>
      </c>
      <c r="B58" t="s">
        <v>64</v>
      </c>
      <c r="C58">
        <v>2020</v>
      </c>
      <c r="D58">
        <v>40</v>
      </c>
      <c r="E58">
        <v>489.61556539999998</v>
      </c>
      <c r="F58" s="8">
        <v>1.9584622616E-5</v>
      </c>
    </row>
    <row r="59" spans="1:6" x14ac:dyDescent="0.3">
      <c r="A59" t="s">
        <v>44</v>
      </c>
      <c r="B59" t="s">
        <v>64</v>
      </c>
      <c r="C59">
        <v>2050</v>
      </c>
      <c r="D59">
        <v>40</v>
      </c>
      <c r="E59">
        <v>494.64925149999999</v>
      </c>
      <c r="F59" s="8">
        <v>1.978597006E-5</v>
      </c>
    </row>
    <row r="60" spans="1:6" x14ac:dyDescent="0.3">
      <c r="A60" t="s">
        <v>46</v>
      </c>
      <c r="B60" t="s">
        <v>65</v>
      </c>
      <c r="C60">
        <v>2015</v>
      </c>
      <c r="D60">
        <v>50.657624060000003</v>
      </c>
      <c r="E60">
        <v>16938.499</v>
      </c>
      <c r="F60">
        <v>8.5806411448268599E-4</v>
      </c>
    </row>
    <row r="61" spans="1:6" x14ac:dyDescent="0.3">
      <c r="A61" t="s">
        <v>46</v>
      </c>
      <c r="B61" t="s">
        <v>65</v>
      </c>
      <c r="C61">
        <v>2020</v>
      </c>
      <c r="D61">
        <v>50.657624060000003</v>
      </c>
      <c r="E61">
        <v>17339.565429999999</v>
      </c>
      <c r="F61">
        <v>8.7838118691671205E-4</v>
      </c>
    </row>
    <row r="62" spans="1:6" x14ac:dyDescent="0.3">
      <c r="A62" t="s">
        <v>46</v>
      </c>
      <c r="B62" t="s">
        <v>65</v>
      </c>
      <c r="C62">
        <v>2050</v>
      </c>
      <c r="D62">
        <v>50.657624060000003</v>
      </c>
      <c r="E62">
        <v>17799.621500000001</v>
      </c>
      <c r="F62">
        <v>9.0168653435729296E-4</v>
      </c>
    </row>
    <row r="63" spans="1:6" x14ac:dyDescent="0.3">
      <c r="A63" t="s">
        <v>50</v>
      </c>
      <c r="B63" t="s">
        <v>64</v>
      </c>
      <c r="C63">
        <v>2015</v>
      </c>
      <c r="D63">
        <v>25.72070806</v>
      </c>
      <c r="E63">
        <v>38034.078999999998</v>
      </c>
      <c r="F63">
        <v>9.7826344228997704E-4</v>
      </c>
    </row>
    <row r="64" spans="1:6" x14ac:dyDescent="0.3">
      <c r="A64" t="s">
        <v>50</v>
      </c>
      <c r="B64" t="s">
        <v>64</v>
      </c>
      <c r="C64">
        <v>2020</v>
      </c>
      <c r="D64">
        <v>27.76060691</v>
      </c>
      <c r="E64">
        <v>37939.370490000001</v>
      </c>
      <c r="F64">
        <v>1.0532199505857401E-3</v>
      </c>
    </row>
    <row r="65" spans="1:6" x14ac:dyDescent="0.3">
      <c r="A65" t="s">
        <v>50</v>
      </c>
      <c r="B65" t="s">
        <v>64</v>
      </c>
      <c r="C65">
        <v>2050</v>
      </c>
      <c r="D65">
        <v>40</v>
      </c>
      <c r="E65">
        <v>34607.455629999997</v>
      </c>
      <c r="F65">
        <v>1.3842982252000001E-3</v>
      </c>
    </row>
    <row r="66" spans="1:6" x14ac:dyDescent="0.3">
      <c r="A66" t="s">
        <v>52</v>
      </c>
      <c r="B66" t="s">
        <v>65</v>
      </c>
      <c r="C66">
        <v>2015</v>
      </c>
      <c r="D66">
        <v>40.466615640000001</v>
      </c>
      <c r="E66">
        <v>10368.351000000001</v>
      </c>
      <c r="F66">
        <v>4.1957207473760998E-4</v>
      </c>
    </row>
    <row r="67" spans="1:6" x14ac:dyDescent="0.3">
      <c r="A67" t="s">
        <v>52</v>
      </c>
      <c r="B67" t="s">
        <v>65</v>
      </c>
      <c r="C67">
        <v>2020</v>
      </c>
      <c r="D67">
        <v>40.466615640000001</v>
      </c>
      <c r="E67">
        <v>10284.6618</v>
      </c>
      <c r="F67">
        <v>4.16185456047991E-4</v>
      </c>
    </row>
    <row r="68" spans="1:6" x14ac:dyDescent="0.3">
      <c r="A68" t="s">
        <v>52</v>
      </c>
      <c r="B68" t="s">
        <v>65</v>
      </c>
      <c r="C68">
        <v>2050</v>
      </c>
      <c r="D68">
        <v>40.466615640000001</v>
      </c>
      <c r="E68">
        <v>9638.2453430000005</v>
      </c>
      <c r="F68">
        <v>3.9002716973920098E-4</v>
      </c>
    </row>
    <row r="69" spans="1:6" x14ac:dyDescent="0.3">
      <c r="A69" t="s">
        <v>54</v>
      </c>
      <c r="B69" t="s">
        <v>64</v>
      </c>
      <c r="C69">
        <v>2015</v>
      </c>
      <c r="D69">
        <v>21.12963748</v>
      </c>
      <c r="E69">
        <v>19925.174999999999</v>
      </c>
      <c r="F69">
        <v>4.2101172447555902E-4</v>
      </c>
    </row>
    <row r="70" spans="1:6" x14ac:dyDescent="0.3">
      <c r="A70" t="s">
        <v>54</v>
      </c>
      <c r="B70" t="s">
        <v>64</v>
      </c>
      <c r="C70">
        <v>2020</v>
      </c>
      <c r="D70">
        <v>23.825403550000001</v>
      </c>
      <c r="E70">
        <v>19456.35411</v>
      </c>
      <c r="F70">
        <v>4.6355548828245097E-4</v>
      </c>
    </row>
    <row r="71" spans="1:6" x14ac:dyDescent="0.3">
      <c r="A71" t="s">
        <v>54</v>
      </c>
      <c r="B71" t="s">
        <v>64</v>
      </c>
      <c r="C71">
        <v>2050</v>
      </c>
      <c r="D71">
        <v>40</v>
      </c>
      <c r="E71">
        <v>15909.42468</v>
      </c>
      <c r="F71">
        <v>6.3637698720000004E-4</v>
      </c>
    </row>
    <row r="72" spans="1:6" x14ac:dyDescent="0.3">
      <c r="A72" t="s">
        <v>60</v>
      </c>
      <c r="B72" t="s">
        <v>64</v>
      </c>
      <c r="C72">
        <v>2015</v>
      </c>
      <c r="D72">
        <v>27.776875669999999</v>
      </c>
      <c r="E72">
        <v>5435.6109999999999</v>
      </c>
      <c r="F72">
        <v>1.5098429093748399E-4</v>
      </c>
    </row>
    <row r="73" spans="1:6" x14ac:dyDescent="0.3">
      <c r="A73" t="s">
        <v>60</v>
      </c>
      <c r="B73" t="s">
        <v>64</v>
      </c>
      <c r="C73">
        <v>2020</v>
      </c>
      <c r="D73">
        <v>29.523036279999999</v>
      </c>
      <c r="E73">
        <v>5471.1211350000003</v>
      </c>
      <c r="F73">
        <v>1.6152410776087999E-4</v>
      </c>
    </row>
    <row r="74" spans="1:6" x14ac:dyDescent="0.3">
      <c r="A74" t="s">
        <v>60</v>
      </c>
      <c r="B74" t="s">
        <v>64</v>
      </c>
      <c r="C74">
        <v>2050</v>
      </c>
      <c r="D74">
        <v>40</v>
      </c>
      <c r="E74">
        <v>5192.0956029999998</v>
      </c>
      <c r="F74">
        <v>2.0768382412000001E-4</v>
      </c>
    </row>
    <row r="75" spans="1:6" x14ac:dyDescent="0.3">
      <c r="A75" t="s">
        <v>58</v>
      </c>
      <c r="B75" t="s">
        <v>64</v>
      </c>
      <c r="C75">
        <v>2015</v>
      </c>
      <c r="D75">
        <v>30.724655179999999</v>
      </c>
      <c r="E75">
        <v>2071.1990000000001</v>
      </c>
      <c r="F75" s="8">
        <v>6.3636875084160799E-5</v>
      </c>
    </row>
    <row r="76" spans="1:6" x14ac:dyDescent="0.3">
      <c r="A76" t="s">
        <v>58</v>
      </c>
      <c r="B76" t="s">
        <v>64</v>
      </c>
      <c r="C76">
        <v>2020</v>
      </c>
      <c r="D76">
        <v>32.049704439999999</v>
      </c>
      <c r="E76">
        <v>2111.188005</v>
      </c>
      <c r="F76" s="8">
        <v>6.7662951577523203E-5</v>
      </c>
    </row>
    <row r="77" spans="1:6" x14ac:dyDescent="0.3">
      <c r="A77" t="s">
        <v>58</v>
      </c>
      <c r="B77" t="s">
        <v>64</v>
      </c>
      <c r="C77">
        <v>2050</v>
      </c>
      <c r="D77">
        <v>40</v>
      </c>
      <c r="E77">
        <v>2037.616616</v>
      </c>
      <c r="F77" s="8">
        <v>8.1504664640000003E-5</v>
      </c>
    </row>
    <row r="78" spans="1:6" x14ac:dyDescent="0.3">
      <c r="A78" t="s">
        <v>24</v>
      </c>
      <c r="B78" t="s">
        <v>65</v>
      </c>
      <c r="C78">
        <v>2015</v>
      </c>
      <c r="D78">
        <v>38.667902050000002</v>
      </c>
      <c r="E78">
        <v>46671.925999999999</v>
      </c>
      <c r="F78">
        <v>1.80470546305285E-3</v>
      </c>
    </row>
    <row r="79" spans="1:6" x14ac:dyDescent="0.3">
      <c r="A79" t="s">
        <v>24</v>
      </c>
      <c r="B79" t="s">
        <v>65</v>
      </c>
      <c r="C79">
        <v>2020</v>
      </c>
      <c r="D79">
        <v>39.192243099999999</v>
      </c>
      <c r="E79">
        <v>47573.396999999997</v>
      </c>
      <c r="F79">
        <v>1.86450814031681E-3</v>
      </c>
    </row>
    <row r="80" spans="1:6" x14ac:dyDescent="0.3">
      <c r="A80" t="s">
        <v>24</v>
      </c>
      <c r="B80" t="s">
        <v>65</v>
      </c>
      <c r="C80">
        <v>2050</v>
      </c>
      <c r="D80">
        <v>40.900770850000001</v>
      </c>
      <c r="E80">
        <v>49658.404369999997</v>
      </c>
      <c r="F80">
        <v>2.0310670179140098E-3</v>
      </c>
    </row>
    <row r="81" spans="1:12" x14ac:dyDescent="0.3">
      <c r="A81" t="s">
        <v>56</v>
      </c>
      <c r="B81" t="s">
        <v>65</v>
      </c>
      <c r="C81">
        <v>2015</v>
      </c>
      <c r="D81">
        <v>48.401826479999997</v>
      </c>
      <c r="E81">
        <v>9764.9500000000007</v>
      </c>
      <c r="F81">
        <v>4.72641415485876E-4</v>
      </c>
    </row>
    <row r="82" spans="1:12" x14ac:dyDescent="0.3">
      <c r="A82" t="s">
        <v>56</v>
      </c>
      <c r="B82" t="s">
        <v>65</v>
      </c>
      <c r="C82">
        <v>2020</v>
      </c>
      <c r="D82">
        <v>47.005343979999999</v>
      </c>
      <c r="E82">
        <v>10286.3087</v>
      </c>
      <c r="F82">
        <v>4.8351147872796699E-4</v>
      </c>
    </row>
    <row r="83" spans="1:12" x14ac:dyDescent="0.3">
      <c r="A83" t="s">
        <v>56</v>
      </c>
      <c r="B83" t="s">
        <v>65</v>
      </c>
      <c r="C83">
        <v>2050</v>
      </c>
      <c r="D83">
        <v>47.443468840000001</v>
      </c>
      <c r="E83">
        <v>11663.135840000001</v>
      </c>
      <c r="F83">
        <v>5.5333962180172699E-4</v>
      </c>
    </row>
    <row r="86" spans="1:12" s="5" customFormat="1" x14ac:dyDescent="0.3">
      <c r="A86" s="5" t="s">
        <v>69</v>
      </c>
    </row>
    <row r="87" spans="1:12" s="2" customFormat="1" x14ac:dyDescent="0.3">
      <c r="A87" s="2" t="s">
        <v>66</v>
      </c>
      <c r="C87" s="2">
        <v>2015</v>
      </c>
      <c r="D87" s="2">
        <v>2020</v>
      </c>
      <c r="E87" s="1">
        <v>2050</v>
      </c>
      <c r="F87" s="1" t="s">
        <v>111</v>
      </c>
      <c r="G87" s="1"/>
      <c r="H87" s="1"/>
      <c r="I87" s="1"/>
      <c r="J87" s="1"/>
      <c r="K87" s="1"/>
      <c r="L87" s="1"/>
    </row>
    <row r="88" spans="1:12" s="2" customFormat="1" x14ac:dyDescent="0.3">
      <c r="A88" s="6" t="s">
        <v>64</v>
      </c>
      <c r="C88" s="2">
        <f>SUMIFS($D$1:$D$83, $B$1:$B$83, $A$88, $C$1:$C$83, C$87)</f>
        <v>423.33651477999996</v>
      </c>
      <c r="D88" s="2">
        <f t="shared" ref="D88:E88" si="0">SUMIFS($D$1:$D$83, $B$1:$B$83, $A$88, $C$1:$C$83, D$87)</f>
        <v>440.28393609</v>
      </c>
      <c r="E88" s="2">
        <f t="shared" si="0"/>
        <v>541.96846399000003</v>
      </c>
      <c r="F88" s="2" t="s">
        <v>112</v>
      </c>
    </row>
    <row r="89" spans="1:12" s="2" customFormat="1" x14ac:dyDescent="0.3">
      <c r="A89" s="6" t="s">
        <v>65</v>
      </c>
      <c r="C89" s="2">
        <f>SUMIFS($D$1:$D$83, $B$1:$B$83, $A$89, $C$1:$C$83, C$87)</f>
        <v>631.53432395999994</v>
      </c>
      <c r="D89" s="2">
        <f>SUMIFS($D$1:$D$83, $B$1:$B$83, $A$89, $C$1:$C$83, D$87)</f>
        <v>632.38641612000004</v>
      </c>
      <c r="E89" s="2">
        <f>SUMIFS($D$1:$D$83, $B$1:$B$83, $A$89, $C$1:$C$83, E$87)</f>
        <v>635.94353481999997</v>
      </c>
      <c r="F89" s="2" t="s">
        <v>112</v>
      </c>
    </row>
    <row r="90" spans="1:12" s="2" customFormat="1" x14ac:dyDescent="0.3"/>
  </sheetData>
  <sortState xmlns:xlrd2="http://schemas.microsoft.com/office/spreadsheetml/2017/richdata2" ref="G2:H29">
    <sortCondition ref="G2:G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TRN-LoadFactor-computation</vt:lpstr>
      <vt:lpstr>TRN-LoadFactor-values</vt:lpstr>
      <vt:lpstr>TRN-Modes-computation</vt:lpstr>
      <vt:lpstr>TRN-Modes-values-IntAv</vt:lpstr>
      <vt:lpstr>TRN-Modes-values-SW</vt:lpstr>
      <vt:lpstr>Sheet3</vt:lpstr>
      <vt:lpstr>TRN-Modes-computation (2)</vt:lpstr>
      <vt:lpstr>BLD-FloorSpace-computation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Clàudia Rodés</dc:creator>
  <cp:lastModifiedBy>Clàudia Rodés</cp:lastModifiedBy>
  <dcterms:created xsi:type="dcterms:W3CDTF">2025-04-23T08:01:09Z</dcterms:created>
  <dcterms:modified xsi:type="dcterms:W3CDTF">2025-04-24T12:30:08Z</dcterms:modified>
</cp:coreProperties>
</file>