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dia.rodes\Documents\IAM_COMPACT\gcam-core-iamcompact\input\gcamdata\"/>
    </mc:Choice>
  </mc:AlternateContent>
  <xr:revisionPtr revIDLastSave="0" documentId="13_ncr:1_{AFEB1112-509E-415E-BA69-F535978F3EF1}" xr6:coauthVersionLast="47" xr6:coauthVersionMax="47" xr10:uidLastSave="{00000000-0000-0000-0000-000000000000}"/>
  <bookViews>
    <workbookView xWindow="-108" yWindow="-108" windowWidth="23256" windowHeight="13896" xr2:uid="{BB24ACD2-C62D-45CA-BD90-8F4156D716B2}"/>
  </bookViews>
  <sheets>
    <sheet name="TRN-LoadFactor-computation" sheetId="1" r:id="rId1"/>
    <sheet name="TRN-LoadFactor-values" sheetId="2" r:id="rId2"/>
  </sheets>
  <definedNames>
    <definedName name="_xlnm._FilterDatabase" localSheetId="1" hidden="1">'TRN-LoadFactor-values'!$A$1:$J$151011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5" i="1" l="1" a="1"/>
  <c r="A65" i="1" s="1"/>
  <c r="B65" i="1" a="1"/>
  <c r="B65" i="1"/>
  <c r="B51" i="1" a="1"/>
  <c r="B51" i="1" s="1"/>
  <c r="A64" i="1" a="1"/>
  <c r="A64" i="1" s="1"/>
  <c r="B64" i="1" a="1"/>
  <c r="B64" i="1"/>
  <c r="A52" i="1" a="1"/>
  <c r="A52" i="1" s="1"/>
  <c r="B52" i="1" a="1"/>
  <c r="B52" i="1" s="1"/>
  <c r="A53" i="1" a="1"/>
  <c r="A53" i="1" s="1"/>
  <c r="B53" i="1" a="1"/>
  <c r="B53" i="1" s="1"/>
  <c r="A54" i="1" a="1"/>
  <c r="A54" i="1" s="1"/>
  <c r="B54" i="1" a="1"/>
  <c r="B54" i="1" s="1"/>
  <c r="A55" i="1" a="1"/>
  <c r="A55" i="1" s="1"/>
  <c r="B55" i="1" a="1"/>
  <c r="B55" i="1"/>
  <c r="A56" i="1" a="1"/>
  <c r="A56" i="1" s="1"/>
  <c r="B56" i="1" a="1"/>
  <c r="B56" i="1"/>
  <c r="A57" i="1" a="1"/>
  <c r="A57" i="1"/>
  <c r="B57" i="1" a="1"/>
  <c r="B57" i="1" s="1"/>
  <c r="A58" i="1" a="1"/>
  <c r="A58" i="1"/>
  <c r="B58" i="1" a="1"/>
  <c r="B58" i="1" s="1"/>
  <c r="A59" i="1" a="1"/>
  <c r="A59" i="1" s="1"/>
  <c r="B59" i="1" a="1"/>
  <c r="B59" i="1" s="1"/>
  <c r="A60" i="1" a="1"/>
  <c r="A60" i="1"/>
  <c r="B60" i="1" a="1"/>
  <c r="B60" i="1"/>
  <c r="A61" i="1" a="1"/>
  <c r="A61" i="1" s="1"/>
  <c r="B61" i="1" a="1"/>
  <c r="B61" i="1"/>
  <c r="A62" i="1" a="1"/>
  <c r="A62" i="1" s="1"/>
  <c r="B62" i="1" a="1"/>
  <c r="B62" i="1"/>
  <c r="A63" i="1" a="1"/>
  <c r="A63" i="1" s="1"/>
  <c r="B63" i="1" a="1"/>
  <c r="B63" i="1"/>
  <c r="A51" i="1" a="1"/>
  <c r="A51" i="1" s="1"/>
  <c r="F39" i="1"/>
  <c r="F45" i="1" s="1"/>
  <c r="G39" i="1"/>
  <c r="G45" i="1" s="1"/>
  <c r="H39" i="1"/>
  <c r="H45" i="1" s="1"/>
  <c r="C53" i="1" s="1" a="1"/>
  <c r="C53" i="1" s="1"/>
  <c r="I39" i="1"/>
  <c r="I45" i="1" s="1"/>
  <c r="J39" i="1"/>
  <c r="J45" i="1" s="1"/>
  <c r="C55" i="1" s="1" a="1"/>
  <c r="C55" i="1" s="1"/>
  <c r="K39" i="1"/>
  <c r="K45" i="1" s="1"/>
  <c r="L39" i="1"/>
  <c r="L45" i="1" s="1"/>
  <c r="C57" i="1" s="1" a="1"/>
  <c r="C57" i="1" s="1"/>
  <c r="F40" i="1"/>
  <c r="G40" i="1"/>
  <c r="G46" i="1" s="1"/>
  <c r="H40" i="1"/>
  <c r="H46" i="1" s="1"/>
  <c r="I40" i="1"/>
  <c r="I46" i="1" s="1"/>
  <c r="J40" i="1"/>
  <c r="J46" i="1" s="1"/>
  <c r="K40" i="1"/>
  <c r="L40" i="1"/>
  <c r="E40" i="1"/>
  <c r="E39" i="1"/>
  <c r="L46" i="1" l="1"/>
  <c r="C65" i="1" s="1" a="1"/>
  <c r="C65" i="1" s="1"/>
  <c r="F46" i="1"/>
  <c r="C54" i="1" a="1"/>
  <c r="C54" i="1" s="1"/>
  <c r="C52" i="1" a="1"/>
  <c r="C52" i="1" s="1"/>
  <c r="C56" i="1" a="1"/>
  <c r="C56" i="1" s="1"/>
  <c r="C51" i="1" a="1"/>
  <c r="C51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K46" i="1"/>
  <c r="C64" i="1" s="1" a="1"/>
  <c r="C64" i="1" s="1"/>
  <c r="C63" i="1" l="1" a="1"/>
  <c r="C63" i="1" s="1"/>
  <c r="A1" i="2" s="1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<sst xmlns="http://schemas.openxmlformats.org/spreadsheetml/2006/main" count="135" uniqueCount="75">
  <si>
    <t>Country</t>
  </si>
  <si>
    <t>Abreviation</t>
  </si>
  <si>
    <t>Vehicle occupancy rate</t>
  </si>
  <si>
    <t xml:space="preserve">Austria </t>
  </si>
  <si>
    <t>AT</t>
  </si>
  <si>
    <t>Average number of people per vehicle</t>
  </si>
  <si>
    <t>Belgium</t>
  </si>
  <si>
    <t>BE</t>
  </si>
  <si>
    <t>Bulgaria</t>
  </si>
  <si>
    <t>BG</t>
  </si>
  <si>
    <t>Switzerland</t>
  </si>
  <si>
    <t>CH</t>
  </si>
  <si>
    <t>Cyprus</t>
  </si>
  <si>
    <t>CY</t>
  </si>
  <si>
    <t>Czech Republic</t>
  </si>
  <si>
    <t>CZ</t>
  </si>
  <si>
    <t>Germany</t>
  </si>
  <si>
    <t>DE</t>
  </si>
  <si>
    <t>Denmark</t>
  </si>
  <si>
    <t>DK</t>
  </si>
  <si>
    <t>Estonia</t>
  </si>
  <si>
    <t>EE</t>
  </si>
  <si>
    <t>Greece</t>
  </si>
  <si>
    <t>EL</t>
  </si>
  <si>
    <t>Spain</t>
  </si>
  <si>
    <t>ES</t>
  </si>
  <si>
    <t>Finland</t>
  </si>
  <si>
    <t>FI</t>
  </si>
  <si>
    <t>France</t>
  </si>
  <si>
    <t>FR</t>
  </si>
  <si>
    <t>Croatia</t>
  </si>
  <si>
    <t>HR</t>
  </si>
  <si>
    <t>Hungary</t>
  </si>
  <si>
    <t>HU</t>
  </si>
  <si>
    <t>Ireland</t>
  </si>
  <si>
    <t>IE</t>
  </si>
  <si>
    <t>Italy</t>
  </si>
  <si>
    <t>IT</t>
  </si>
  <si>
    <t xml:space="preserve">Lithuania </t>
  </si>
  <si>
    <t>LT</t>
  </si>
  <si>
    <t>Luxembourg</t>
  </si>
  <si>
    <t>LU</t>
  </si>
  <si>
    <t>Latvia</t>
  </si>
  <si>
    <t>LV</t>
  </si>
  <si>
    <t>Malta</t>
  </si>
  <si>
    <t>MT</t>
  </si>
  <si>
    <t>Netherlands</t>
  </si>
  <si>
    <t>NL</t>
  </si>
  <si>
    <t>Norway</t>
  </si>
  <si>
    <t>NO</t>
  </si>
  <si>
    <t>Poland</t>
  </si>
  <si>
    <t>PL</t>
  </si>
  <si>
    <t>Portugal</t>
  </si>
  <si>
    <t>PT</t>
  </si>
  <si>
    <t>Romania</t>
  </si>
  <si>
    <t>RO</t>
  </si>
  <si>
    <t>Sweden</t>
  </si>
  <si>
    <t>SE</t>
  </si>
  <si>
    <t>Slovenia</t>
  </si>
  <si>
    <t>SI</t>
  </si>
  <si>
    <t>Slovakia</t>
  </si>
  <si>
    <t>SK</t>
  </si>
  <si>
    <t>United Kingdom</t>
  </si>
  <si>
    <t>UK</t>
  </si>
  <si>
    <t>EU-12</t>
  </si>
  <si>
    <t>EU-15</t>
  </si>
  <si>
    <t>GCAM_region_name</t>
  </si>
  <si>
    <t>LOAD FACTOR COMPUTATION</t>
  </si>
  <si>
    <t>1. Data to be applied</t>
  </si>
  <si>
    <t>2. Average values by GCAM region</t>
  </si>
  <si>
    <t>3. Load factor change by period</t>
  </si>
  <si>
    <t>year</t>
  </si>
  <si>
    <t>4. Reshape</t>
  </si>
  <si>
    <t>region</t>
  </si>
  <si>
    <t>changeRate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</si>
</sst>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BE2D5"/>
        <bgColor rgb="FF0000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Border="1"/>
    <xf numFmtId="0" fontId="0" fillId="0" borderId="0" xfId="0" applyFont="1" applyBorder="1"/>
    <xf numFmtId="0" fontId="1" fillId="2" borderId="0" xfId="0" applyFont="1" applyFill="1" applyBorder="1"/>
    <xf numFmtId="0" fontId="2" fillId="0" borderId="0" xfId="0" applyFont="1" applyBorder="1"/>
    <xf numFmtId="0" fontId="0" fillId="3" borderId="0" xfId="0" applyFont="1" applyFill="1" applyBorder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5BE72-D6A5-4D29-8DD5-3FC51DDDEB04}">
  <dimension ref="A1:L67"/>
  <sheetViews>
    <sheetView tabSelected="1" topLeftCell="A48" workbookViewId="0">
      <selection activeCell="C51" sqref="C51"/>
    </sheetView>
  </sheetViews>
  <sheetFormatPr defaultRowHeight="14.4" x14ac:dyDescent="0.3"/>
  <cols>
    <col min="1" max="1" width="14" style="2" bestFit="1" customWidth="1"/>
    <col min="2" max="2" width="18" style="2" bestFit="1" customWidth="1"/>
    <col min="3" max="16384" width="8.88671875" style="2"/>
  </cols>
  <sheetData>
    <row r="1" spans="1:12" x14ac:dyDescent="0.3">
      <c r="A1" s="2" t="s">
        <v>67</v>
      </c>
    </row>
    <row r="3" spans="1:12" s="5" customFormat="1" x14ac:dyDescent="0.3">
      <c r="A3" s="5" t="s">
        <v>68</v>
      </c>
    </row>
    <row r="4" spans="1:12" x14ac:dyDescent="0.3">
      <c r="A4" s="1" t="s">
        <v>0</v>
      </c>
      <c r="B4" s="1" t="s">
        <v>66</v>
      </c>
      <c r="C4" s="1" t="s">
        <v>1</v>
      </c>
      <c r="D4" s="1" t="s">
        <v>2</v>
      </c>
      <c r="E4" s="1">
        <v>2015</v>
      </c>
      <c r="F4" s="1">
        <v>2020</v>
      </c>
      <c r="G4" s="1">
        <v>2025</v>
      </c>
      <c r="H4" s="1">
        <v>2030</v>
      </c>
      <c r="I4" s="1">
        <v>2035</v>
      </c>
      <c r="J4" s="1">
        <v>2040</v>
      </c>
      <c r="K4" s="1">
        <v>2045</v>
      </c>
      <c r="L4" s="1">
        <v>2050</v>
      </c>
    </row>
    <row r="5" spans="1:12" x14ac:dyDescent="0.3">
      <c r="A5" s="1" t="s">
        <v>3</v>
      </c>
      <c r="B5" s="1" t="s">
        <v>65</v>
      </c>
      <c r="C5" s="3" t="s">
        <v>4</v>
      </c>
      <c r="D5" s="1" t="s">
        <v>5</v>
      </c>
      <c r="E5" s="1">
        <v>1.54</v>
      </c>
      <c r="F5" s="1">
        <v>1.58</v>
      </c>
      <c r="G5" s="1">
        <v>1.68</v>
      </c>
      <c r="H5" s="1">
        <v>1.77</v>
      </c>
      <c r="I5" s="1">
        <v>1.87</v>
      </c>
      <c r="J5" s="1">
        <v>1.91</v>
      </c>
      <c r="K5" s="1">
        <v>1.93</v>
      </c>
      <c r="L5" s="1">
        <v>1.95</v>
      </c>
    </row>
    <row r="6" spans="1:12" x14ac:dyDescent="0.3">
      <c r="A6" s="1" t="s">
        <v>6</v>
      </c>
      <c r="B6" s="1" t="s">
        <v>65</v>
      </c>
      <c r="C6" s="3" t="s">
        <v>7</v>
      </c>
      <c r="D6" s="1" t="s">
        <v>5</v>
      </c>
      <c r="E6" s="1">
        <v>1.1599999999999999</v>
      </c>
      <c r="F6" s="1">
        <v>1.25</v>
      </c>
      <c r="G6" s="1">
        <v>1.4</v>
      </c>
      <c r="H6" s="1">
        <v>1.72</v>
      </c>
      <c r="I6" s="1">
        <v>1.82</v>
      </c>
      <c r="J6" s="1">
        <v>1.9</v>
      </c>
      <c r="K6" s="1">
        <v>1.95</v>
      </c>
      <c r="L6" s="1">
        <v>2</v>
      </c>
    </row>
    <row r="7" spans="1:12" x14ac:dyDescent="0.3">
      <c r="A7" s="4" t="s">
        <v>8</v>
      </c>
      <c r="B7" s="4" t="s">
        <v>64</v>
      </c>
      <c r="C7" s="3" t="s">
        <v>9</v>
      </c>
      <c r="D7" s="1" t="s">
        <v>5</v>
      </c>
      <c r="E7" s="1">
        <v>1.54</v>
      </c>
      <c r="F7" s="1">
        <v>1.58</v>
      </c>
      <c r="G7" s="1">
        <v>1.68</v>
      </c>
      <c r="H7" s="1">
        <v>1.77</v>
      </c>
      <c r="I7" s="1">
        <v>1.87</v>
      </c>
      <c r="J7" s="1">
        <v>1.91</v>
      </c>
      <c r="K7" s="1">
        <v>1.93</v>
      </c>
      <c r="L7" s="1">
        <v>1.95</v>
      </c>
    </row>
    <row r="8" spans="1:12" x14ac:dyDescent="0.3">
      <c r="A8" s="1" t="s">
        <v>10</v>
      </c>
      <c r="B8" s="1"/>
      <c r="C8" s="1" t="s">
        <v>11</v>
      </c>
      <c r="D8" s="1" t="s">
        <v>5</v>
      </c>
      <c r="E8" s="1">
        <v>1.54</v>
      </c>
      <c r="F8" s="1">
        <v>1.58</v>
      </c>
      <c r="G8" s="1">
        <v>1.68</v>
      </c>
      <c r="H8" s="1">
        <v>1.77</v>
      </c>
      <c r="I8" s="1">
        <v>1.87</v>
      </c>
      <c r="J8" s="1">
        <v>1.91</v>
      </c>
      <c r="K8" s="1">
        <v>1.93</v>
      </c>
      <c r="L8" s="1">
        <v>1.95</v>
      </c>
    </row>
    <row r="9" spans="1:12" x14ac:dyDescent="0.3">
      <c r="A9" s="4" t="s">
        <v>12</v>
      </c>
      <c r="B9" s="4" t="s">
        <v>64</v>
      </c>
      <c r="C9" s="3" t="s">
        <v>13</v>
      </c>
      <c r="D9" s="1" t="s">
        <v>5</v>
      </c>
      <c r="E9" s="1">
        <v>1.54</v>
      </c>
      <c r="F9" s="1">
        <v>1.58</v>
      </c>
      <c r="G9" s="1">
        <v>1.68</v>
      </c>
      <c r="H9" s="1">
        <v>1.77</v>
      </c>
      <c r="I9" s="1">
        <v>1.87</v>
      </c>
      <c r="J9" s="1">
        <v>1.91</v>
      </c>
      <c r="K9" s="1">
        <v>1.93</v>
      </c>
      <c r="L9" s="1">
        <v>1.95</v>
      </c>
    </row>
    <row r="10" spans="1:12" x14ac:dyDescent="0.3">
      <c r="A10" s="4" t="s">
        <v>14</v>
      </c>
      <c r="B10" s="4" t="s">
        <v>64</v>
      </c>
      <c r="C10" s="3" t="s">
        <v>15</v>
      </c>
      <c r="D10" s="1" t="s">
        <v>5</v>
      </c>
      <c r="E10" s="1">
        <v>1.54</v>
      </c>
      <c r="F10" s="1">
        <v>1.58</v>
      </c>
      <c r="G10" s="1">
        <v>1.68</v>
      </c>
      <c r="H10" s="1">
        <v>1.77</v>
      </c>
      <c r="I10" s="1">
        <v>1.87</v>
      </c>
      <c r="J10" s="1">
        <v>1.91</v>
      </c>
      <c r="K10" s="1">
        <v>1.93</v>
      </c>
      <c r="L10" s="1">
        <v>1.95</v>
      </c>
    </row>
    <row r="11" spans="1:12" x14ac:dyDescent="0.3">
      <c r="A11" s="1" t="s">
        <v>16</v>
      </c>
      <c r="B11" s="1" t="s">
        <v>65</v>
      </c>
      <c r="C11" s="3" t="s">
        <v>17</v>
      </c>
      <c r="D11" s="1" t="s">
        <v>5</v>
      </c>
      <c r="E11" s="1">
        <v>1.5</v>
      </c>
      <c r="F11" s="1">
        <v>1.58</v>
      </c>
      <c r="G11" s="1">
        <v>1.69</v>
      </c>
      <c r="H11" s="1">
        <v>1.8</v>
      </c>
      <c r="I11" s="1">
        <v>1.88</v>
      </c>
      <c r="J11" s="1">
        <v>1.91</v>
      </c>
      <c r="K11" s="1">
        <v>1.93</v>
      </c>
      <c r="L11" s="1">
        <v>1.95</v>
      </c>
    </row>
    <row r="12" spans="1:12" x14ac:dyDescent="0.3">
      <c r="A12" s="1" t="s">
        <v>18</v>
      </c>
      <c r="B12" s="1" t="s">
        <v>65</v>
      </c>
      <c r="C12" s="3" t="s">
        <v>19</v>
      </c>
      <c r="D12" s="1" t="s">
        <v>5</v>
      </c>
      <c r="E12" s="1">
        <v>1.49</v>
      </c>
      <c r="F12" s="1">
        <v>1.5</v>
      </c>
      <c r="G12" s="1">
        <v>1.5</v>
      </c>
      <c r="H12" s="1">
        <v>1.5</v>
      </c>
      <c r="I12" s="1">
        <v>1.58</v>
      </c>
      <c r="J12" s="1">
        <v>1.65</v>
      </c>
      <c r="K12" s="1">
        <v>1.72</v>
      </c>
      <c r="L12" s="1">
        <v>1.8</v>
      </c>
    </row>
    <row r="13" spans="1:12" x14ac:dyDescent="0.3">
      <c r="A13" s="4" t="s">
        <v>20</v>
      </c>
      <c r="B13" s="4" t="s">
        <v>64</v>
      </c>
      <c r="C13" s="3" t="s">
        <v>21</v>
      </c>
      <c r="D13" s="1" t="s">
        <v>5</v>
      </c>
      <c r="E13" s="1">
        <v>1.54</v>
      </c>
      <c r="F13" s="1">
        <v>1.58</v>
      </c>
      <c r="G13" s="1">
        <v>1.68</v>
      </c>
      <c r="H13" s="1">
        <v>1.77</v>
      </c>
      <c r="I13" s="1">
        <v>1.87</v>
      </c>
      <c r="J13" s="1">
        <v>1.91</v>
      </c>
      <c r="K13" s="1">
        <v>1.93</v>
      </c>
      <c r="L13" s="1">
        <v>1.95</v>
      </c>
    </row>
    <row r="14" spans="1:12" x14ac:dyDescent="0.3">
      <c r="A14" s="1" t="s">
        <v>22</v>
      </c>
      <c r="B14" s="1" t="s">
        <v>65</v>
      </c>
      <c r="C14" s="3" t="s">
        <v>23</v>
      </c>
      <c r="D14" s="1" t="s">
        <v>5</v>
      </c>
      <c r="E14" s="1">
        <v>2.1</v>
      </c>
      <c r="F14" s="1">
        <v>2.1</v>
      </c>
      <c r="G14" s="1">
        <v>2.1</v>
      </c>
      <c r="H14" s="1">
        <v>2.1</v>
      </c>
      <c r="I14" s="1">
        <v>2.1</v>
      </c>
      <c r="J14" s="1">
        <v>2.1</v>
      </c>
      <c r="K14" s="1">
        <v>2.1</v>
      </c>
      <c r="L14" s="1">
        <v>2.1</v>
      </c>
    </row>
    <row r="15" spans="1:12" x14ac:dyDescent="0.3">
      <c r="A15" s="1" t="s">
        <v>24</v>
      </c>
      <c r="B15" s="1" t="s">
        <v>65</v>
      </c>
      <c r="C15" s="3" t="s">
        <v>25</v>
      </c>
      <c r="D15" s="1" t="s">
        <v>5</v>
      </c>
      <c r="E15" s="1">
        <v>1.45</v>
      </c>
      <c r="F15" s="1">
        <v>1.45</v>
      </c>
      <c r="G15" s="1">
        <v>1.61</v>
      </c>
      <c r="H15" s="1">
        <v>1.72</v>
      </c>
      <c r="I15" s="1">
        <v>1.83</v>
      </c>
      <c r="J15" s="1">
        <v>1.88</v>
      </c>
      <c r="K15" s="1">
        <v>1.9</v>
      </c>
      <c r="L15" s="1">
        <v>1.9</v>
      </c>
    </row>
    <row r="16" spans="1:12" x14ac:dyDescent="0.3">
      <c r="A16" s="1" t="s">
        <v>26</v>
      </c>
      <c r="B16" s="1" t="s">
        <v>65</v>
      </c>
      <c r="C16" s="3" t="s">
        <v>27</v>
      </c>
      <c r="D16" s="1" t="s">
        <v>5</v>
      </c>
      <c r="E16" s="1">
        <v>1.54</v>
      </c>
      <c r="F16" s="1">
        <v>1.58</v>
      </c>
      <c r="G16" s="1">
        <v>1.68</v>
      </c>
      <c r="H16" s="1">
        <v>1.77</v>
      </c>
      <c r="I16" s="1">
        <v>1.87</v>
      </c>
      <c r="J16" s="1">
        <v>1.91</v>
      </c>
      <c r="K16" s="1">
        <v>1.93</v>
      </c>
      <c r="L16" s="1">
        <v>1.95</v>
      </c>
    </row>
    <row r="17" spans="1:12" x14ac:dyDescent="0.3">
      <c r="A17" s="1" t="s">
        <v>28</v>
      </c>
      <c r="B17" s="1" t="s">
        <v>65</v>
      </c>
      <c r="C17" s="3" t="s">
        <v>29</v>
      </c>
      <c r="D17" s="1" t="s">
        <v>5</v>
      </c>
      <c r="E17" s="1">
        <v>1.58</v>
      </c>
      <c r="F17" s="1">
        <v>1.69</v>
      </c>
      <c r="G17" s="1">
        <v>1.83</v>
      </c>
      <c r="H17" s="1">
        <v>1.94</v>
      </c>
      <c r="I17" s="1">
        <v>2.0099999999999998</v>
      </c>
      <c r="J17" s="1">
        <v>2.08</v>
      </c>
      <c r="K17" s="1">
        <v>2.04</v>
      </c>
      <c r="L17" s="1">
        <v>2.0299999999999998</v>
      </c>
    </row>
    <row r="18" spans="1:12" x14ac:dyDescent="0.3">
      <c r="A18" s="4" t="s">
        <v>30</v>
      </c>
      <c r="B18" s="4" t="s">
        <v>64</v>
      </c>
      <c r="C18" s="3" t="s">
        <v>31</v>
      </c>
      <c r="D18" s="1" t="s">
        <v>5</v>
      </c>
      <c r="E18" s="1">
        <v>1.54</v>
      </c>
      <c r="F18" s="1">
        <v>1.58</v>
      </c>
      <c r="G18" s="1">
        <v>1.68</v>
      </c>
      <c r="H18" s="1">
        <v>1.77</v>
      </c>
      <c r="I18" s="1">
        <v>1.87</v>
      </c>
      <c r="J18" s="1">
        <v>1.91</v>
      </c>
      <c r="K18" s="1">
        <v>1.93</v>
      </c>
      <c r="L18" s="1">
        <v>1.95</v>
      </c>
    </row>
    <row r="19" spans="1:12" x14ac:dyDescent="0.3">
      <c r="A19" s="4" t="s">
        <v>32</v>
      </c>
      <c r="B19" s="4" t="s">
        <v>64</v>
      </c>
      <c r="C19" s="3" t="s">
        <v>33</v>
      </c>
      <c r="D19" s="1" t="s">
        <v>5</v>
      </c>
      <c r="E19" s="1">
        <v>1.54</v>
      </c>
      <c r="F19" s="1">
        <v>1.58</v>
      </c>
      <c r="G19" s="1">
        <v>1.68</v>
      </c>
      <c r="H19" s="1">
        <v>1.77</v>
      </c>
      <c r="I19" s="1">
        <v>1.87</v>
      </c>
      <c r="J19" s="1">
        <v>1.91</v>
      </c>
      <c r="K19" s="1">
        <v>1.93</v>
      </c>
      <c r="L19" s="1">
        <v>1.95</v>
      </c>
    </row>
    <row r="20" spans="1:12" x14ac:dyDescent="0.3">
      <c r="A20" s="1" t="s">
        <v>34</v>
      </c>
      <c r="B20" s="1" t="s">
        <v>65</v>
      </c>
      <c r="C20" s="3" t="s">
        <v>35</v>
      </c>
      <c r="D20" s="1" t="s">
        <v>5</v>
      </c>
      <c r="E20" s="1">
        <v>1.54</v>
      </c>
      <c r="F20" s="1">
        <v>1.58</v>
      </c>
      <c r="G20" s="1">
        <v>1.68</v>
      </c>
      <c r="H20" s="1">
        <v>1.77</v>
      </c>
      <c r="I20" s="1">
        <v>1.87</v>
      </c>
      <c r="J20" s="1">
        <v>1.91</v>
      </c>
      <c r="K20" s="1">
        <v>1.93</v>
      </c>
      <c r="L20" s="1">
        <v>1.95</v>
      </c>
    </row>
    <row r="21" spans="1:12" x14ac:dyDescent="0.3">
      <c r="A21" s="1" t="s">
        <v>36</v>
      </c>
      <c r="B21" s="1" t="s">
        <v>65</v>
      </c>
      <c r="C21" s="3" t="s">
        <v>37</v>
      </c>
      <c r="D21" s="1" t="s">
        <v>5</v>
      </c>
      <c r="E21" s="1">
        <v>1.54</v>
      </c>
      <c r="F21" s="1">
        <v>1.58</v>
      </c>
      <c r="G21" s="1">
        <v>1.68</v>
      </c>
      <c r="H21" s="1">
        <v>1.77</v>
      </c>
      <c r="I21" s="1">
        <v>1.87</v>
      </c>
      <c r="J21" s="1">
        <v>1.91</v>
      </c>
      <c r="K21" s="1">
        <v>1.93</v>
      </c>
      <c r="L21" s="1">
        <v>1.95</v>
      </c>
    </row>
    <row r="22" spans="1:12" x14ac:dyDescent="0.3">
      <c r="A22" s="4" t="s">
        <v>38</v>
      </c>
      <c r="B22" s="4" t="s">
        <v>64</v>
      </c>
      <c r="C22" s="3" t="s">
        <v>39</v>
      </c>
      <c r="D22" s="1" t="s">
        <v>5</v>
      </c>
      <c r="E22" s="1">
        <v>1.65</v>
      </c>
      <c r="F22" s="1">
        <v>1.65</v>
      </c>
      <c r="G22" s="1">
        <v>1.71</v>
      </c>
      <c r="H22" s="1">
        <v>1.8</v>
      </c>
      <c r="I22" s="1">
        <v>1.86</v>
      </c>
      <c r="J22" s="1">
        <v>1.89</v>
      </c>
      <c r="K22" s="1">
        <v>1.9</v>
      </c>
      <c r="L22" s="1">
        <v>1.9</v>
      </c>
    </row>
    <row r="23" spans="1:12" x14ac:dyDescent="0.3">
      <c r="A23" s="1" t="s">
        <v>40</v>
      </c>
      <c r="B23" s="1" t="s">
        <v>65</v>
      </c>
      <c r="C23" s="3" t="s">
        <v>41</v>
      </c>
      <c r="D23" s="1" t="s">
        <v>5</v>
      </c>
      <c r="E23" s="1">
        <v>1.54</v>
      </c>
      <c r="F23" s="1">
        <v>1.58</v>
      </c>
      <c r="G23" s="1">
        <v>1.68</v>
      </c>
      <c r="H23" s="1">
        <v>1.77</v>
      </c>
      <c r="I23" s="1">
        <v>1.87</v>
      </c>
      <c r="J23" s="1">
        <v>1.91</v>
      </c>
      <c r="K23" s="1">
        <v>1.93</v>
      </c>
      <c r="L23" s="1">
        <v>1.95</v>
      </c>
    </row>
    <row r="24" spans="1:12" x14ac:dyDescent="0.3">
      <c r="A24" s="4" t="s">
        <v>42</v>
      </c>
      <c r="B24" s="4" t="s">
        <v>64</v>
      </c>
      <c r="C24" s="3" t="s">
        <v>43</v>
      </c>
      <c r="D24" s="1" t="s">
        <v>5</v>
      </c>
      <c r="E24" s="1">
        <v>1.54</v>
      </c>
      <c r="F24" s="1">
        <v>1.58</v>
      </c>
      <c r="G24" s="1">
        <v>1.68</v>
      </c>
      <c r="H24" s="1">
        <v>1.77</v>
      </c>
      <c r="I24" s="1">
        <v>1.87</v>
      </c>
      <c r="J24" s="1">
        <v>1.91</v>
      </c>
      <c r="K24" s="1">
        <v>1.93</v>
      </c>
      <c r="L24" s="1">
        <v>1.95</v>
      </c>
    </row>
    <row r="25" spans="1:12" x14ac:dyDescent="0.3">
      <c r="A25" s="4" t="s">
        <v>44</v>
      </c>
      <c r="B25" s="4" t="s">
        <v>64</v>
      </c>
      <c r="C25" s="3" t="s">
        <v>45</v>
      </c>
      <c r="D25" s="1" t="s">
        <v>5</v>
      </c>
      <c r="E25" s="1">
        <v>1.54</v>
      </c>
      <c r="F25" s="1">
        <v>1.58</v>
      </c>
      <c r="G25" s="1">
        <v>1.68</v>
      </c>
      <c r="H25" s="1">
        <v>1.77</v>
      </c>
      <c r="I25" s="1">
        <v>1.87</v>
      </c>
      <c r="J25" s="1">
        <v>1.91</v>
      </c>
      <c r="K25" s="1">
        <v>1.93</v>
      </c>
      <c r="L25" s="1">
        <v>1.95</v>
      </c>
    </row>
    <row r="26" spans="1:12" x14ac:dyDescent="0.3">
      <c r="A26" s="1" t="s">
        <v>46</v>
      </c>
      <c r="B26" s="1" t="s">
        <v>65</v>
      </c>
      <c r="C26" s="3" t="s">
        <v>47</v>
      </c>
      <c r="D26" s="1" t="s">
        <v>5</v>
      </c>
      <c r="E26" s="1">
        <v>1.54</v>
      </c>
      <c r="F26" s="1">
        <v>1.58</v>
      </c>
      <c r="G26" s="1">
        <v>1.68</v>
      </c>
      <c r="H26" s="1">
        <v>1.77</v>
      </c>
      <c r="I26" s="1">
        <v>1.87</v>
      </c>
      <c r="J26" s="1">
        <v>1.91</v>
      </c>
      <c r="K26" s="1">
        <v>1.93</v>
      </c>
      <c r="L26" s="1">
        <v>1.95</v>
      </c>
    </row>
    <row r="27" spans="1:12" x14ac:dyDescent="0.3">
      <c r="A27" s="1" t="s">
        <v>48</v>
      </c>
      <c r="B27" s="4"/>
      <c r="C27" s="1" t="s">
        <v>49</v>
      </c>
      <c r="D27" s="1" t="s">
        <v>5</v>
      </c>
      <c r="E27" s="1">
        <v>1.54</v>
      </c>
      <c r="F27" s="1">
        <v>1.58</v>
      </c>
      <c r="G27" s="1">
        <v>1.68</v>
      </c>
      <c r="H27" s="1">
        <v>1.77</v>
      </c>
      <c r="I27" s="1">
        <v>1.87</v>
      </c>
      <c r="J27" s="1">
        <v>1.91</v>
      </c>
      <c r="K27" s="1">
        <v>1.93</v>
      </c>
      <c r="L27" s="1">
        <v>1.95</v>
      </c>
    </row>
    <row r="28" spans="1:12" x14ac:dyDescent="0.3">
      <c r="A28" s="4" t="s">
        <v>50</v>
      </c>
      <c r="B28" s="4" t="s">
        <v>64</v>
      </c>
      <c r="C28" s="3" t="s">
        <v>51</v>
      </c>
      <c r="D28" s="1" t="s">
        <v>5</v>
      </c>
      <c r="E28" s="1">
        <v>1.54</v>
      </c>
      <c r="F28" s="1">
        <v>1.58</v>
      </c>
      <c r="G28" s="1">
        <v>1.68</v>
      </c>
      <c r="H28" s="1">
        <v>1.77</v>
      </c>
      <c r="I28" s="1">
        <v>1.87</v>
      </c>
      <c r="J28" s="1">
        <v>1.91</v>
      </c>
      <c r="K28" s="1">
        <v>1.93</v>
      </c>
      <c r="L28" s="1">
        <v>1.95</v>
      </c>
    </row>
    <row r="29" spans="1:12" x14ac:dyDescent="0.3">
      <c r="A29" s="1" t="s">
        <v>52</v>
      </c>
      <c r="B29" s="1" t="s">
        <v>65</v>
      </c>
      <c r="C29" s="3" t="s">
        <v>53</v>
      </c>
      <c r="D29" s="1" t="s">
        <v>5</v>
      </c>
      <c r="E29" s="1">
        <v>1.54</v>
      </c>
      <c r="F29" s="1">
        <v>1.58</v>
      </c>
      <c r="G29" s="1">
        <v>1.68</v>
      </c>
      <c r="H29" s="1">
        <v>1.77</v>
      </c>
      <c r="I29" s="1">
        <v>1.87</v>
      </c>
      <c r="J29" s="1">
        <v>1.91</v>
      </c>
      <c r="K29" s="1">
        <v>1.93</v>
      </c>
      <c r="L29" s="1">
        <v>1.95</v>
      </c>
    </row>
    <row r="30" spans="1:12" x14ac:dyDescent="0.3">
      <c r="A30" s="4" t="s">
        <v>54</v>
      </c>
      <c r="B30" s="4" t="s">
        <v>64</v>
      </c>
      <c r="C30" s="3" t="s">
        <v>55</v>
      </c>
      <c r="D30" s="1" t="s">
        <v>5</v>
      </c>
      <c r="E30" s="1">
        <v>1.54</v>
      </c>
      <c r="F30" s="1">
        <v>1.58</v>
      </c>
      <c r="G30" s="1">
        <v>1.68</v>
      </c>
      <c r="H30" s="1">
        <v>1.77</v>
      </c>
      <c r="I30" s="1">
        <v>1.87</v>
      </c>
      <c r="J30" s="1">
        <v>1.91</v>
      </c>
      <c r="K30" s="1">
        <v>1.93</v>
      </c>
      <c r="L30" s="1">
        <v>1.95</v>
      </c>
    </row>
    <row r="31" spans="1:12" x14ac:dyDescent="0.3">
      <c r="A31" s="1" t="s">
        <v>56</v>
      </c>
      <c r="B31" s="1" t="s">
        <v>65</v>
      </c>
      <c r="C31" s="3" t="s">
        <v>57</v>
      </c>
      <c r="D31" s="1" t="s">
        <v>5</v>
      </c>
      <c r="E31" s="1">
        <v>1.39</v>
      </c>
      <c r="F31" s="1">
        <v>1.41</v>
      </c>
      <c r="G31" s="1">
        <v>1.56</v>
      </c>
      <c r="H31" s="1">
        <v>1.75</v>
      </c>
      <c r="I31" s="1">
        <v>1.85</v>
      </c>
      <c r="J31" s="1">
        <v>1.9</v>
      </c>
      <c r="K31" s="1">
        <v>1.9</v>
      </c>
      <c r="L31" s="1">
        <v>1.9</v>
      </c>
    </row>
    <row r="32" spans="1:12" x14ac:dyDescent="0.3">
      <c r="A32" s="4" t="s">
        <v>58</v>
      </c>
      <c r="B32" s="4" t="s">
        <v>64</v>
      </c>
      <c r="C32" s="3" t="s">
        <v>59</v>
      </c>
      <c r="D32" s="1" t="s">
        <v>5</v>
      </c>
      <c r="E32" s="1">
        <v>1.54</v>
      </c>
      <c r="F32" s="1">
        <v>1.58</v>
      </c>
      <c r="G32" s="1">
        <v>1.68</v>
      </c>
      <c r="H32" s="1">
        <v>1.77</v>
      </c>
      <c r="I32" s="1">
        <v>1.87</v>
      </c>
      <c r="J32" s="1">
        <v>1.91</v>
      </c>
      <c r="K32" s="1">
        <v>1.93</v>
      </c>
      <c r="L32" s="1">
        <v>1.95</v>
      </c>
    </row>
    <row r="33" spans="1:12" x14ac:dyDescent="0.3">
      <c r="A33" s="4" t="s">
        <v>60</v>
      </c>
      <c r="B33" s="4" t="s">
        <v>64</v>
      </c>
      <c r="C33" s="3" t="s">
        <v>61</v>
      </c>
      <c r="D33" s="1" t="s">
        <v>5</v>
      </c>
      <c r="E33" s="1">
        <v>1.54</v>
      </c>
      <c r="F33" s="1">
        <v>1.58</v>
      </c>
      <c r="G33" s="1">
        <v>1.68</v>
      </c>
      <c r="H33" s="1">
        <v>1.77</v>
      </c>
      <c r="I33" s="1">
        <v>1.87</v>
      </c>
      <c r="J33" s="1">
        <v>1.91</v>
      </c>
      <c r="K33" s="1">
        <v>1.93</v>
      </c>
      <c r="L33" s="1">
        <v>1.95</v>
      </c>
    </row>
    <row r="34" spans="1:12" x14ac:dyDescent="0.3">
      <c r="A34" s="1" t="s">
        <v>62</v>
      </c>
      <c r="B34" s="4"/>
      <c r="C34" s="1" t="s">
        <v>63</v>
      </c>
      <c r="D34" s="1" t="s">
        <v>5</v>
      </c>
      <c r="E34" s="1">
        <v>1.54</v>
      </c>
      <c r="F34" s="1">
        <v>1.58</v>
      </c>
      <c r="G34" s="1">
        <v>1.68</v>
      </c>
      <c r="H34" s="1">
        <v>1.77</v>
      </c>
      <c r="I34" s="1">
        <v>1.87</v>
      </c>
      <c r="J34" s="1">
        <v>1.91</v>
      </c>
      <c r="K34" s="1">
        <v>1.93</v>
      </c>
      <c r="L34" s="1">
        <v>1.95</v>
      </c>
    </row>
    <row r="37" spans="1:12" s="5" customFormat="1" x14ac:dyDescent="0.3">
      <c r="A37" s="5" t="s">
        <v>69</v>
      </c>
    </row>
    <row r="38" spans="1:12" x14ac:dyDescent="0.3">
      <c r="A38" s="2" t="s">
        <v>66</v>
      </c>
      <c r="E38" s="1">
        <v>2015</v>
      </c>
      <c r="F38" s="1">
        <v>2020</v>
      </c>
      <c r="G38" s="1">
        <v>2025</v>
      </c>
      <c r="H38" s="1">
        <v>2030</v>
      </c>
      <c r="I38" s="1">
        <v>2035</v>
      </c>
      <c r="J38" s="1">
        <v>2040</v>
      </c>
      <c r="K38" s="1">
        <v>2045</v>
      </c>
      <c r="L38" s="1">
        <v>2050</v>
      </c>
    </row>
    <row r="39" spans="1:12" x14ac:dyDescent="0.3">
      <c r="A39" s="6" t="s">
        <v>64</v>
      </c>
      <c r="E39" s="2">
        <f>SUMIF($B$5:$B$34, $A$39, E5:E34)/ COUNTIF($B$5:$B$34, $A$39)</f>
        <v>1.5484615384615381</v>
      </c>
      <c r="F39" s="2">
        <f t="shared" ref="F39:L39" si="0">SUMIF($B$5:$B$34, $A$39, F5:F34)/ COUNTIF($B$5:$B$34, $A$39)</f>
        <v>1.5853846153846154</v>
      </c>
      <c r="G39" s="2">
        <f t="shared" si="0"/>
        <v>1.6823076923076921</v>
      </c>
      <c r="H39" s="2">
        <f t="shared" si="0"/>
        <v>1.7723076923076921</v>
      </c>
      <c r="I39" s="2">
        <f t="shared" si="0"/>
        <v>1.8692307692307699</v>
      </c>
      <c r="J39" s="2">
        <f t="shared" si="0"/>
        <v>1.9084615384615384</v>
      </c>
      <c r="K39" s="2">
        <f t="shared" si="0"/>
        <v>1.9276923076923076</v>
      </c>
      <c r="L39" s="2">
        <f t="shared" si="0"/>
        <v>1.9461538461538459</v>
      </c>
    </row>
    <row r="40" spans="1:12" x14ac:dyDescent="0.3">
      <c r="A40" s="6" t="s">
        <v>65</v>
      </c>
      <c r="E40" s="2">
        <f>SUMIF($B$5:$B$34, $A$40, E6:E35)/COUNTIF($B$5:$B$34, $A$40)</f>
        <v>1.5135714285714283</v>
      </c>
      <c r="F40" s="2">
        <f t="shared" ref="F40:L40" si="1">SUMIF($B$5:$B$34, $A$40, F6:F35)/COUNTIF($B$5:$B$34, $A$40)</f>
        <v>1.554285714285714</v>
      </c>
      <c r="G40" s="2">
        <f t="shared" si="1"/>
        <v>1.6549999999999998</v>
      </c>
      <c r="H40" s="2">
        <f t="shared" si="1"/>
        <v>1.7578571428571426</v>
      </c>
      <c r="I40" s="2">
        <f t="shared" si="1"/>
        <v>1.8521428571428573</v>
      </c>
      <c r="J40" s="2">
        <f t="shared" si="1"/>
        <v>1.8992857142857142</v>
      </c>
      <c r="K40" s="2">
        <f t="shared" si="1"/>
        <v>1.9199999999999997</v>
      </c>
      <c r="L40" s="2">
        <f t="shared" si="1"/>
        <v>1.9414285714285708</v>
      </c>
    </row>
    <row r="43" spans="1:12" s="5" customFormat="1" x14ac:dyDescent="0.3">
      <c r="A43" s="5" t="s">
        <v>70</v>
      </c>
    </row>
    <row r="44" spans="1:12" x14ac:dyDescent="0.3">
      <c r="A44" s="2" t="s">
        <v>66</v>
      </c>
      <c r="E44" s="1">
        <v>2015</v>
      </c>
      <c r="F44" s="1">
        <v>2020</v>
      </c>
      <c r="G44" s="1">
        <v>2025</v>
      </c>
      <c r="H44" s="1">
        <v>2030</v>
      </c>
      <c r="I44" s="1">
        <v>2035</v>
      </c>
      <c r="J44" s="1">
        <v>2040</v>
      </c>
      <c r="K44" s="1">
        <v>2045</v>
      </c>
      <c r="L44" s="1">
        <v>2050</v>
      </c>
    </row>
    <row r="45" spans="1:12" x14ac:dyDescent="0.3">
      <c r="A45" s="6" t="s">
        <v>64</v>
      </c>
      <c r="E45" s="2">
        <v>1</v>
      </c>
      <c r="F45" s="2">
        <f>100*(F39-E39)/E39</f>
        <v>2.3845007451565063</v>
      </c>
      <c r="G45" s="2">
        <f t="shared" ref="G45:L45" si="2">100*(G39-F39)/F39</f>
        <v>6.1135371179039142</v>
      </c>
      <c r="H45" s="2">
        <f t="shared" si="2"/>
        <v>5.349794238683133</v>
      </c>
      <c r="I45" s="2">
        <f t="shared" si="2"/>
        <v>5.4687500000000488</v>
      </c>
      <c r="J45" s="2">
        <f t="shared" si="2"/>
        <v>2.0987654320987263</v>
      </c>
      <c r="K45" s="2">
        <f t="shared" si="2"/>
        <v>1.0076582023377634</v>
      </c>
      <c r="L45" s="2">
        <f t="shared" si="2"/>
        <v>0.95770151636072631</v>
      </c>
    </row>
    <row r="46" spans="1:12" x14ac:dyDescent="0.3">
      <c r="A46" s="6" t="s">
        <v>65</v>
      </c>
      <c r="E46" s="2">
        <v>1</v>
      </c>
      <c r="F46" s="2">
        <f>100*(F40-E40)/E40</f>
        <v>2.6899480887210947</v>
      </c>
      <c r="G46" s="2">
        <f t="shared" ref="G46:L46" si="3">100*(G40-F40)/F40</f>
        <v>6.4797794117647101</v>
      </c>
      <c r="H46" s="2">
        <f>100*(H40-G40)/G40</f>
        <v>6.2149331031506208</v>
      </c>
      <c r="I46" s="2">
        <f t="shared" si="3"/>
        <v>5.363673303535176</v>
      </c>
      <c r="J46" s="2">
        <f t="shared" si="3"/>
        <v>2.5453143077516271</v>
      </c>
      <c r="K46" s="2">
        <f t="shared" si="3"/>
        <v>1.0906355772846803</v>
      </c>
      <c r="L46" s="2">
        <f t="shared" si="3"/>
        <v>1.1160714285714133</v>
      </c>
    </row>
    <row r="49" spans="1:12" s="5" customFormat="1" x14ac:dyDescent="0.3">
      <c r="A49" s="5" t="s">
        <v>72</v>
      </c>
    </row>
    <row r="50" spans="1:12" x14ac:dyDescent="0.3">
      <c r="A50" s="2" t="s">
        <v>73</v>
      </c>
      <c r="B50" s="2" t="s">
        <v>71</v>
      </c>
      <c r="C50" s="2" t="s">
        <v>74</v>
      </c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6" t="str" cm="1">
        <f t="array" ref="A51">INDEX($A$45:$A$46, INT((ROW()-ROW($A$50))/8)+1)</f>
        <v>EU-12</v>
      </c>
      <c r="B51" s="2" cm="1">
        <f t="array" ref="B51">INDEX($E$44:L$44, MOD(ROW()-ROW($B$50), 8)+1)</f>
        <v>2020</v>
      </c>
      <c r="C51" s="2" cm="1">
        <f t="array" ref="C51">INDEX($E$45:$L$46, INT((ROW()-ROW($C$50))/8)+1, MOD(ROW()-ROW($C$50), 8)+1)</f>
        <v>2.3845007451565063</v>
      </c>
    </row>
    <row r="52" spans="1:12" x14ac:dyDescent="0.3">
      <c r="A52" s="6" t="str" cm="1">
        <f t="array" ref="A52">INDEX($A$45:$A$46, INT((ROW()-ROW($A$50))/8)+1)</f>
        <v>EU-12</v>
      </c>
      <c r="B52" s="2" cm="1">
        <f t="array" ref="B52">INDEX($E$44:L$44, MOD(ROW()-ROW($B$50), 8)+1)</f>
        <v>2025</v>
      </c>
      <c r="C52" s="2" cm="1">
        <f t="array" ref="C52">INDEX($E$45:$L$46, INT((ROW()-ROW($C$50))/8)+1, MOD(ROW()-ROW($C$50), 8)+1)</f>
        <v>6.1135371179039142</v>
      </c>
    </row>
    <row r="53" spans="1:12" x14ac:dyDescent="0.3">
      <c r="A53" s="6" t="str" cm="1">
        <f t="array" ref="A53">INDEX($A$45:$A$46, INT((ROW()-ROW($A$50))/8)+1)</f>
        <v>EU-12</v>
      </c>
      <c r="B53" s="2" cm="1">
        <f t="array" ref="B53">INDEX($E$44:L$44, MOD(ROW()-ROW($B$50), 8)+1)</f>
        <v>2030</v>
      </c>
      <c r="C53" s="2" cm="1">
        <f t="array" ref="C53">INDEX($E$45:$L$46, INT((ROW()-ROW($C$50))/8)+1, MOD(ROW()-ROW($C$50), 8)+1)</f>
        <v>5.349794238683133</v>
      </c>
    </row>
    <row r="54" spans="1:12" x14ac:dyDescent="0.3">
      <c r="A54" s="6" t="str" cm="1">
        <f t="array" ref="A54">INDEX($A$45:$A$46, INT((ROW()-ROW($A$50))/8)+1)</f>
        <v>EU-12</v>
      </c>
      <c r="B54" s="2" cm="1">
        <f t="array" ref="B54">INDEX($E$44:L$44, MOD(ROW()-ROW($B$50), 8)+1)</f>
        <v>2035</v>
      </c>
      <c r="C54" s="2" cm="1">
        <f t="array" ref="C54">INDEX($E$45:$L$46, INT((ROW()-ROW($C$50))/8)+1, MOD(ROW()-ROW($C$50), 8)+1)</f>
        <v>5.4687500000000488</v>
      </c>
    </row>
    <row r="55" spans="1:12" x14ac:dyDescent="0.3">
      <c r="A55" s="6" t="str" cm="1">
        <f t="array" ref="A55">INDEX($A$45:$A$46, INT((ROW()-ROW($A$50))/8)+1)</f>
        <v>EU-12</v>
      </c>
      <c r="B55" s="2" cm="1">
        <f t="array" ref="B55">INDEX($E$44:L$44, MOD(ROW()-ROW($B$50), 8)+1)</f>
        <v>2040</v>
      </c>
      <c r="C55" s="2" cm="1">
        <f t="array" ref="C55">INDEX($E$45:$L$46, INT((ROW()-ROW($C$50))/8)+1, MOD(ROW()-ROW($C$50), 8)+1)</f>
        <v>2.0987654320987263</v>
      </c>
    </row>
    <row r="56" spans="1:12" x14ac:dyDescent="0.3">
      <c r="A56" s="6" t="str" cm="1">
        <f t="array" ref="A56">INDEX($A$45:$A$46, INT((ROW()-ROW($A$50))/8)+1)</f>
        <v>EU-12</v>
      </c>
      <c r="B56" s="2" cm="1">
        <f t="array" ref="B56">INDEX($E$44:L$44, MOD(ROW()-ROW($B$50), 8)+1)</f>
        <v>2045</v>
      </c>
      <c r="C56" s="2" cm="1">
        <f t="array" ref="C56">INDEX($E$45:$L$46, INT((ROW()-ROW($C$50))/8)+1, MOD(ROW()-ROW($C$50), 8)+1)</f>
        <v>1.0076582023377634</v>
      </c>
    </row>
    <row r="57" spans="1:12" x14ac:dyDescent="0.3">
      <c r="A57" s="6" t="str" cm="1">
        <f t="array" ref="A57">INDEX($A$45:$A$46, INT((ROW()-ROW($A$50))/8)+1)</f>
        <v>EU-12</v>
      </c>
      <c r="B57" s="2" cm="1">
        <f t="array" ref="B57">INDEX($E$44:L$44, MOD(ROW()-ROW($B$50), 8)+1)</f>
        <v>2050</v>
      </c>
      <c r="C57" s="2" cm="1">
        <f t="array" ref="C57">INDEX($E$45:$L$46, INT((ROW()-ROW($C$50))/8)+1, MOD(ROW()-ROW($C$50), 8)+1)</f>
        <v>0.95770151636072631</v>
      </c>
    </row>
    <row r="58" spans="1:12" x14ac:dyDescent="0.3">
      <c r="A58" s="6" t="str" cm="1">
        <f t="array" ref="A58">INDEX($A$45:$A$46, INT((ROW()-ROW($A$50))/8)+1)</f>
        <v>EU-15</v>
      </c>
      <c r="B58" s="2" cm="1">
        <f t="array" ref="B58">INDEX($E$44:L$44, MOD(ROW()-ROW($B$50), 8)+1)</f>
        <v>2015</v>
      </c>
      <c r="C58" s="2" cm="1">
        <f t="array" ref="C58">INDEX($E$45:$L$46, INT((ROW()-ROW($C$50))/8)+1, MOD(ROW()-ROW($C$50), 8)+1)</f>
        <v>1</v>
      </c>
    </row>
    <row r="59" spans="1:12" x14ac:dyDescent="0.3">
      <c r="A59" s="6" t="str" cm="1">
        <f t="array" ref="A59">INDEX($A$45:$A$46, INT((ROW()-ROW($A$50))/8)+1)</f>
        <v>EU-15</v>
      </c>
      <c r="B59" s="2" cm="1">
        <f t="array" ref="B59">INDEX($E$44:L$44, MOD(ROW()-ROW($B$50), 8)+1)</f>
        <v>2020</v>
      </c>
      <c r="C59" s="2" cm="1">
        <f t="array" ref="C59">INDEX($E$45:$L$46, INT((ROW()-ROW($C$50))/8)+1, MOD(ROW()-ROW($C$50), 8)+1)</f>
        <v>2.6899480887210947</v>
      </c>
    </row>
    <row r="60" spans="1:12" x14ac:dyDescent="0.3">
      <c r="A60" s="6" t="str" cm="1">
        <f t="array" ref="A60">INDEX($A$45:$A$46, INT((ROW()-ROW($A$50))/8)+1)</f>
        <v>EU-15</v>
      </c>
      <c r="B60" s="2" cm="1">
        <f t="array" ref="B60">INDEX($E$44:L$44, MOD(ROW()-ROW($B$50), 8)+1)</f>
        <v>2025</v>
      </c>
      <c r="C60" s="2" cm="1">
        <f t="array" ref="C60">INDEX($E$45:$L$46, INT((ROW()-ROW($C$50))/8)+1, MOD(ROW()-ROW($C$50), 8)+1)</f>
        <v>6.4797794117647101</v>
      </c>
    </row>
    <row r="61" spans="1:12" x14ac:dyDescent="0.3">
      <c r="A61" s="6" t="str" cm="1">
        <f t="array" ref="A61">INDEX($A$45:$A$46, INT((ROW()-ROW($A$50))/8)+1)</f>
        <v>EU-15</v>
      </c>
      <c r="B61" s="2" cm="1">
        <f t="array" ref="B61">INDEX($E$44:L$44, MOD(ROW()-ROW($B$50), 8)+1)</f>
        <v>2030</v>
      </c>
      <c r="C61" s="2" cm="1">
        <f t="array" ref="C61">INDEX($E$45:$L$46, INT((ROW()-ROW($C$50))/8)+1, MOD(ROW()-ROW($C$50), 8)+1)</f>
        <v>6.2149331031506208</v>
      </c>
    </row>
    <row r="62" spans="1:12" x14ac:dyDescent="0.3">
      <c r="A62" s="6" t="str" cm="1">
        <f t="array" ref="A62">INDEX($A$45:$A$46, INT((ROW()-ROW($A$50))/8)+1)</f>
        <v>EU-15</v>
      </c>
      <c r="B62" s="2" cm="1">
        <f t="array" ref="B62">INDEX($E$44:L$44, MOD(ROW()-ROW($B$50), 8)+1)</f>
        <v>2035</v>
      </c>
      <c r="C62" s="2" cm="1">
        <f t="array" ref="C62">INDEX($E$45:$L$46, INT((ROW()-ROW($C$50))/8)+1, MOD(ROW()-ROW($C$50), 8)+1)</f>
        <v>5.363673303535176</v>
      </c>
    </row>
    <row r="63" spans="1:12" x14ac:dyDescent="0.3">
      <c r="A63" s="6" t="str" cm="1">
        <f t="array" ref="A63">INDEX($A$45:$A$46, INT((ROW()-ROW($A$50))/8)+1)</f>
        <v>EU-15</v>
      </c>
      <c r="B63" s="2" cm="1">
        <f t="array" ref="B63">INDEX($E$44:L$44, MOD(ROW()-ROW($B$50), 8)+1)</f>
        <v>2040</v>
      </c>
      <c r="C63" s="2" cm="1">
        <f t="array" ref="C63">INDEX($E$45:$L$46, INT((ROW()-ROW($C$50))/8)+1, MOD(ROW()-ROW($C$50), 8)+1)</f>
        <v>2.5453143077516271</v>
      </c>
    </row>
    <row r="64" spans="1:12" x14ac:dyDescent="0.3">
      <c r="A64" s="6" t="str" cm="1">
        <f t="array" ref="A64">INDEX($A$45:$A$46, INT((ROW()-ROW($A$50))/8)+1)</f>
        <v>EU-15</v>
      </c>
      <c r="B64" s="2" cm="1">
        <f t="array" ref="B64">INDEX($E$44:L$44, MOD(ROW()-ROW($B$50), 8)+1)</f>
        <v>2045</v>
      </c>
      <c r="C64" s="2" cm="1">
        <f t="array" ref="C64">INDEX($E$45:$L$46, INT((ROW()-ROW($C$50))/8)+1, MOD(ROW()-ROW($C$50), 8)+1)</f>
        <v>1.0906355772846803</v>
      </c>
    </row>
    <row r="65" spans="1:3" x14ac:dyDescent="0.3">
      <c r="A65" s="6" t="str" cm="1">
        <f t="array" ref="A65">INDEX($A$45:$A$46, INT((ROW()-ROW($A$50))/8)+1)</f>
        <v>EU-15</v>
      </c>
      <c r="B65" s="2" cm="1">
        <f t="array" ref="B65">INDEX($E$44:L$44, MOD(ROW()-ROW($B$50), 8)+1)</f>
        <v>2050</v>
      </c>
      <c r="C65" s="2" cm="1">
        <f t="array" ref="C65">INDEX($E$45:$L$46, INT((ROW()-ROW($C$50))/8)+1, MOD(ROW()-ROW($C$50), 8)+1)</f>
        <v>1.1160714285714133</v>
      </c>
    </row>
    <row r="66" spans="1:3" x14ac:dyDescent="0.3">
      <c r="A66" s="6"/>
    </row>
    <row r="67" spans="1:3" x14ac:dyDescent="0.3">
      <c r="A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EA32-00F0-483D-9357-425E0714EBED}">
  <dimension ref="A1:C16"/>
  <sheetViews>
    <sheetView workbookViewId="0">
      <selection activeCell="C7" sqref="C7"/>
    </sheetView>
  </sheetViews>
  <sheetFormatPr defaultRowHeight="14.4" x14ac:dyDescent="0.3"/>
  <cols>
    <col min="1" max="1" width="18" bestFit="1" customWidth="1"/>
    <col min="2" max="2" width="20.88671875" bestFit="1" customWidth="1"/>
    <col min="3" max="3" width="18.88671875" bestFit="1" customWidth="1"/>
    <col min="4" max="4" width="14.109375" bestFit="1" customWidth="1"/>
    <col min="5" max="5" width="11.6640625" customWidth="1"/>
    <col min="6" max="6" width="9.77734375" bestFit="1" customWidth="1"/>
    <col min="7" max="7" width="5.5546875" bestFit="1" customWidth="1"/>
  </cols>
  <sheetData>
    <row r="1" spans="1:3" x14ac:dyDescent="0.3">
      <c r="A1" t="str" cm="1">
        <f t="array" ref="A1:C16">'TRN-LoadFactor-computation'!A50:C65</f>
        <v>region</v>
      </c>
      <c r="B1" t="str">
        <v>year</v>
      </c>
      <c r="C1" t="str">
        <v>changeRate</v>
      </c>
    </row>
    <row r="2" spans="1:3" x14ac:dyDescent="0.3">
      <c r="A2" t="str">
        <v>EU-12</v>
      </c>
      <c r="B2">
        <v>2020</v>
      </c>
      <c r="C2">
        <v>2.3845007451565063</v>
      </c>
    </row>
    <row r="3" spans="1:3" x14ac:dyDescent="0.3">
      <c r="A3" t="str">
        <v>EU-12</v>
      </c>
      <c r="B3">
        <v>2025</v>
      </c>
      <c r="C3">
        <v>6.1135371179039142</v>
      </c>
    </row>
    <row r="4" spans="1:3" x14ac:dyDescent="0.3">
      <c r="A4" t="str">
        <v>EU-12</v>
      </c>
      <c r="B4">
        <v>2030</v>
      </c>
      <c r="C4">
        <v>5.349794238683133</v>
      </c>
    </row>
    <row r="5" spans="1:3" x14ac:dyDescent="0.3">
      <c r="A5" t="str">
        <v>EU-12</v>
      </c>
      <c r="B5">
        <v>2035</v>
      </c>
      <c r="C5">
        <v>5.4687500000000488</v>
      </c>
    </row>
    <row r="6" spans="1:3" x14ac:dyDescent="0.3">
      <c r="A6" t="str">
        <v>EU-12</v>
      </c>
      <c r="B6">
        <v>2040</v>
      </c>
      <c r="C6">
        <v>2.0987654320987263</v>
      </c>
    </row>
    <row r="7" spans="1:3" x14ac:dyDescent="0.3">
      <c r="A7" t="str">
        <v>EU-12</v>
      </c>
      <c r="B7">
        <v>2045</v>
      </c>
      <c r="C7">
        <v>1.0076582023377634</v>
      </c>
    </row>
    <row r="8" spans="1:3" x14ac:dyDescent="0.3">
      <c r="A8" t="str">
        <v>EU-12</v>
      </c>
      <c r="B8">
        <v>2050</v>
      </c>
      <c r="C8">
        <v>0.95770151636072631</v>
      </c>
    </row>
    <row r="9" spans="1:3" x14ac:dyDescent="0.3">
      <c r="A9" t="str">
        <v>EU-15</v>
      </c>
      <c r="B9">
        <v>2015</v>
      </c>
      <c r="C9">
        <v>1</v>
      </c>
    </row>
    <row r="10" spans="1:3" x14ac:dyDescent="0.3">
      <c r="A10" t="str">
        <v>EU-15</v>
      </c>
      <c r="B10">
        <v>2020</v>
      </c>
      <c r="C10">
        <v>2.6899480887210947</v>
      </c>
    </row>
    <row r="11" spans="1:3" x14ac:dyDescent="0.3">
      <c r="A11" t="str">
        <v>EU-15</v>
      </c>
      <c r="B11">
        <v>2025</v>
      </c>
      <c r="C11">
        <v>6.4797794117647101</v>
      </c>
    </row>
    <row r="12" spans="1:3" x14ac:dyDescent="0.3">
      <c r="A12" t="str">
        <v>EU-15</v>
      </c>
      <c r="B12">
        <v>2030</v>
      </c>
      <c r="C12">
        <v>6.2149331031506208</v>
      </c>
    </row>
    <row r="13" spans="1:3" x14ac:dyDescent="0.3">
      <c r="A13" t="str">
        <v>EU-15</v>
      </c>
      <c r="B13">
        <v>2035</v>
      </c>
      <c r="C13">
        <v>5.363673303535176</v>
      </c>
    </row>
    <row r="14" spans="1:3" x14ac:dyDescent="0.3">
      <c r="A14" t="str">
        <v>EU-15</v>
      </c>
      <c r="B14">
        <v>2040</v>
      </c>
      <c r="C14">
        <v>2.5453143077516271</v>
      </c>
    </row>
    <row r="15" spans="1:3" x14ac:dyDescent="0.3">
      <c r="A15" t="str">
        <v>EU-15</v>
      </c>
      <c r="B15">
        <v>2045</v>
      </c>
      <c r="C15">
        <v>1.0906355772846803</v>
      </c>
    </row>
    <row r="16" spans="1:3" x14ac:dyDescent="0.3">
      <c r="A16" t="str">
        <v>EU-15</v>
      </c>
      <c r="B16">
        <v>2050</v>
      </c>
      <c r="C16">
        <v>1.1160714285714133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TRN-LoadFactor-computation</vt:lpstr>
      <vt:lpstr>TRN-LoadFactor-values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Clàudia Rodés</dc:creator>
  <cp:lastModifiedBy>Clàudia Rodés</cp:lastModifiedBy>
  <dcterms:created xsi:type="dcterms:W3CDTF">2025-04-23T08:01:09Z</dcterms:created>
  <dcterms:modified xsi:type="dcterms:W3CDTF">2025-04-23T10:09:51Z</dcterms:modified>
</cp:coreProperties>
</file>